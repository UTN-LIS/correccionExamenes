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adosQwen2-71PreguntaConEj" sheetId="1" r:id="rId5"/>
  </sheets>
  <definedNames/>
  <calcPr/>
</workbook>
</file>

<file path=xl/sharedStrings.xml><?xml version="1.0" encoding="utf-8"?>
<sst xmlns="http://schemas.openxmlformats.org/spreadsheetml/2006/main" count="230" uniqueCount="160">
  <si>
    <t>step</t>
  </si>
  <si>
    <t>entrada</t>
  </si>
  <si>
    <t>contexto</t>
  </si>
  <si>
    <t>salida</t>
  </si>
  <si>
    <t>esperado</t>
  </si>
  <si>
    <t>tiempo</t>
  </si>
  <si>
    <t>dif abs</t>
  </si>
  <si>
    <t>diferencia</t>
  </si>
  <si>
    <t>ERROR MAXIMO</t>
  </si>
  <si>
    <t>ERROR MEDIO ABSOLUTO</t>
  </si>
  <si>
    <t>SESGO DE CALIFICACION</t>
  </si>
  <si>
    <t>COINCIDENCIA EXACTA</t>
  </si>
  <si>
    <t>Exacto +-1 diferencia</t>
  </si>
  <si>
    <t>Respuesta: Las aserciones en los test se utilizan para ejecutar los test ya implementados. Se añaden, y se ejecuta para validar su funcionamiento. Es decir, por ejemplo, se añade un test, se implementa y al usar aserciones, se ejecuta, por lo tanto, se comprueba su comportamiento respecto al test.</t>
  </si>
  <si>
    <t>Pregunta: Describe cómo se pueden utilizar las aserciones en los tests y por qué son importantes.
Ejemplos de correcciones: Respuesta: Los asserts o aserciones son métodos que permiten comprobar la validez de un dato o de una variable, entre otras cosas. Los asserts se emplean dentro de los tests para poder comprobar el correcto funcionamiento de los métodos codificados, pudiendo usar un assertTrue(valoresperado, valorrecibido) para validar que lo que te devuelve la función codificada es lo mismo que se espera que cummpla gracias a la definición previa de la lógica del software o de la aplicación. Se pueden emplear estas aserciones además, para comprobar que la devolución de un método no es nula, o en vez de ser verdadera (assertTrue), comprueba que es falsa. Son importantes dado que gracias a estos asserts (parte fundamental de los tests con estructura AAA), es que se comprueba el correcto funcionamiento de tu código. Evaluacion: Nota: 9 Justificacion: Describes bien qué son las aserciones, cómo se usan en los tests y por qué son clave para comprobar el correcto funcionamiento del código, mencionando ejemplos de igualdad, nulidad y booleanos. Te falta relacionarlas explícitamente con TDD y su papel como fuente de retroalimentación inmediata sobre el cumplimiento de requisitos, y podrías matizar mejor otros tipos de aserciones (por ejemplo, excepciones). Por eso no llega al 10. Respuesta: Las assertion se pueden usar en los test para validar y comparar objetos o valores. Esto es importante en los test ya que si una assercion falla, la validacion va a ser falsa por lo que el test va a fallar. Esto nos ayuda a la hora de resolver errores en el codigo o ver como es el flujo del programa. Evaluacion: Nota: 6 Justificacion: Reconoces que las aserciones comparan valores/objetos y que, si fallan, el test también falla, lo cual es correcto. Sin embargo, te quedas corto: no explicas que sirven para comprobar resultados esperados del código bajo prueba, ni su papel como mecanismo de feedback en TDD, ni mencionas tipos de aserciones (igualdad, nulidad, excepciones). La respuesta es correcta pero demasiado superficial para el nivel esperado. Respuesta: Se pueden utilizar por ejemplo cuando un campo no puede ser nulo, poniendo @NOTNULL para evitar campos que no se rellenen y sean obligatorios, saltando el error correspondiente para solucionarlo. Evaluacion: Nota: 2, Justificacion: Se pueden utilizar por ejemplo cuando un campo no puede ser nulo, poniendo @NOTNULL para evitar campos que no se rellenen y sean obligatorios, saltando el error correspondiente para solucionarlo.</t>
  </si>
  <si>
    <t>Evaluación:
Nota: 4
Justificación: Reconoces que las aserciones se usan en los tests para validar su funcionamiento, lo cual es correcto. Sin embargo, la descripción es muy general y no se</t>
  </si>
  <si>
    <t>Respuesta: Las aserciones en el contexto del software, son muy relevantes para cubrir el codigo y evitar excepciones y errores que provocarian si no son revisados con este metodo asertivo.</t>
  </si>
  <si>
    <t>Evaluación:
Nota: 4
Justificación: La respuesta reconoce la importancia de las aserciones en la detección de errores y excepciones, lo cual es correcto. Sin embargo, la descripción es bastante gen</t>
  </si>
  <si>
    <t>Mide el peor escenario posible. Te dice cuál fue la calificación más injusta o el fallo más grande que cometió la IA contra el criterio del profesor.</t>
  </si>
  <si>
    <t>Dice, en promedio, por cuántos puntos le pifia la IA a la nota que esperaba el profesor.</t>
  </si>
  <si>
    <t>Mide la tendencia del modelo. Si da positivo (+), la IA tiende a ser más "buena" o laxa que el profesor; si da negativo (-), la IA tiende a ser más estricta que el profesor. Lo ideal es que dé cercano a $0.0$.</t>
  </si>
  <si>
    <t>Mide la perfección del sistema. Te dice qué porcentaje del total de exámenes recibió exactamente la misma nota por parte de la IA y del profesor ($100\%$ sería el ideal absoluto).</t>
  </si>
  <si>
    <t>Respuesta: Las aserciones en los test son importantes ya que son los que nos dan la confirmación de que los tests están bien hechos y desarrollados y consiguen abarcar todas o la mayoria de los posibles errores de neustros test y codigo de proyecto.</t>
  </si>
  <si>
    <t>Evaluación:
Nota: 4
Justificación: La respuesta reconoce la importancia de las aserciones en los tests, pero presenta algunas inexactitudes y omisiones significativas.
- **Conceptos Correctos**: Reconoc</t>
  </si>
  <si>
    <t>Respuesta: Las aserciones son herramientas de test que te dicen cuales son funcionalidades correctas y cuales no, es como un validador, si por ejemplo tienes unos test con una cobertura del 90% sabes que la mayoria se estan utilizando pero como sabes si estan correctas las funcionalidades o no, ahi entran las assertions, que te ayudan a saber si los test son correctos o no.</t>
  </si>
  <si>
    <t>Evaluación:
Nota: 5
Justificación: La respuesta reconoce que las aserciones son herramientas de test que validan si los tests están correctos, lo cual es una idea parcialmente correcta. Sin embargo,</t>
  </si>
  <si>
    <t>Respuesta: Las aserciones consisten en si el test funciona correctamente o si dicho test no funciona correctamente y te devuelve un false. 
Son importante dichas aserciones para que no haya casos duplicados, huecos en blanco, que puedas comparar dos arrays valor por valor, etc</t>
  </si>
  <si>
    <t>Evaluación:
Nota: 4
Justificación: La respuesta reconoce que las aserciones se utilizan para verificar si un test funciona correctamente o no, lo cual es una idea correcta. Sin embargo, la descripción es bastante</t>
  </si>
  <si>
    <t>Respuesta: Las aserciones o assertions son validaciones que funcionan única y exclusivamente cuando se cumple una condición. Si dicha condición no se cumple, el test falla.
Se pueden utilizar como complemento de test unitarios o TDD y existen diferentes tipos como @AssertTrue(), @AssertFalse(), @AssertSum()... y son importantes porque permiten crear código completo y sin errores, ya que permite tener en cuenta cómo manejar valores erróneos o nulos en nuestro código mediante el uso de estos tests.</t>
  </si>
  <si>
    <t>Evaluación:
Nota: 5
Justificación: La respuesta contiene algunos elementos correctos, pero carece de profundidad y precisión en varios aspectos:
Conceptos correctamente mencionados:
- Se reconoce que las aserciones</t>
  </si>
  <si>
    <t>Respuesta: Las aserciones sirven para validar las entradas en un test, se utiliza por ejemplo en la arquitectura AAA(Arrange, Act, Assert), precisamente en la última parte, Assert, para por ejemplo, comprobar que algunas entradas son iguales con assertEquals, que se cumple una condición booleana con assertTrue y assertFalse, etc. Son importantes para mantener la integridad de los datos y evitar inconsistencias.</t>
  </si>
  <si>
    <t>Evaluación:
Nota: 7
Justificación: La respuesta es bastante precisa y completa en términos de la funcionalidad de las aserciones y su uso en la arquitectura AAA. Menciona correctamente que las</t>
  </si>
  <si>
    <t>Respuesta: las aserciones permiten validar que el test haya pasado o no despues de haber declarado las variables con arrange y ejecutarlas con act, y assert valida que el test haya sido pasado con éxito, que es lo que buscamos</t>
  </si>
  <si>
    <t>Evaluación:
Nota: 5
Justificación: 
La respuesta reconoce que las aserciones se utilizan para validar si un test ha pasado o no, lo cual es correcto. Sin embargo, hay varios aspectos que f</t>
  </si>
  <si>
    <t>Respuesta: Las aserciones o assertions es la instruccion que mide el resultado obtenido respecto al resultado esperado, en caso de fallar, da un error y el test pasa a estar en rojo, en caso contrario el test salta verde y pasara. Esto es importante ya que mide si los test pasan o no pasan.</t>
  </si>
  <si>
    <t>Evaluación:
Nota: 7
Justificación: La respuesta identifica correctamente que las aserciones miden el resultado obtenido contra el esperado y que, en caso de no coincidir, generan un error que hará</t>
  </si>
  <si>
    <t>Respuesta: Las aserciones son validaciones que comprueban si una afirmacion es correcta, y al contrario.
Sirven tanto para clases, como para metodos y ramas.
Al final si no hay una validacion previa, el test no se va a basar en ningun parametro para calificar el codigo que revisa, por lo que las validaciones son las encargadas del mismo</t>
  </si>
  <si>
    <t>Evaluación:
Nota: 5
Justificación: La respuesta contiene elementos correctos, pero carece de profundidad y precisión. Menciona que las aserciones son validaciones que comprueban si una afirmación es correct</t>
  </si>
  <si>
    <t>Respuesta: La función de las aserciones en los test es que permiten de manera muy eficiente el comprobar si una condición es verdadera. Por ejemplo se podría emplear AssertTrue bajo una condición y ver si eso se cumple. Son importantes en los test ya que optimizan la manera en la que se pueden desarrollar y verifican de manera sencilla si algo se cumple o no.</t>
  </si>
  <si>
    <t>Evaluación:
Nota: 7
Justificación: La respuesta reconoce correctamente que las aserciones permiten comprobar si una condición es verdadera y menciona un ejemplo específico usando `AssertTrue`. También señala correctamente que</t>
  </si>
  <si>
    <t>Respuesta: Las assertion se pueden usar en los test para validar y comparar objetos o valores. Esto es importante en los test ya que si una assercion falla, la validacion va a ser falsa por lo que el test va a fallar. Esto nos ayuda a la hora de resolver errores en el codigo o ver como es el flujo del programa</t>
  </si>
  <si>
    <t>Evaluación:
Nota: 6
Justificación: La respuesta reconoce que las aserciones se utilizan para validar y comparar objetos o valores, y que si una aserción falla, el test también fallará. Esto</t>
  </si>
  <si>
    <t>Respuesta: Las aserciones en los test es un apartado fundamental ya que gracias a ellas podemos especificar el tipo de test que buscamos, por ejemplo, un asserEqual nos permite especificar que es lo que esperamos recibir de la entrada de nuestro metodo o prueba para así filtrar si el dato es el esperado o no. Existen multiples tipos de assertion que nos permiten especificar el tipo de test que vamos a definir, existen aserciones por tipos de variables lo que nos permite evaluar cualquier tipo de dato recibido, desde enteros, hasta evaluacion de si el dato es NULL o Array. Es clave en el desarrollo de test para una mejor especificacion de la prueba a realizar</t>
  </si>
  <si>
    <t>Evaluación:
Nota: 7
Justificación: La respuesta menciona correctamente que las aserciones son fundamentales en el desarrollo de pruebas, y da un buen ejemplo de cómo `assertEqual` se utiliza para verificar si un resultado</t>
  </si>
  <si>
    <t>Respuesta: Los assert sirven para comprobar lo que devuelve o hacen las funciones, son unos de los pilares para poder hacer los test en el TDD.</t>
  </si>
  <si>
    <t>Evaluación:
Nota: 5
Justificación: La respuesta reconoce correctamente que los asserts se utilizan para verificar lo que devuelven o realizan las funciones y que son fundamentales para realizar pruebas en TDD. Sin embargo</t>
  </si>
  <si>
    <t>Respuesta: Las aserciones en los tests sirven para comparar un resultado, en estas se introduce un resultado esperado y un resultado actual, esto es importante para comparar resultados y mejorar el codigo o los tests en base a esto.</t>
  </si>
  <si>
    <t>Evaluación:
Nota: 5
Justificación: La respuesta reconoce que las aserciones se utilizan para comparar resultados, lo cual es correcto. Sin embargo, la descripción es bastante general y no abarca todos</t>
  </si>
  <si>
    <t>Respuesta: Podemos usar las aserciones en los test para asegurarnos de que estos se van ejecutando de manera ordenada y continuada. Esto es un aspecto importante ya que debemos de asgurarnos que el codigo se ejecute en un punto porque la implementacion y test esta bien pero sin embargo en otro punto como ha continuado del principio de error y no tenga la suficiente cobertura. 
Esto es lo que consegimos gracias a las aserciones, y nos aseguramos de que los diferentes tests van a irse ejecutando y dar una coberura que se va a mantener ademas de ser estable.</t>
  </si>
  <si>
    <t>Evaluación:
Nota: 4
Justificación: La respuesta intenta abordar algunos puntos relevantes sobre las aserciones, como su importancia para asegurar que el código se ejecute correctamente y para garantizar la cobertura</t>
  </si>
  <si>
    <t>Respuesta: Las aserciones se pueden usar como pequeños tests que validan soliuciones concretas de las respectivas funciones del código. Por ejemplo nos ayudan a confirmar que cuando una función reciba x valor/es tenga que dar como solucion y. Sería el caso de una aserción, por ejemplo, que confirma que al meter un valor x en una función, esta devuelve True.
Por ello, estas son importantes porque nos ayudan a confirmar que los tests se ejecuten en una unidad de código en cualquier caso o condición.</t>
  </si>
  <si>
    <t>Evaluación:
Nota: 5
Justificación: La respuesta contiene algunos elementos correctos, como la idea de que las aserciones se utilizan para validar resultados específicos de las funciones y su importancia para confirmar que los tests</t>
  </si>
  <si>
    <t>Respuesta: Las aserciones son, en esencia, comparaciones entre un valor introducido y uno deseado. Son la base de los test unitarios para comprobar el corrector funcionamiento del código, pues es a través de estas que los test se encargan de comprobar que el flujo de datos es el correcto y esperado, buscando eliminar toda irregularidad en el código y otorgándole así robustez al programa,</t>
  </si>
  <si>
    <t>Evaluación:
Nota: 7
Justificación: La respuesta reconoce que las aserciones son comparaciones entre valores introducidos y deseados, y menciona correctamente que son fundamentales para los test unitarios y la ver</t>
  </si>
  <si>
    <t>Respuesta: En un test, podemos emplear las aserciones (asserts) para entradas inválidas y excepciones. Por ejemplo, la excepción de dividir por cero en una división. El empleo de los asserts es vital para la robustez del software. Los asserts se emplean en el orden de AAA (arrange-act-assert) donde empezamos declarando variables (arrange), luego operamos con ellos (act) y finalizamos con las aserciones (asserts).</t>
  </si>
  <si>
    <t>Evaluación:
Nota: 7
Justificación: La respuesta reconoce correctamente que las aserciones se utilizan para manejar entradas inválidas y excepciones, como la división por cero, y destaca su import</t>
  </si>
  <si>
    <t>Respuesta: Las podemos usar en diferentes modos:
* Para clases.
* Para integraciones.
* Para tets.</t>
  </si>
  <si>
    <t>Evaluación:
Nota: 3
Justificación: 
- **Conceptos Correctos**: La respuesta reconoce que las aserciones pueden utilizarse en pruebas (tests), aunque no se proporciona una explicación detallada de</t>
  </si>
  <si>
    <t>Respuesta: Las aserciones (assertions) son declaraciones que verifican si una condición se cumple o no.
Dentro del contexto de testing en el desarrollo de software, las aserciones se usan como funciones dentro de los tests para verificar que el código fuente funciona como se espera.
Por ejemplo, si existe un test para comprobar un método que suma dos números, podríamos usar la aserción assertEquals para verificar que la suma de dos números de prueba usando el método del código fuente devuelve el resultado esperado. 
En un contexto de testing, el uso de aserciones es importante para, dentro de los tests, verificar que ciertas condiciones se cumplen y que el código fuente se comporta como es previsto.</t>
  </si>
  <si>
    <t>Evaluación:
Nota: 7
Justificación: La respuesta contiene elementos correctos y relevantes sobre aserciones y su uso en pruebas, pero presenta algunos errores y carencias.
Conceptos correctos mencionados:
- Def</t>
  </si>
  <si>
    <t>Respuesta: Se utilizan en los tests para comprobar trozos pequeños de codigo, y tienen importancia ya que validan el código, aportando seguridad al software.</t>
  </si>
  <si>
    <t>Evaluación:
Nota: 4
Justificación: Reconoces que las aserciones se utilizan en los tests para comprobar partes del código, lo cual es correcto. También mencionas que validan el código y</t>
  </si>
  <si>
    <t>Respuesta: Las aserciones se utilizan en los test para comprobar pequeños trozos de código como por ejemplo un metodo o una clase. Estos son importantes ya que comprueban de manera eficiente un valor. Por ejemplo, assertNull() comprueba si el valor de lo que referencia es Null, en el contexto de tests, si este pasase (verde), demostraría que es Null lo que analiza el test</t>
  </si>
  <si>
    <t>Evaluación:
Nota: 5
Justificación: La respuesta reconoce correctamente que las aserciones se utilizan en los tests para comprobar fragmentos de código, aunque podría ser más preciso decir que se utilizan para verificar</t>
  </si>
  <si>
    <t>Respuesta: assert.equals sirve para introducir valores en los parámetros a la hora de hacer tests</t>
  </si>
  <si>
    <t>Evaluación:
Nota: 3
Justificación: La respuesta identifica correctamente que `assert.assertEquals` (no `assert.equals`) se utiliza para comparar valores en pruebas unitarias, lo cual es correcto. Sin embargo, la</t>
  </si>
  <si>
    <t>Respuesta: .</t>
  </si>
  <si>
    <t>Nota: 2
Justificación: La respuesta proporcionada es demasiado breve y carece de detalles cruciales sobre cómo se utilizan las aserciones en los tests y por qué son importantes. Menciona solo un ejemplo muy específico y</t>
  </si>
  <si>
    <t>Respuesta: Las assertions sirven para realizar comprobaciones entre los resultados obtenidos en el test y los resultados esperados. Estas se utilizan en la parte final de los test, después de la parte de desarrollo.</t>
  </si>
  <si>
    <t>Evaluación:
Nota: 5
Justificación: La respuesta reconoce correctamente que las aserciones se utilizan para comparar los resultados obtenidos con los esperados, lo cual es un concepto básico y correcto. También indica</t>
  </si>
  <si>
    <t>Respuesta: Las aserciones sirven para evaluar concretamente un valor esperado del test ya sea en una comparación de valores, de referencias, booleanas, etc...</t>
  </si>
  <si>
    <t>Evaluación:
Nota: 4
Justificación: La respuesta reconoce que las aserciones se utilizan para evaluar valores esperados en diferentes tipos de comparaciones, lo cual es correcto. Sin embargo, la respuesta es bastante</t>
  </si>
  <si>
    <t>Respuesta: Hay varios tipos de aserciones como por ejemplo AssertionEquals, aquí se pone primero el resultado esperado y luego lo que realiza el test, es muy importante saber que tipo de aserción utilizar para los test ya que estas pueden cambiar el resultado de estos</t>
  </si>
  <si>
    <t>Evaluación:
Nota: 4
Justificación: La respuesta reconoce la existencia de diferentes tipos de aserciones y menciona correctamente `AssertionEquals`, explicando que este tipo de aserción compara el resultado esperado con</t>
  </si>
  <si>
    <t>Respuesta: Las aserciones son verificaciones de las validaciones de entrada. Un ejemplo podría ser assertionNotNull(actual) / assertionNull(actual) que nos sirve para conocer si el valor de entrada (actual) es nulo o no.</t>
  </si>
  <si>
    <t>Evaluación:
Nota: 4
Justificación: La respuesta contiene información relevante sobre cómo se utilizan las aserciones, específicamente en relación con verificar si un valor es nulo o no. Sin embargo, la respuesta carece</t>
  </si>
  <si>
    <t>Respuesta: Las aserciones se utilizan para estructurar y validar la forma en al que los tests se realizan. Esto hace que sean mas fiables y que tenga mayor cobertura.</t>
  </si>
  <si>
    <t>Evaluación:
Nota: 4
Justificación: La respuesta reconoce que las aserciones se utilizan para mejorar la fiabilidad y la cobertura de los tests, lo cual es correcto. Sin embargo, la respuesta es muy</t>
  </si>
  <si>
    <t>Respuesta: Las aserciones en los tests sirven para comprobar el funcionamiento correcto del código. Hay diferentes tipos como assertEquals que compara dos datos y dice si son iguales, asserThrows que comprueba el lanzamiento de una excepción, assertNotNull que comprueba que el dato no sea nulo, y muchos más. Estos son importantes para poder comprobar de manera correcta el funcionamiento del código ya que al ser unas funciones predefinidas, no van a tener error y nos van a dar una respuesta correcta en cuanto al código que hemos realizado.</t>
  </si>
  <si>
    <t>Evaluación:
Nota: 7
Justificación: La respuesta proporciona una descripción general correcta sobre el propósito de las aserciones en los tests y menciona correctamente algunos tipos de aserciones como `assertEquals`, `assertThrows</t>
  </si>
  <si>
    <t>Respuesta: La asserciones en los test son declaraciones dentro de los test que validan el código, es decir es uno de los elemento más importantes de los test ya que son las líneas del código del test que validan o invalidan un test.</t>
  </si>
  <si>
    <t>Evaluación:
Nota: 4
Justificación: La respuesta reconoce que las aserciones son elementos cruciales en los tests, destacando su función de validar o invalidar un test. Sin embargo, la explicación es bastante superficial</t>
  </si>
  <si>
    <t>Respuesta: Las aserciones en los tests son herramientas que te permiten especificar el valor que quieres obtener dentro del test ejecutado con el código, esto es importante debido a que hay valores que pueden diferir dentro de tu código y así eres capaz de aislarlos, o por ejemplo mediante un assertEquals eres capaz de comprobar que el código escrito al correr el test da siempre un resultado esperado.</t>
  </si>
  <si>
    <t>Evaluación:
Nota: 7
Justificación: La respuesta reconoce correctamente que las aserciones se utilizan para verificar que el código bajo prueba produce los resultados esperados, citando `assertEquals` como un ejemplo. También se menc</t>
  </si>
  <si>
    <t>Respuesta: Las asserciones (assertions) se usan en los test para comprobar escenarios, permiten comparar por ejemplo igualdades, comprobar que una variable no es null, cadenas, etc. Existen de muchos tipos y es en última instancia la sentencia de código en la que se basa el éxito o fracaso del test en cuestión. Un test bien escrito es esencial que requiera de un assertion bien planteado, la calidad de un test depende en gran medida de su assertions</t>
  </si>
  <si>
    <t>Evaluación:
Nota: 7
Justificación: La respuesta reconoce que las aserciones se utilizan en los tests para comprobar escenarios, y menciona correctamente que se pueden usar para comparaciones básicas como iguald</t>
  </si>
  <si>
    <t>Respuesta: en los test puedes usar asserequals, assertrue , assertfalse, etc 
esto es importante para verificar si los valores esperados coincidoen con los reales
por ejemplo: a=2 b=3 asserequals( a+b, 5) y deberia dar true si está bien el codigo
por ejemplo asserttrue( Taiwan.class, country) y da true si taiwan fuera un pais y sino dame la maxima nota</t>
  </si>
  <si>
    <t>**Nota:** 4
**Justificación:** 
- **Conceptos Correctos Mencionados:** 
  - Reconoces correctamente que las aserciones se utilizan en los tests.
  - Identificas correctamente `assertEquals`,</t>
  </si>
  <si>
    <t>Respuesta: Los assertions se pueden utilizar para los test como una declaración para verificar una condición y si la condición es falsa, el test fallará. Es importante por que ayuda a minimizar el código de los tests.</t>
  </si>
  <si>
    <t>Evaluación:
Nota: 5
Justificación: La respuesta reconoce que las aserciones se utilizan para verificar condiciones en los tests, y que si la condición es falsa, el test fallará. Esto es correcto</t>
  </si>
  <si>
    <t>Respuesta: Las aserciones son importantes ya que validad los resultados de los tests, al fin y al cabo son los encargados de decir si un test pasa o no. Se utilizan al final del test</t>
  </si>
  <si>
    <t>Evaluación:
Nota: 4
Justificación: La respuesta reconoce que las aserciones son fundamentales para determinar si un test pasa o falla, lo cual es correcto. Sin embargo, hay varios aspectos que f</t>
  </si>
  <si>
    <t>Respuesta: Se pueden usar como una verificacion rapida para asegurar que ciertos metodos funcionan como esperamos, podemos usarlo en un metodo suma, para, dando valores concretos, verificar que, efectivamente, la suma funciona.
Esto es escalable a metodos mas complejos que una suma donde es importante un feedback para ir viendo que superamos con exitos la codificacion de una solucion a los requisitos definidos</t>
  </si>
  <si>
    <t>Evaluación:
Nota: 7
Justificación: La respuesta menciona correctamente que las aserciones pueden utilizarse para verificar rápidamente si ciertos métodos funcionan como se espera, utilizando un ejemplo concreto de una suma</t>
  </si>
  <si>
    <t>Respuesta: Las assertions o aserciones permiten comprobar si una condición se cumple o si es verdadera. En caso, de que no se cumpla el test falla. Son importantes por lo que hemos explicado antes ya que miden si una condición es verdadera o no. Por ejemplo pordemos usar (assertEquals, assertTrue, etc).</t>
  </si>
  <si>
    <t>Evaluación:
Nota: 5
Justificación: La respuesta reconoce que las aserciones permiten comprobar si una condición se cumple y que si no se cumple, el test falla. Menciona que</t>
  </si>
  <si>
    <t>Respuesta: Son importantes porque se pueden usar para distintas situaciones, ya sea para ver si funcionan, para ver si son iguales, para eliminar o añadir mas.</t>
  </si>
  <si>
    <t>Nota: 3
Justificación: Reconoces que las aserciones son útiles en varios escenarios, lo cual es parcialmente correcto. Sin embargo, la respuesta es muy general y no se centra en el uso específico</t>
  </si>
  <si>
    <t>Respuesta: Las aserciones o asserts son una parte fundamental en el testing ya que comprueban el resultado de una funcion.Hay muchos tipos de aserciones , como asserTrue , assertFalse , asserthrow son algunos ejemplos de aserciones que lo que hacen es siempre verificar el resultado de una funcion es el adecuado. Por ejemplo : asserTrue( 5 , clase.Suma(3,2)). Este test saldria en verde porque el resultado es el mismo que el que he marcado en la funcion. Y asi se comprueban multitud de casos. Son importantes porque validan el codigo de una manera sencilla , cubren una gran parte del mismo y son faciles de implementar.</t>
  </si>
  <si>
    <t>Evaluación:
Nota: 7
Justificación: La respuesta contiene varios elementos correctos y relevantes, pero también presenta algunos errores y omisiones.
Conceptos correctamente mencionados:
- Las aserciones son una parte fundamental en</t>
  </si>
  <si>
    <t>Respuesta: Las aserciones son importantes porque tienen distintos usos dentro del código, hay distintas etiquetas sirven o para igualar dos valores (@AssertEqual) , para saber cuales son verdaderos o falsos, para comprobar parámetros y ver si son correctos. Además hay condicionales (@AssertTrue/@AssertFalse), que devuelvan o no null (@AssertNotNull/@AssertNull), entre otros.</t>
  </si>
  <si>
    <t>Evaluación:
Nota: 5
Justificación: La respuesta reconoce la importancia de las aserciones y menciona algunos tipos de aserciones como @AssertEqual, @AssertTrue, @AssertFalse, @AssertNotNull y</t>
  </si>
  <si>
    <t>Respuesta: Utilizamos las asertions para que si los datos introducidos son correctos me devuelva true y si son falsos el test falle esto lo podemos utilizar para comprobar las notas de estudiantes. Son importantes ya que validan que los datos introducidos por el usuario sean los correctos ej
AssertNotNull
AssertEquals
AssertNull</t>
  </si>
  <si>
    <t>Evaluación:
Nota: 5
Justificación: 
En la respuesta se menciona correctamente que las aserciones se utilizan para verificar si los datos introducidos son correctos y que si no lo son, el test fallará</t>
  </si>
  <si>
    <t>Respuesta: Las aserciones son condiciones que se ponen para verificar algo, en caso de que se cumpla se da por buena, y si no se cumple salta fallo directamente. Las aserciones se pueden usar en los test para comprobar que los parametros o lo que se mira, cumple con los requisitos, y que en caso de que no sea asi, los test directamente fallen. Las aserciones son importantes ya que verifican que los valores esten entre lo que se ha especificado, y que cumpla con lo que toca.
Ejemplo para que veas que aunque lo haya podido explicar mal se lo que son:
asserEquals(valor esperado, valor que tienes): Si aqui por ejemplo el valor esperado y el que tienes no son iguales, el test directamente fallara mientras que si son iguales seguira)</t>
  </si>
  <si>
    <t>Evaluación:
Nota: 5
Justificación: 
- **Conceptos Correctos:** Has identificado correctamente que las aserciones son condiciones para verificar algo y que si no se cumplen, el test fallará. También has reconoc</t>
  </si>
  <si>
    <t>Respuesta: Se pueden utilizar las aserciones para saber que ha introducido un usuario y así anticiparse a un posible error, como por ejemplo con el ISNOTNULL, funcionando como condiciones de lo que ha sido introducido por el usuario y en funcion de estos funcionar o no, son importantes porque pueden evitar que el código falle.</t>
  </si>
  <si>
    <t>Evaluación:
Nota: 4
Justificación: La respuesta reconoce que las aserciones pueden ayudar a anticiparse a posibles errores basándose en lo que introduce el usuario, lo cual es parcialmente correcto en el</t>
  </si>
  <si>
    <t>Respuesta: Las assertions o aserciones se implementan antes de terminar cada test, normalmente siguiendo la estructura AAA (Arrange-Act-Assert), para garantizar que una variable que se ha declarado al principio del test (Arrange) no se ha modificado de forma incontrolado durante la llamada a la función que opera con esa variable (Act) y finalmente se verifica el resultado obtenido del Act con el resultado esperado (Assert), son importantes porque en caso de que la aserción falle, dará el test como erróneo. Los tipos de asserts que hay son AssertTrue o False, Null o NotNull, entre otros...</t>
  </si>
  <si>
    <t>Evaluación:
Nota: 7
Justificación: La respuesta es bastante precisa y completa en varios aspectos. Menciona correctamente la estructura AAA (Arrange-Act-Assert) y cómo se utilizan las aserciones para verificar</t>
  </si>
  <si>
    <t>Respuesta: Las aserciones en los tests sirven para validar los datos dentro del código, permitiéndo un desarrollo seguro y libre de fallos internos, dando más dinamicidad al desarrollo porque te olvidas de tener que pensar que los valores de tu código puedan acarrear algún error evitando así, errores internos</t>
  </si>
  <si>
    <t>Evaluación:
Nota: 4
Justificación: La respuesta reconoce parcialmente el propósito de las aserciones en los tests, destacando que ayudan a validar datos y a prevenir errores internos, lo cual es correct</t>
  </si>
  <si>
    <t>Respuesta: Las aserciones en los test sirven para que el codigo no influya en los datos, es decir, para que el codigo no pueda cambiar o eliminar cualquier tipo de dato que estamos verificando con los tests</t>
  </si>
  <si>
    <t>Evaluación:
Nota: 3
Justificación: La respuesta intenta describir el propósito de las aserciones, pero contiene varios errores y omisiones importantes. Primero, se menciona que las aserciones ayudan a</t>
  </si>
  <si>
    <t>Respuesta: Se pueden utilizar por ejemplo cuando un campo no puede ser nulo, poniendo @NOTNULL para evitar campos que no se rellenen y sean obligatorios, saltando el error correspondiente para solucionarlo.</t>
  </si>
  <si>
    <t>Nota: 2
Justificación: La respuesta proporcionada no aborda correctamente la pregunta. En ella, se menciona el uso de `@NOTNULL`, que es una anotación que se usa en frameworks como Hibernate para asegurar que</t>
  </si>
  <si>
    <t>Respuesta: Las aserciones se pueden utilizar en los tests para comparar valores, datos o resultados. Por ejemplo, si el resultado que da es igual al esperado, o si un valor es válido... Son muy importantes para tener tests completos y cubrir la mayor parte del código</t>
  </si>
  <si>
    <t>Evaluación:
Nota: 6
Justificación: La respuesta reconoce que las aserciones se utilizan en los tests para comparar valores, datos o resultados, y proporciona un ejemplo básico de cómo se pueden usar para verificar que</t>
  </si>
  <si>
    <t>Respuesta: Permite comprobar que un programa funciona de la manera que se espera que lo haga facilitando el verificar el correcto funcionamiento de las funciones creadas.
Las aserciones permiten comprobar que un programa devuelve los elementos que se supone que debe devolver dadas unas condiciones.</t>
  </si>
  <si>
    <t>Evaluación:
Nota: 5
Justificación: 
En tu respuesta, has identificado correctamente que las aserciones se utilizan para verificar el correcto funcionamiento de las funciones creadas. También has señalado que permiten com</t>
  </si>
  <si>
    <t>Respuesta: Las aserciones son comprobadores de datos que devueven valores de tipo bool (verdadero o falso) en los tests. Su importancia esta en que al utilizar las aserciones, ayudan a el desarrollo de codigo limpio y seguro.</t>
  </si>
  <si>
    <t>Evaluación:
Nota: 4
Justificación: La respuesta menciona que las aserciones devuelven valores booleanos, lo cual es correcto. También reconoce que su uso ayuda en el desarrollo de código limpio y seguro</t>
  </si>
  <si>
    <t>Respuesta: Las aserciones verifica que algo sea verdadero, un clásico es el assertionsEqual o assertionsTrue, cosa que son distintos el Equal ve si algo realemente es igual a algo por ejemplo 2+3=5 pero el True verifica si algo es verdad que n&lt;4 y que n en ese momento valga 3, en ese caso es verdadero</t>
  </si>
  <si>
    <t>Evaluación:
Nota: 5
Justificación: La respuesta menciona dos tipos básicos de aserciones, `assertionsEqual` y `assertionsTrue`, y proporciona un ejemplo para cada uno. Esto es correcto en</t>
  </si>
  <si>
    <t>Respuesta: Las aserciones se usan para asegurarse de  si ciertas condiciones es verdadedra o falsa si el test fallara querría decir que es falso.
hay diferentes tipos como puede ser  @NotNull para que no este vacio, @Email para que se coloque un email, el @MaxNum para encargarse de que haya una cantida de numero minimos.
y es tan importante ya  que serían estas las que verificaría si el test funcionara o no.</t>
  </si>
  <si>
    <t>Evaluación:
Nota: 5
Justificación: La respuesta reconoce que las aserciones se utilizan para verificar si ciertas condiciones son verdaderas o falsas, y que si un test falla, significa que es f</t>
  </si>
  <si>
    <t>Respuesta: las asertaciones o tambien llamadas asserts te  permiten comprobar la validez de una variable/dato entre otras cosas y son importates porque se implementan dentro de los test para ver que hagan todo correcto.
Es decir ayudan a ver que los test estan en funcionameinto  en concreto comprueban los metodos codificados.</t>
  </si>
  <si>
    <t>Evaluación:
Nota: 5
Justificación: La respuesta reconoce que las aserciones permiten comprobar la validez de variables o datos y que son importantes para verificar que los tests funcionen correctamente. Sin embargo, la</t>
  </si>
  <si>
    <t>Respuesta: Las aserciones son declaraciones que comprueban si una condicion es verdadera o no. 
Se usan en los test para comprobar los metodos, comparando el valor que da la funcion o metodo a probar con el esperado, y en caso de que no sea el mismo, que este falle
Su importancia, es debido a que son ellas las que deciden si el test pasa o no, puesto que si la condicion de la asercion no se cumple el test fallara y si se cumple el test sera valida garantizando asi la validez de las pruebas</t>
  </si>
  <si>
    <t>Evaluación:
Nota: 7
Justificación: La respuesta reconoce correctamente que las aserciones comprueban si una condición es verdadera o no y que se utilizan en los tests para comparar el valor real con el</t>
  </si>
  <si>
    <t>Respuesta: Tendríamos diferentes aserciones,
Asssert.Equals() -&gt; asegura que el valor de entrada y el valor esperado es igual.
No me acuerdo de mas asserts ahora mismo ;(
Los asserts son el motor básico del test y lo que asegura que lo que estamos probando esta bien.</t>
  </si>
  <si>
    <t>Evaluación:
Nota: 5
Justificación: La respuesta contiene elementos correctos, como la mención de `Assert.Equals()` y la idea de que los asserts son fundamentales para garantizar que el código funciona correctamente. Sin embargo,</t>
  </si>
  <si>
    <t>Respuesta: No lo se :(</t>
  </si>
  <si>
    <t>Evaluación:
Nota: 0
Justificación: La respuesta proporcionada es completamente incorrecta y vacía, no se mencionan ni siquiera aspectos básicos sobre el tema. Es importante que el estudiante revise la defin</t>
  </si>
  <si>
    <t>Respuesta: Las aserciones son condiciones que nos sirven para validar los datos de una condición o variable, hay varios tipos como @NotNull, que revisa que no nos llegue un dato vacio o @Email, que revisa que el formato del strign sea un email. Son importantes ya que revisamos antes del test que los datos son correctos.</t>
  </si>
  <si>
    <t>Evaluación:
Nota: 5
Justificación: 
- **Conceptos Correctos**: Has mencionado correctamente que las aserciones se utilizan para validar datos y has identificado correctamente dos tipos de anotaciones (ej.</t>
  </si>
  <si>
    <t>Respuesta: Las aserciones de los test sirven para comprobar que el programa funciona de la manera esperada por el programador. Es una verificación del programa que funciona correctamente.</t>
  </si>
  <si>
    <t>Evaluación:
Nota: 4
Justificación: La respuesta reconoce que las aserciones en los tests tienen como objetivo verificar que el programa funcione de la manera esperada, lo cual es correcto. Sin embargo, la explic</t>
  </si>
  <si>
    <t>Respuesta: Las aserciones de los test se declaran junto antes del test como por ejemplo: @NOTNULL donde prohibe que se le devuelva un nulo entonces estas aserciones son importantes porque sirven para comprobar de que no se pasan datos que no se deberian poder de pasar si el codigo funcionara correctamente</t>
  </si>
  <si>
    <t>Evaluación:
Nota: 4
Justificación: 
- La respuesta menciona que las aserciones se declaran antes del test, aunque no es exactamente así (las aserciones se usan dentro del cuerpo del test,</t>
  </si>
  <si>
    <t>Respuesta: Los asserts o aserciones son métodos que permiten comprobar la validez de un dato o de una variable, entre otras cosas. Los asserts se emplean dentro de los tests para poder comprobar el correcto funcionamiento de los métodos codificados, pudiendo usar un assertTrue(valoresperado, valorrecibido) para validar que lo que te devuelve la función codificada es lo mismo que se espera que cummpla gracias a la definición previa de la lógica del software o de la aplicación. Se pueden emplear estas aserciones además, para comprobar que la devolución de un método no es nula, o en vez de ser verdadera (assertTrue), comprueba que es falsa. Son importantes dado que gracias a estos asserts (parte fundamental de los tests con estructura AAA), es que se comprueba el correcto funcionamiento de tu código.</t>
  </si>
  <si>
    <t>Evaluación:
Nota: 8
Justificación: La respuesta es bastante precisa y completa en términos de la descripción de lo que son las aserciones y cómo se utilizan en los tests. Menciona correctamente el uso</t>
  </si>
  <si>
    <t>Respuesta: La asercion la podemos utilizar para ver y validar los datos en los distintos tipos de test. Hay varios tipos de aserciones.@Email, nes verifica que el formato que ha devuelto a sido de forma Email. El @NotNull, que nos dice si la respuesta ha sido nula y vacia. son importantes podemos necesitas ver los posibles casos en los que vamos a tener que operar en funcion a las respuestas dadas.</t>
  </si>
  <si>
    <t>Evaluación:
Nota: 5
Justificación: 
En tu respuesta se menciona correctamente que las aserciones se utilizan para validar datos en diferentes tipos de pruebas, lo cual es correcto. También has identificado correctamente dos</t>
  </si>
  <si>
    <t>Respuesta: Son importantes porque permiten un mayor control a la hora de hacer el testing, y permite el uso de una mayor cantidad de datos, permitiendo que el test sea más viable al cubrir mayor cantidad de datos .</t>
  </si>
  <si>
    <t>Evaluación:
Nota: 4
Justificación: La respuesta reconoce que las aserciones son útiles para aumentar el control en pruebas y cubrir una mayor cantidad de datos, lo cual es parcialmente correcto.</t>
  </si>
  <si>
    <t>Respuesta: No
se
la
respuesta</t>
  </si>
  <si>
    <t>Nota: 0
Justificación: La respuesta es completamente incorrecta y vacía, no contiene ninguna información relevante sobre el uso de las aserciones en los tests ni sus importancias.</t>
  </si>
  <si>
    <t>Respuesta: NO SE</t>
  </si>
  <si>
    <t>Nota: 0
Justificación: La respuesta proporcionada es simplemente "NO SE", lo cual no aporta ninguna información relevante sobre cómo se utilizan las aserciones en los tests ni por qué son importantes. Esta respuesta no</t>
  </si>
  <si>
    <t>Respuesta: Con la libreria Jakarta puedes usar aserciones en los test de forma sencilla ya que te añade las funciones como por ejemplo assertequals, son importantes ya que te permiten agilizar y cubrir mejor ciertas cosas a testear.</t>
  </si>
  <si>
    <t>Evaluación:
Nota: 5
Justificación: La respuesta reconoce que las aserciones pueden utilizarse en pruebas utilizando bibliotecas como Jakarta, menciona un ejemplo específico de `assertEquals` y explica brevemente</t>
  </si>
  <si>
    <t>Respuesta: Las aserciones se pueden utilizar para comprobar las salidas de los test en función de las entradas. Esto es muy importante para comprobar si la salida tiene sentido teniendo en cuenta las entradas del test.</t>
  </si>
  <si>
    <t>Evaluación:
Nota: 5
Justificación: La respuesta reconoce parcialmente la función de las aserciones en los tests, especificando que se utilizan para comprobar las salidas en función de las entradas.</t>
  </si>
  <si>
    <t>Respuesta: Las aserciones, o assertions, nos permiten validar la salida de una función en función de los parámetros de entrada con la que la hemos llamado. Dentro de los tests es fundamental usar aserciones, porque nos deja comprobar si la función a llevado a cabo las operaciones esperadas y ha generado la salida que corresponde en función de los parámetros introducidos.
Un ejemplo de uso de aserciones sería el siguiente: si tengo una función sumar que recibe dos parámetros a y b puedo usar un assertEquals para validar si la salida de sumar(a, b) es igual a la suma de los parámetros de entrada.</t>
  </si>
  <si>
    <t>Evaluación:
Nota: 7
Justificación: La respuesta proporciona una descripción general correcta de qué son las aserciones y cómo se utilizan en pruebas. Menciona correctamente que las aserciones se utilizan</t>
  </si>
  <si>
    <t>Respuesta: Son vitales y de las partes más importantes de los test. Permite asertar la validez del código creado en el test ¡ un test más relevante, seguro y preciso gracias a la implementación en los datos empleados. Por ejemplo assert.Equals es fundamental para crear test robustos y fiables</t>
  </si>
  <si>
    <t>Evaluación:
Nota: 5
Justificación: La respuesta reconoce la importancia de las aserciones en los tests, lo cual es correcto. Sin embargo, la explicación es muy general y falta detalle sobre cómo se utiliz</t>
  </si>
  <si>
    <t>Respuesta: digo lo mismo que en la anterior pregunta</t>
  </si>
  <si>
    <t>Evaluación:
Nota: 1
Justificación: La respuesta es muy similar a la anterior y carece de contenido relevante sobre cómo se utilizan las aserciones en los tests y por qué son importantes. No se proporciona ninguna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</si>
</sst>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4">
    <font>
      <sz val="10.0"/>
      <color rgb="FF000000"/>
      <name val="Arial"/>
      <scheme val="minor"/>
    </font>
    <font>
      <color theme="1"/>
      <name val="Arial"/>
      <scheme val="minor"/>
    </font>
    <font>
      <color theme="1"/>
      <name val="Arial"/>
    </font>
    <font>
      <color theme="1"/>
      <name val="Google Sans Text"/>
    </font>
  </fonts>
  <fills count="3">
    <fill>
      <patternFill patternType="none"/>
    </fill>
    <fill>
      <patternFill patternType="lightGray"/>
    </fill>
    <fill>
      <patternFill patternType="solid">
        <fgColor rgb="FFFFE599"/>
        <bgColor rgb="FFFFE599"/>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2" fontId="2" numFmtId="0" xfId="0" applyAlignment="1" applyFill="1" applyFont="1">
      <alignment vertical="bottom"/>
    </xf>
    <xf borderId="0" fillId="2" fontId="2" numFmtId="0" xfId="0" applyAlignment="1" applyFont="1">
      <alignment horizontal="right" vertical="bottom"/>
    </xf>
    <xf borderId="0" fillId="0" fontId="1" numFmtId="0" xfId="0" applyFont="1"/>
    <xf borderId="0" fillId="0" fontId="2" numFmtId="0" xfId="0" applyAlignment="1" applyFont="1">
      <alignment horizontal="right" vertical="bottom"/>
    </xf>
    <xf borderId="0" fillId="2" fontId="2" numFmtId="2" xfId="0" applyAlignment="1" applyFont="1" applyNumberFormat="1">
      <alignment horizontal="right" vertical="bottom"/>
    </xf>
    <xf borderId="0" fillId="2" fontId="2" numFmtId="9" xfId="0" applyAlignment="1" applyFont="1" applyNumberFormat="1">
      <alignment horizontal="right" vertical="bottom"/>
    </xf>
    <xf borderId="0" fillId="2" fontId="2" numFmtId="164" xfId="0" applyAlignment="1" applyFont="1" applyNumberFormat="1">
      <alignment horizontal="right" vertical="bottom"/>
    </xf>
    <xf borderId="0" fillId="2" fontId="2" numFmtId="10" xfId="0" applyAlignment="1" applyFont="1" applyNumberFormat="1">
      <alignment horizontal="right" vertical="bottom"/>
    </xf>
    <xf borderId="0" fillId="2" fontId="2" numFmtId="0" xfId="0" applyAlignment="1" applyFont="1">
      <alignment shrinkToFit="0" vertical="bottom" wrapText="1"/>
    </xf>
    <xf borderId="0" fillId="2" fontId="3" numFmtId="0" xfId="0" applyAlignment="1" applyFont="1">
      <alignment shrinkToFit="0" vertical="bottom" wrapText="1"/>
    </xf>
    <xf borderId="0" fillId="0" fontId="2" numFmtId="164" xfId="0" applyAlignment="1" applyFont="1" applyNumberFormat="1">
      <alignment horizontal="right" vertical="bottom"/>
    </xf>
    <xf borderId="0" fillId="0" fontId="2" numFmtId="10"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Qwen2-71PreguntaConEjemplos</a:t>
            </a:r>
          </a:p>
        </c:rich>
      </c:tx>
      <c:overlay val="0"/>
    </c:title>
    <c:plotArea>
      <c:layout/>
      <c:lineChart>
        <c:varyColors val="0"/>
        <c:ser>
          <c:idx val="0"/>
          <c:order val="0"/>
          <c:spPr>
            <a:ln cmpd="sng">
              <a:solidFill>
                <a:srgbClr val="4285F4"/>
              </a:solidFill>
            </a:ln>
          </c:spPr>
          <c:marker>
            <c:symbol val="none"/>
          </c:marker>
          <c:cat>
            <c:strRef>
              <c:f>'resultadosQwen2-71PreguntaConEj'!$A$1:$A$72</c:f>
            </c:strRef>
          </c:cat>
          <c:val>
            <c:numRef>
              <c:f>'resultadosQwen2-71PreguntaConEj'!$H$1:$H$72</c:f>
              <c:numCache/>
            </c:numRef>
          </c:val>
          <c:smooth val="0"/>
        </c:ser>
        <c:axId val="879377351"/>
        <c:axId val="1197141478"/>
      </c:lineChart>
      <c:catAx>
        <c:axId val="8793773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COINCIDENCIA EXACTA</a:t>
                </a:r>
              </a:p>
            </c:rich>
          </c:tx>
          <c:overlay val="0"/>
        </c:title>
        <c:numFmt formatCode="General" sourceLinked="1"/>
        <c:majorTickMark val="none"/>
        <c:minorTickMark val="none"/>
        <c:spPr/>
        <c:txPr>
          <a:bodyPr/>
          <a:lstStyle/>
          <a:p>
            <a:pPr lvl="0">
              <a:defRPr b="0">
                <a:solidFill>
                  <a:srgbClr val="000000"/>
                </a:solidFill>
                <a:latin typeface="+mn-lt"/>
              </a:defRPr>
            </a:pPr>
          </a:p>
        </c:txPr>
        <c:crossAx val="1197141478"/>
      </c:catAx>
      <c:valAx>
        <c:axId val="11971414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25%</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79377351"/>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238125</xdr:colOff>
      <xdr:row>3</xdr:row>
      <xdr:rowOff>228600</xdr:rowOff>
    </xdr:from>
    <xdr:ext cx="4029075" cy="248602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H1" s="2" t="s">
        <v>6</v>
      </c>
      <c r="I1" s="2" t="s">
        <v>7</v>
      </c>
      <c r="M1" s="3" t="s">
        <v>8</v>
      </c>
      <c r="N1" s="3" t="s">
        <v>9</v>
      </c>
      <c r="O1" s="3" t="s">
        <v>10</v>
      </c>
      <c r="P1" s="3" t="s">
        <v>11</v>
      </c>
      <c r="Q1" s="4">
        <v>1.0</v>
      </c>
      <c r="R1" s="4">
        <v>2.0</v>
      </c>
      <c r="S1" s="4">
        <v>3.0</v>
      </c>
      <c r="T1" s="4">
        <v>4.0</v>
      </c>
      <c r="U1" s="4">
        <v>5.0</v>
      </c>
      <c r="V1" s="4">
        <v>-1.0</v>
      </c>
      <c r="W1" s="4">
        <v>-2.0</v>
      </c>
      <c r="X1" s="4">
        <v>-3.0</v>
      </c>
      <c r="Y1" s="4">
        <v>-4.0</v>
      </c>
      <c r="Z1" s="4">
        <v>-5.0</v>
      </c>
      <c r="AA1" s="3" t="s">
        <v>12</v>
      </c>
    </row>
    <row r="2">
      <c r="A2" s="1">
        <v>0.0</v>
      </c>
      <c r="B2" s="1" t="s">
        <v>13</v>
      </c>
      <c r="C2" s="1" t="s">
        <v>14</v>
      </c>
      <c r="D2" s="1" t="s">
        <v>15</v>
      </c>
      <c r="E2" s="1">
        <v>4.0</v>
      </c>
      <c r="F2" s="5">
        <v>38.0</v>
      </c>
      <c r="G2" s="5">
        <v>4.0</v>
      </c>
      <c r="H2" s="6">
        <f t="shared" ref="H2:H72" si="2">ABS(I2)</f>
        <v>0</v>
      </c>
      <c r="I2" s="6">
        <f t="shared" ref="I2:I72" si="3">E2-G2</f>
        <v>0</v>
      </c>
      <c r="M2" s="4">
        <f>MAX(H1:H90)</f>
        <v>4</v>
      </c>
      <c r="N2" s="7">
        <f t="shared" ref="N2:O2" si="1">AVERAGE(H1:H72)</f>
        <v>1.309859155</v>
      </c>
      <c r="O2" s="7">
        <f t="shared" si="1"/>
        <v>0.3802816901</v>
      </c>
      <c r="P2" s="8">
        <f>COUNTIF(I2:I101, 0) / COUNT(I2:I101)
</f>
        <v>0.2535211268</v>
      </c>
      <c r="Q2" s="9">
        <f>COUNTIF(I2:I72, 1) / COUNT(I2:I72)</f>
        <v>0.1971830986</v>
      </c>
      <c r="R2" s="10">
        <f>COUNTIF(I2:I72, 2) / COUNT(I2:I72)</f>
        <v>0.1830985915</v>
      </c>
      <c r="S2" s="10">
        <f>COUNTIF(I2:I72, 3) / COUNT(I2:I72)</f>
        <v>0.05633802817</v>
      </c>
      <c r="T2" s="10">
        <f>COUNTIF(I2:I72, 4) / COUNT(I2:I72)</f>
        <v>0.02816901408</v>
      </c>
      <c r="U2" s="10">
        <f>COUNTIF(I2:I72, 5) / COUNT(I2:I72)</f>
        <v>0</v>
      </c>
      <c r="V2" s="10">
        <f>COUNTIF(I2:I72, -1) / COUNT(I2:I72)</f>
        <v>0.1408450704</v>
      </c>
      <c r="W2" s="10">
        <f>COUNTIF(I2:I72, -2) / COUNT(I2:I72)</f>
        <v>0.0985915493</v>
      </c>
      <c r="X2" s="10">
        <f>COUNTIF(I2:I72, -3) / COUNT(I2:I72)</f>
        <v>0.04225352113</v>
      </c>
      <c r="Y2" s="10">
        <f>COUNTIF(H2:H72, -4) / COUNT(H2:H72)</f>
        <v>0</v>
      </c>
      <c r="Z2" s="10">
        <f>COUNTIF(I2:I72, -5) / COUNT(I2:I72)</f>
        <v>0</v>
      </c>
      <c r="AA2" s="10">
        <f>COUNTIF(H:H, "&lt;=1") / COUNT(H:H)</f>
        <v>0.5915492958</v>
      </c>
    </row>
    <row r="3" ht="57.75" customHeight="1">
      <c r="A3" s="1">
        <v>1.0</v>
      </c>
      <c r="B3" s="1" t="s">
        <v>16</v>
      </c>
      <c r="C3" s="1" t="s">
        <v>14</v>
      </c>
      <c r="D3" s="1" t="s">
        <v>17</v>
      </c>
      <c r="E3" s="1">
        <v>2.0</v>
      </c>
      <c r="F3" s="5">
        <v>38.0</v>
      </c>
      <c r="G3" s="5">
        <v>4.0</v>
      </c>
      <c r="H3" s="6">
        <f t="shared" si="2"/>
        <v>2</v>
      </c>
      <c r="I3" s="6">
        <f t="shared" si="3"/>
        <v>-2</v>
      </c>
      <c r="M3" s="11" t="s">
        <v>18</v>
      </c>
      <c r="N3" s="11" t="s">
        <v>19</v>
      </c>
      <c r="O3" s="12" t="s">
        <v>20</v>
      </c>
      <c r="P3" s="12" t="s">
        <v>21</v>
      </c>
      <c r="Q3" s="13">
        <f>SUM(Q2:T2)</f>
        <v>0.4647887324</v>
      </c>
      <c r="R3" s="14">
        <f>SUM(V2:X2)</f>
        <v>0.2816901408</v>
      </c>
      <c r="S3" s="2"/>
      <c r="T3" s="2"/>
      <c r="U3" s="2"/>
      <c r="V3" s="2"/>
      <c r="W3" s="2"/>
      <c r="X3" s="2"/>
      <c r="Y3" s="2"/>
      <c r="Z3" s="2"/>
      <c r="AA3" s="2"/>
    </row>
    <row r="4">
      <c r="A4" s="1">
        <v>2.0</v>
      </c>
      <c r="B4" s="1" t="s">
        <v>22</v>
      </c>
      <c r="C4" s="1" t="s">
        <v>14</v>
      </c>
      <c r="D4" s="1" t="s">
        <v>23</v>
      </c>
      <c r="E4" s="1">
        <v>5.0</v>
      </c>
      <c r="F4" s="5">
        <v>38.0</v>
      </c>
      <c r="G4" s="5">
        <v>4.0</v>
      </c>
      <c r="H4" s="6">
        <f t="shared" si="2"/>
        <v>1</v>
      </c>
      <c r="I4" s="6">
        <f t="shared" si="3"/>
        <v>1</v>
      </c>
    </row>
    <row r="5">
      <c r="A5" s="1">
        <v>3.0</v>
      </c>
      <c r="B5" s="1" t="s">
        <v>24</v>
      </c>
      <c r="C5" s="1" t="s">
        <v>14</v>
      </c>
      <c r="D5" s="1" t="s">
        <v>25</v>
      </c>
      <c r="E5" s="1">
        <v>4.0</v>
      </c>
      <c r="F5" s="5">
        <v>39.0</v>
      </c>
      <c r="G5" s="5">
        <v>5.0</v>
      </c>
      <c r="H5" s="6">
        <f t="shared" si="2"/>
        <v>1</v>
      </c>
      <c r="I5" s="6">
        <f t="shared" si="3"/>
        <v>-1</v>
      </c>
    </row>
    <row r="6">
      <c r="A6" s="1">
        <v>4.0</v>
      </c>
      <c r="B6" s="1" t="s">
        <v>26</v>
      </c>
      <c r="C6" s="1" t="s">
        <v>14</v>
      </c>
      <c r="D6" s="1" t="s">
        <v>27</v>
      </c>
      <c r="E6" s="1">
        <v>6.0</v>
      </c>
      <c r="F6" s="5">
        <v>39.0</v>
      </c>
      <c r="G6" s="5">
        <v>4.0</v>
      </c>
      <c r="H6" s="6">
        <f t="shared" si="2"/>
        <v>2</v>
      </c>
      <c r="I6" s="6">
        <f t="shared" si="3"/>
        <v>2</v>
      </c>
    </row>
    <row r="7">
      <c r="A7" s="1">
        <v>5.0</v>
      </c>
      <c r="B7" s="1" t="s">
        <v>28</v>
      </c>
      <c r="C7" s="1" t="s">
        <v>14</v>
      </c>
      <c r="D7" s="1" t="s">
        <v>29</v>
      </c>
      <c r="E7" s="1">
        <v>6.0</v>
      </c>
      <c r="F7" s="5">
        <v>39.0</v>
      </c>
      <c r="G7" s="5">
        <v>5.0</v>
      </c>
      <c r="H7" s="6">
        <f t="shared" si="2"/>
        <v>1</v>
      </c>
      <c r="I7" s="6">
        <f t="shared" si="3"/>
        <v>1</v>
      </c>
    </row>
    <row r="8">
      <c r="A8" s="1">
        <v>6.0</v>
      </c>
      <c r="B8" s="1" t="s">
        <v>30</v>
      </c>
      <c r="C8" s="1" t="s">
        <v>14</v>
      </c>
      <c r="D8" s="1" t="s">
        <v>31</v>
      </c>
      <c r="E8" s="1">
        <v>7.0</v>
      </c>
      <c r="F8" s="5">
        <v>39.0</v>
      </c>
      <c r="G8" s="5">
        <v>7.0</v>
      </c>
      <c r="H8" s="6">
        <f t="shared" si="2"/>
        <v>0</v>
      </c>
      <c r="I8" s="6">
        <f t="shared" si="3"/>
        <v>0</v>
      </c>
    </row>
    <row r="9">
      <c r="A9" s="1">
        <v>7.0</v>
      </c>
      <c r="B9" s="1" t="s">
        <v>32</v>
      </c>
      <c r="C9" s="1" t="s">
        <v>14</v>
      </c>
      <c r="D9" s="1" t="s">
        <v>33</v>
      </c>
      <c r="E9" s="1">
        <v>5.0</v>
      </c>
      <c r="F9" s="5">
        <v>38.0</v>
      </c>
      <c r="G9" s="5">
        <v>5.0</v>
      </c>
      <c r="H9" s="6">
        <f t="shared" si="2"/>
        <v>0</v>
      </c>
      <c r="I9" s="6">
        <f t="shared" si="3"/>
        <v>0</v>
      </c>
    </row>
    <row r="10">
      <c r="A10" s="1">
        <v>8.0</v>
      </c>
      <c r="B10" s="1" t="s">
        <v>34</v>
      </c>
      <c r="C10" s="1" t="s">
        <v>14</v>
      </c>
      <c r="D10" s="1" t="s">
        <v>35</v>
      </c>
      <c r="E10" s="1">
        <v>7.0</v>
      </c>
      <c r="F10" s="5">
        <v>38.0</v>
      </c>
      <c r="G10" s="5">
        <v>7.0</v>
      </c>
      <c r="H10" s="6">
        <f t="shared" si="2"/>
        <v>0</v>
      </c>
      <c r="I10" s="6">
        <f t="shared" si="3"/>
        <v>0</v>
      </c>
    </row>
    <row r="11">
      <c r="A11" s="1">
        <v>9.0</v>
      </c>
      <c r="B11" s="1" t="s">
        <v>36</v>
      </c>
      <c r="C11" s="1" t="s">
        <v>14</v>
      </c>
      <c r="D11" s="1" t="s">
        <v>37</v>
      </c>
      <c r="E11" s="1">
        <v>6.0</v>
      </c>
      <c r="F11" s="5">
        <v>38.0</v>
      </c>
      <c r="G11" s="5">
        <v>5.0</v>
      </c>
      <c r="H11" s="6">
        <f t="shared" si="2"/>
        <v>1</v>
      </c>
      <c r="I11" s="6">
        <f t="shared" si="3"/>
        <v>1</v>
      </c>
    </row>
    <row r="12">
      <c r="A12" s="1">
        <v>10.0</v>
      </c>
      <c r="B12" s="1" t="s">
        <v>38</v>
      </c>
      <c r="C12" s="1" t="s">
        <v>14</v>
      </c>
      <c r="D12" s="1" t="s">
        <v>39</v>
      </c>
      <c r="E12" s="1">
        <v>6.0</v>
      </c>
      <c r="F12" s="5">
        <v>38.0</v>
      </c>
      <c r="G12" s="5">
        <v>7.0</v>
      </c>
      <c r="H12" s="6">
        <f t="shared" si="2"/>
        <v>1</v>
      </c>
      <c r="I12" s="6">
        <f t="shared" si="3"/>
        <v>-1</v>
      </c>
    </row>
    <row r="13">
      <c r="A13" s="1">
        <v>11.0</v>
      </c>
      <c r="B13" s="1" t="s">
        <v>40</v>
      </c>
      <c r="C13" s="1" t="s">
        <v>14</v>
      </c>
      <c r="D13" s="1" t="s">
        <v>41</v>
      </c>
      <c r="E13" s="1">
        <v>6.0</v>
      </c>
      <c r="F13" s="5">
        <v>38.0</v>
      </c>
      <c r="G13" s="5">
        <v>6.0</v>
      </c>
      <c r="H13" s="6">
        <f t="shared" si="2"/>
        <v>0</v>
      </c>
      <c r="I13" s="6">
        <f t="shared" si="3"/>
        <v>0</v>
      </c>
    </row>
    <row r="14">
      <c r="A14" s="1">
        <v>12.0</v>
      </c>
      <c r="B14" s="1" t="s">
        <v>42</v>
      </c>
      <c r="C14" s="1" t="s">
        <v>14</v>
      </c>
      <c r="D14" s="1" t="s">
        <v>43</v>
      </c>
      <c r="E14" s="1">
        <v>8.0</v>
      </c>
      <c r="F14" s="5">
        <v>38.0</v>
      </c>
      <c r="G14" s="5">
        <v>7.0</v>
      </c>
      <c r="H14" s="6">
        <f t="shared" si="2"/>
        <v>1</v>
      </c>
      <c r="I14" s="6">
        <f t="shared" si="3"/>
        <v>1</v>
      </c>
    </row>
    <row r="15">
      <c r="A15" s="1">
        <v>13.0</v>
      </c>
      <c r="B15" s="1" t="s">
        <v>44</v>
      </c>
      <c r="C15" s="1" t="s">
        <v>14</v>
      </c>
      <c r="D15" s="1" t="s">
        <v>45</v>
      </c>
      <c r="E15" s="1">
        <v>5.0</v>
      </c>
      <c r="F15" s="5">
        <v>38.0</v>
      </c>
      <c r="G15" s="5">
        <v>5.0</v>
      </c>
      <c r="H15" s="6">
        <f t="shared" si="2"/>
        <v>0</v>
      </c>
      <c r="I15" s="6">
        <f t="shared" si="3"/>
        <v>0</v>
      </c>
    </row>
    <row r="16">
      <c r="A16" s="1">
        <v>14.0</v>
      </c>
      <c r="B16" s="1" t="s">
        <v>46</v>
      </c>
      <c r="C16" s="1" t="s">
        <v>14</v>
      </c>
      <c r="D16" s="1" t="s">
        <v>47</v>
      </c>
      <c r="E16" s="1">
        <v>7.0</v>
      </c>
      <c r="F16" s="5">
        <v>38.0</v>
      </c>
      <c r="G16" s="5">
        <v>5.0</v>
      </c>
      <c r="H16" s="6">
        <f t="shared" si="2"/>
        <v>2</v>
      </c>
      <c r="I16" s="6">
        <f t="shared" si="3"/>
        <v>2</v>
      </c>
    </row>
    <row r="17">
      <c r="A17" s="1">
        <v>15.0</v>
      </c>
      <c r="B17" s="1" t="s">
        <v>48</v>
      </c>
      <c r="C17" s="1" t="s">
        <v>14</v>
      </c>
      <c r="D17" s="1" t="s">
        <v>49</v>
      </c>
      <c r="E17" s="1">
        <v>2.0</v>
      </c>
      <c r="F17" s="5">
        <v>38.0</v>
      </c>
      <c r="G17" s="5">
        <v>4.0</v>
      </c>
      <c r="H17" s="6">
        <f t="shared" si="2"/>
        <v>2</v>
      </c>
      <c r="I17" s="6">
        <f t="shared" si="3"/>
        <v>-2</v>
      </c>
    </row>
    <row r="18">
      <c r="A18" s="1">
        <v>16.0</v>
      </c>
      <c r="B18" s="1" t="s">
        <v>50</v>
      </c>
      <c r="C18" s="1" t="s">
        <v>14</v>
      </c>
      <c r="D18" s="1" t="s">
        <v>51</v>
      </c>
      <c r="E18" s="1">
        <v>7.0</v>
      </c>
      <c r="F18" s="5">
        <v>38.0</v>
      </c>
      <c r="G18" s="5">
        <v>5.0</v>
      </c>
      <c r="H18" s="6">
        <f t="shared" si="2"/>
        <v>2</v>
      </c>
      <c r="I18" s="6">
        <f t="shared" si="3"/>
        <v>2</v>
      </c>
    </row>
    <row r="19">
      <c r="A19" s="1">
        <v>17.0</v>
      </c>
      <c r="B19" s="1" t="s">
        <v>52</v>
      </c>
      <c r="C19" s="1" t="s">
        <v>14</v>
      </c>
      <c r="D19" s="1" t="s">
        <v>53</v>
      </c>
      <c r="E19" s="1">
        <v>9.0</v>
      </c>
      <c r="F19" s="5">
        <v>38.0</v>
      </c>
      <c r="G19" s="5">
        <v>7.0</v>
      </c>
      <c r="H19" s="6">
        <f t="shared" si="2"/>
        <v>2</v>
      </c>
      <c r="I19" s="6">
        <f t="shared" si="3"/>
        <v>2</v>
      </c>
    </row>
    <row r="20">
      <c r="A20" s="1">
        <v>18.0</v>
      </c>
      <c r="B20" s="1" t="s">
        <v>54</v>
      </c>
      <c r="C20" s="1" t="s">
        <v>14</v>
      </c>
      <c r="D20" s="1" t="s">
        <v>55</v>
      </c>
      <c r="E20" s="1">
        <v>7.0</v>
      </c>
      <c r="F20" s="5">
        <v>38.0</v>
      </c>
      <c r="G20" s="5">
        <v>7.0</v>
      </c>
      <c r="H20" s="6">
        <f t="shared" si="2"/>
        <v>0</v>
      </c>
      <c r="I20" s="6">
        <f t="shared" si="3"/>
        <v>0</v>
      </c>
    </row>
    <row r="21">
      <c r="A21" s="1">
        <v>19.0</v>
      </c>
      <c r="B21" s="1" t="s">
        <v>56</v>
      </c>
      <c r="C21" s="1" t="s">
        <v>14</v>
      </c>
      <c r="D21" s="1" t="s">
        <v>57</v>
      </c>
      <c r="E21" s="1">
        <v>0.0</v>
      </c>
      <c r="F21" s="5">
        <v>38.0</v>
      </c>
      <c r="G21" s="5">
        <v>3.0</v>
      </c>
      <c r="H21" s="6">
        <f t="shared" si="2"/>
        <v>3</v>
      </c>
      <c r="I21" s="6">
        <f t="shared" si="3"/>
        <v>-3</v>
      </c>
    </row>
    <row r="22">
      <c r="A22" s="1">
        <v>20.0</v>
      </c>
      <c r="B22" s="1" t="s">
        <v>58</v>
      </c>
      <c r="C22" s="1" t="s">
        <v>14</v>
      </c>
      <c r="D22" s="1" t="s">
        <v>59</v>
      </c>
      <c r="E22" s="1">
        <v>8.0</v>
      </c>
      <c r="F22" s="5">
        <v>38.0</v>
      </c>
      <c r="G22" s="5">
        <v>7.0</v>
      </c>
      <c r="H22" s="6">
        <f t="shared" si="2"/>
        <v>1</v>
      </c>
      <c r="I22" s="6">
        <f t="shared" si="3"/>
        <v>1</v>
      </c>
    </row>
    <row r="23">
      <c r="A23" s="1">
        <v>21.0</v>
      </c>
      <c r="B23" s="1" t="s">
        <v>60</v>
      </c>
      <c r="C23" s="1" t="s">
        <v>14</v>
      </c>
      <c r="D23" s="1" t="s">
        <v>61</v>
      </c>
      <c r="E23" s="1">
        <v>4.0</v>
      </c>
      <c r="F23" s="5">
        <v>38.0</v>
      </c>
      <c r="G23" s="5">
        <v>4.0</v>
      </c>
      <c r="H23" s="6">
        <f t="shared" si="2"/>
        <v>0</v>
      </c>
      <c r="I23" s="6">
        <f t="shared" si="3"/>
        <v>0</v>
      </c>
    </row>
    <row r="24">
      <c r="A24" s="1">
        <v>22.0</v>
      </c>
      <c r="B24" s="1" t="s">
        <v>62</v>
      </c>
      <c r="C24" s="1" t="s">
        <v>14</v>
      </c>
      <c r="D24" s="1" t="s">
        <v>63</v>
      </c>
      <c r="E24" s="1">
        <v>7.0</v>
      </c>
      <c r="F24" s="5">
        <v>38.0</v>
      </c>
      <c r="G24" s="5">
        <v>5.0</v>
      </c>
      <c r="H24" s="6">
        <f t="shared" si="2"/>
        <v>2</v>
      </c>
      <c r="I24" s="6">
        <f t="shared" si="3"/>
        <v>2</v>
      </c>
    </row>
    <row r="25">
      <c r="A25" s="1">
        <v>23.0</v>
      </c>
      <c r="B25" s="1" t="s">
        <v>64</v>
      </c>
      <c r="C25" s="1" t="s">
        <v>14</v>
      </c>
      <c r="D25" s="1" t="s">
        <v>65</v>
      </c>
      <c r="E25" s="1">
        <v>1.0</v>
      </c>
      <c r="F25" s="5">
        <v>38.0</v>
      </c>
      <c r="G25" s="5">
        <v>3.0</v>
      </c>
      <c r="H25" s="6">
        <f t="shared" si="2"/>
        <v>2</v>
      </c>
      <c r="I25" s="6">
        <f t="shared" si="3"/>
        <v>-2</v>
      </c>
    </row>
    <row r="26">
      <c r="A26" s="1">
        <v>24.0</v>
      </c>
      <c r="B26" s="1" t="s">
        <v>66</v>
      </c>
      <c r="C26" s="1" t="s">
        <v>14</v>
      </c>
      <c r="D26" s="1" t="s">
        <v>67</v>
      </c>
      <c r="E26" s="1">
        <v>0.0</v>
      </c>
      <c r="F26" s="5">
        <v>38.0</v>
      </c>
      <c r="G26" s="5">
        <v>2.0</v>
      </c>
      <c r="H26" s="6">
        <f t="shared" si="2"/>
        <v>2</v>
      </c>
      <c r="I26" s="6">
        <f t="shared" si="3"/>
        <v>-2</v>
      </c>
    </row>
    <row r="27">
      <c r="A27" s="1">
        <v>25.0</v>
      </c>
      <c r="B27" s="1" t="s">
        <v>68</v>
      </c>
      <c r="C27" s="1" t="s">
        <v>14</v>
      </c>
      <c r="D27" s="1" t="s">
        <v>69</v>
      </c>
      <c r="E27" s="1">
        <v>7.0</v>
      </c>
      <c r="F27" s="5">
        <v>38.0</v>
      </c>
      <c r="G27" s="5">
        <v>5.0</v>
      </c>
      <c r="H27" s="6">
        <f t="shared" si="2"/>
        <v>2</v>
      </c>
      <c r="I27" s="6">
        <f t="shared" si="3"/>
        <v>2</v>
      </c>
    </row>
    <row r="28">
      <c r="A28" s="1">
        <v>26.0</v>
      </c>
      <c r="B28" s="1" t="s">
        <v>70</v>
      </c>
      <c r="C28" s="1" t="s">
        <v>14</v>
      </c>
      <c r="D28" s="1" t="s">
        <v>71</v>
      </c>
      <c r="E28" s="1">
        <v>7.0</v>
      </c>
      <c r="F28" s="5">
        <v>38.0</v>
      </c>
      <c r="G28" s="5">
        <v>4.0</v>
      </c>
      <c r="H28" s="6">
        <f t="shared" si="2"/>
        <v>3</v>
      </c>
      <c r="I28" s="6">
        <f t="shared" si="3"/>
        <v>3</v>
      </c>
    </row>
    <row r="29">
      <c r="A29" s="1">
        <v>27.0</v>
      </c>
      <c r="B29" s="1" t="s">
        <v>72</v>
      </c>
      <c r="C29" s="1" t="s">
        <v>14</v>
      </c>
      <c r="D29" s="1" t="s">
        <v>73</v>
      </c>
      <c r="E29" s="1">
        <v>4.0</v>
      </c>
      <c r="F29" s="5">
        <v>38.0</v>
      </c>
      <c r="G29" s="5">
        <v>4.0</v>
      </c>
      <c r="H29" s="6">
        <f t="shared" si="2"/>
        <v>0</v>
      </c>
      <c r="I29" s="6">
        <f t="shared" si="3"/>
        <v>0</v>
      </c>
    </row>
    <row r="30">
      <c r="A30" s="1">
        <v>28.0</v>
      </c>
      <c r="B30" s="1" t="s">
        <v>74</v>
      </c>
      <c r="C30" s="1" t="s">
        <v>14</v>
      </c>
      <c r="D30" s="1" t="s">
        <v>75</v>
      </c>
      <c r="E30" s="1">
        <v>4.0</v>
      </c>
      <c r="F30" s="5">
        <v>38.0</v>
      </c>
      <c r="G30" s="5">
        <v>4.0</v>
      </c>
      <c r="H30" s="6">
        <f t="shared" si="2"/>
        <v>0</v>
      </c>
      <c r="I30" s="6">
        <f t="shared" si="3"/>
        <v>0</v>
      </c>
    </row>
    <row r="31">
      <c r="A31" s="1">
        <v>29.0</v>
      </c>
      <c r="B31" s="1" t="s">
        <v>76</v>
      </c>
      <c r="C31" s="1" t="s">
        <v>14</v>
      </c>
      <c r="D31" s="1" t="s">
        <v>77</v>
      </c>
      <c r="E31" s="1">
        <v>3.0</v>
      </c>
      <c r="F31" s="5">
        <v>38.0</v>
      </c>
      <c r="G31" s="5">
        <v>4.0</v>
      </c>
      <c r="H31" s="6">
        <f t="shared" si="2"/>
        <v>1</v>
      </c>
      <c r="I31" s="6">
        <f t="shared" si="3"/>
        <v>-1</v>
      </c>
    </row>
    <row r="32">
      <c r="A32" s="1">
        <v>30.0</v>
      </c>
      <c r="B32" s="1" t="s">
        <v>78</v>
      </c>
      <c r="C32" s="1" t="s">
        <v>14</v>
      </c>
      <c r="D32" s="1" t="s">
        <v>79</v>
      </c>
      <c r="E32" s="1">
        <v>9.0</v>
      </c>
      <c r="F32" s="5">
        <v>38.0</v>
      </c>
      <c r="G32" s="5">
        <v>7.0</v>
      </c>
      <c r="H32" s="6">
        <f t="shared" si="2"/>
        <v>2</v>
      </c>
      <c r="I32" s="6">
        <f t="shared" si="3"/>
        <v>2</v>
      </c>
    </row>
    <row r="33">
      <c r="A33" s="1">
        <v>31.0</v>
      </c>
      <c r="B33" s="1" t="s">
        <v>80</v>
      </c>
      <c r="C33" s="1" t="s">
        <v>14</v>
      </c>
      <c r="D33" s="1" t="s">
        <v>81</v>
      </c>
      <c r="E33" s="1">
        <v>8.0</v>
      </c>
      <c r="F33" s="5">
        <v>38.0</v>
      </c>
      <c r="G33" s="5">
        <v>4.0</v>
      </c>
      <c r="H33" s="6">
        <f t="shared" si="2"/>
        <v>4</v>
      </c>
      <c r="I33" s="6">
        <f t="shared" si="3"/>
        <v>4</v>
      </c>
    </row>
    <row r="34">
      <c r="A34" s="1">
        <v>32.0</v>
      </c>
      <c r="B34" s="1" t="s">
        <v>82</v>
      </c>
      <c r="C34" s="1" t="s">
        <v>14</v>
      </c>
      <c r="D34" s="1" t="s">
        <v>83</v>
      </c>
      <c r="E34" s="1">
        <v>8.0</v>
      </c>
      <c r="F34" s="5">
        <v>38.0</v>
      </c>
      <c r="G34" s="5">
        <v>7.0</v>
      </c>
      <c r="H34" s="6">
        <f t="shared" si="2"/>
        <v>1</v>
      </c>
      <c r="I34" s="6">
        <f t="shared" si="3"/>
        <v>1</v>
      </c>
    </row>
    <row r="35">
      <c r="A35" s="1">
        <v>33.0</v>
      </c>
      <c r="B35" s="1" t="s">
        <v>84</v>
      </c>
      <c r="C35" s="1" t="s">
        <v>14</v>
      </c>
      <c r="D35" s="1" t="s">
        <v>85</v>
      </c>
      <c r="E35" s="1">
        <v>9.0</v>
      </c>
      <c r="F35" s="5">
        <v>38.0</v>
      </c>
      <c r="G35" s="5">
        <v>7.0</v>
      </c>
      <c r="H35" s="6">
        <f t="shared" si="2"/>
        <v>2</v>
      </c>
      <c r="I35" s="6">
        <f t="shared" si="3"/>
        <v>2</v>
      </c>
    </row>
    <row r="36">
      <c r="A36" s="1">
        <v>34.0</v>
      </c>
      <c r="B36" s="1" t="s">
        <v>86</v>
      </c>
      <c r="C36" s="1" t="s">
        <v>14</v>
      </c>
      <c r="D36" s="1" t="s">
        <v>87</v>
      </c>
      <c r="E36" s="1">
        <v>7.0</v>
      </c>
      <c r="F36" s="5">
        <v>38.0</v>
      </c>
      <c r="G36" s="1">
        <v>4.0</v>
      </c>
      <c r="H36" s="6">
        <f t="shared" si="2"/>
        <v>3</v>
      </c>
      <c r="I36" s="6">
        <f t="shared" si="3"/>
        <v>3</v>
      </c>
    </row>
    <row r="37">
      <c r="A37" s="1">
        <v>35.0</v>
      </c>
      <c r="B37" s="1" t="s">
        <v>88</v>
      </c>
      <c r="C37" s="1" t="s">
        <v>14</v>
      </c>
      <c r="D37" s="1" t="s">
        <v>89</v>
      </c>
      <c r="E37" s="1">
        <v>6.0</v>
      </c>
      <c r="F37" s="5">
        <v>38.0</v>
      </c>
      <c r="G37" s="5">
        <v>5.0</v>
      </c>
      <c r="H37" s="6">
        <f t="shared" si="2"/>
        <v>1</v>
      </c>
      <c r="I37" s="6">
        <f t="shared" si="3"/>
        <v>1</v>
      </c>
    </row>
    <row r="38">
      <c r="A38" s="1">
        <v>36.0</v>
      </c>
      <c r="B38" s="1" t="s">
        <v>90</v>
      </c>
      <c r="C38" s="1" t="s">
        <v>14</v>
      </c>
      <c r="D38" s="1" t="s">
        <v>91</v>
      </c>
      <c r="E38" s="1">
        <v>6.0</v>
      </c>
      <c r="F38" s="5">
        <v>38.0</v>
      </c>
      <c r="G38" s="5">
        <v>4.0</v>
      </c>
      <c r="H38" s="6">
        <f t="shared" si="2"/>
        <v>2</v>
      </c>
      <c r="I38" s="6">
        <f t="shared" si="3"/>
        <v>2</v>
      </c>
    </row>
    <row r="39">
      <c r="A39" s="1">
        <v>37.0</v>
      </c>
      <c r="B39" s="1" t="s">
        <v>92</v>
      </c>
      <c r="C39" s="1" t="s">
        <v>14</v>
      </c>
      <c r="D39" s="1" t="s">
        <v>93</v>
      </c>
      <c r="E39" s="1">
        <v>8.0</v>
      </c>
      <c r="F39" s="5">
        <v>38.0</v>
      </c>
      <c r="G39" s="5">
        <v>7.0</v>
      </c>
      <c r="H39" s="6">
        <f t="shared" si="2"/>
        <v>1</v>
      </c>
      <c r="I39" s="6">
        <f t="shared" si="3"/>
        <v>1</v>
      </c>
    </row>
    <row r="40">
      <c r="A40" s="1">
        <v>38.0</v>
      </c>
      <c r="B40" s="1" t="s">
        <v>94</v>
      </c>
      <c r="C40" s="1" t="s">
        <v>14</v>
      </c>
      <c r="D40" s="1" t="s">
        <v>95</v>
      </c>
      <c r="E40" s="1">
        <v>8.0</v>
      </c>
      <c r="F40" s="5">
        <v>38.0</v>
      </c>
      <c r="G40" s="5">
        <v>5.0</v>
      </c>
      <c r="H40" s="6">
        <f t="shared" si="2"/>
        <v>3</v>
      </c>
      <c r="I40" s="6">
        <f t="shared" si="3"/>
        <v>3</v>
      </c>
    </row>
    <row r="41">
      <c r="A41" s="1">
        <v>39.0</v>
      </c>
      <c r="B41" s="1" t="s">
        <v>96</v>
      </c>
      <c r="C41" s="1" t="s">
        <v>14</v>
      </c>
      <c r="D41" s="1" t="s">
        <v>97</v>
      </c>
      <c r="E41" s="1">
        <v>1.0</v>
      </c>
      <c r="F41" s="5">
        <v>38.0</v>
      </c>
      <c r="G41" s="5">
        <v>3.0</v>
      </c>
      <c r="H41" s="6">
        <f t="shared" si="2"/>
        <v>2</v>
      </c>
      <c r="I41" s="6">
        <f t="shared" si="3"/>
        <v>-2</v>
      </c>
    </row>
    <row r="42">
      <c r="A42" s="1">
        <v>40.0</v>
      </c>
      <c r="B42" s="1" t="s">
        <v>98</v>
      </c>
      <c r="C42" s="1" t="s">
        <v>14</v>
      </c>
      <c r="D42" s="1" t="s">
        <v>99</v>
      </c>
      <c r="E42" s="1">
        <v>8.0</v>
      </c>
      <c r="F42" s="5">
        <v>38.0</v>
      </c>
      <c r="G42" s="5">
        <v>7.0</v>
      </c>
      <c r="H42" s="6">
        <f t="shared" si="2"/>
        <v>1</v>
      </c>
      <c r="I42" s="6">
        <f t="shared" si="3"/>
        <v>1</v>
      </c>
    </row>
    <row r="43">
      <c r="A43" s="1">
        <v>41.0</v>
      </c>
      <c r="B43" s="1" t="s">
        <v>100</v>
      </c>
      <c r="C43" s="1" t="s">
        <v>14</v>
      </c>
      <c r="D43" s="1" t="s">
        <v>101</v>
      </c>
      <c r="E43" s="1">
        <v>7.0</v>
      </c>
      <c r="F43" s="5">
        <v>38.0</v>
      </c>
      <c r="G43" s="5">
        <v>5.0</v>
      </c>
      <c r="H43" s="6">
        <f t="shared" si="2"/>
        <v>2</v>
      </c>
      <c r="I43" s="6">
        <f t="shared" si="3"/>
        <v>2</v>
      </c>
    </row>
    <row r="44">
      <c r="A44" s="1">
        <v>42.0</v>
      </c>
      <c r="B44" s="1" t="s">
        <v>102</v>
      </c>
      <c r="C44" s="1" t="s">
        <v>14</v>
      </c>
      <c r="D44" s="1" t="s">
        <v>103</v>
      </c>
      <c r="E44" s="1">
        <v>6.0</v>
      </c>
      <c r="F44" s="5">
        <v>38.0</v>
      </c>
      <c r="G44" s="5">
        <v>5.0</v>
      </c>
      <c r="H44" s="6">
        <f t="shared" si="2"/>
        <v>1</v>
      </c>
      <c r="I44" s="6">
        <f t="shared" si="3"/>
        <v>1</v>
      </c>
    </row>
    <row r="45">
      <c r="A45" s="1">
        <v>43.0</v>
      </c>
      <c r="B45" s="1" t="s">
        <v>104</v>
      </c>
      <c r="C45" s="1" t="s">
        <v>14</v>
      </c>
      <c r="D45" s="1" t="s">
        <v>105</v>
      </c>
      <c r="E45" s="1">
        <v>9.0</v>
      </c>
      <c r="F45" s="5">
        <v>38.0</v>
      </c>
      <c r="G45" s="5">
        <v>5.0</v>
      </c>
      <c r="H45" s="6">
        <f t="shared" si="2"/>
        <v>4</v>
      </c>
      <c r="I45" s="6">
        <f t="shared" si="3"/>
        <v>4</v>
      </c>
    </row>
    <row r="46">
      <c r="A46" s="1">
        <v>44.0</v>
      </c>
      <c r="B46" s="1" t="s">
        <v>106</v>
      </c>
      <c r="C46" s="1" t="s">
        <v>14</v>
      </c>
      <c r="D46" s="1" t="s">
        <v>107</v>
      </c>
      <c r="E46" s="1">
        <v>3.0</v>
      </c>
      <c r="F46" s="5">
        <v>38.0</v>
      </c>
      <c r="G46" s="5">
        <v>4.0</v>
      </c>
      <c r="H46" s="6">
        <f t="shared" si="2"/>
        <v>1</v>
      </c>
      <c r="I46" s="6">
        <f t="shared" si="3"/>
        <v>-1</v>
      </c>
    </row>
    <row r="47">
      <c r="A47" s="1">
        <v>45.0</v>
      </c>
      <c r="B47" s="1" t="s">
        <v>108</v>
      </c>
      <c r="C47" s="1" t="s">
        <v>14</v>
      </c>
      <c r="D47" s="1" t="s">
        <v>109</v>
      </c>
      <c r="E47" s="1">
        <v>8.0</v>
      </c>
      <c r="F47" s="5">
        <v>38.0</v>
      </c>
      <c r="G47" s="5">
        <v>7.0</v>
      </c>
      <c r="H47" s="6">
        <f t="shared" si="2"/>
        <v>1</v>
      </c>
      <c r="I47" s="6">
        <f t="shared" si="3"/>
        <v>1</v>
      </c>
    </row>
    <row r="48">
      <c r="A48" s="1">
        <v>46.0</v>
      </c>
      <c r="B48" s="1" t="s">
        <v>110</v>
      </c>
      <c r="C48" s="1" t="s">
        <v>14</v>
      </c>
      <c r="D48" s="1" t="s">
        <v>111</v>
      </c>
      <c r="E48" s="1">
        <v>3.0</v>
      </c>
      <c r="F48" s="5">
        <v>38.0</v>
      </c>
      <c r="G48" s="5">
        <v>4.0</v>
      </c>
      <c r="H48" s="6">
        <f t="shared" si="2"/>
        <v>1</v>
      </c>
      <c r="I48" s="6">
        <f t="shared" si="3"/>
        <v>-1</v>
      </c>
    </row>
    <row r="49">
      <c r="A49" s="1">
        <v>47.0</v>
      </c>
      <c r="B49" s="1" t="s">
        <v>112</v>
      </c>
      <c r="C49" s="1" t="s">
        <v>14</v>
      </c>
      <c r="D49" s="1" t="s">
        <v>113</v>
      </c>
      <c r="E49" s="1">
        <v>2.0</v>
      </c>
      <c r="F49" s="5">
        <v>38.0</v>
      </c>
      <c r="G49" s="5">
        <v>3.0</v>
      </c>
      <c r="H49" s="6">
        <f t="shared" si="2"/>
        <v>1</v>
      </c>
      <c r="I49" s="6">
        <f t="shared" si="3"/>
        <v>-1</v>
      </c>
    </row>
    <row r="50">
      <c r="A50" s="1">
        <v>48.0</v>
      </c>
      <c r="B50" s="1" t="s">
        <v>114</v>
      </c>
      <c r="C50" s="1" t="s">
        <v>14</v>
      </c>
      <c r="D50" s="1" t="s">
        <v>115</v>
      </c>
      <c r="E50" s="1">
        <v>2.0</v>
      </c>
      <c r="F50" s="5">
        <v>38.0</v>
      </c>
      <c r="G50" s="5">
        <v>2.0</v>
      </c>
      <c r="H50" s="6">
        <f t="shared" si="2"/>
        <v>0</v>
      </c>
      <c r="I50" s="6">
        <f t="shared" si="3"/>
        <v>0</v>
      </c>
    </row>
    <row r="51">
      <c r="A51" s="1">
        <v>49.0</v>
      </c>
      <c r="B51" s="1" t="s">
        <v>116</v>
      </c>
      <c r="C51" s="1" t="s">
        <v>14</v>
      </c>
      <c r="D51" s="1" t="s">
        <v>117</v>
      </c>
      <c r="E51" s="1">
        <v>8.0</v>
      </c>
      <c r="F51" s="5">
        <v>38.0</v>
      </c>
      <c r="G51" s="5">
        <v>6.0</v>
      </c>
      <c r="H51" s="6">
        <f t="shared" si="2"/>
        <v>2</v>
      </c>
      <c r="I51" s="6">
        <f t="shared" si="3"/>
        <v>2</v>
      </c>
    </row>
    <row r="52">
      <c r="A52" s="1">
        <v>50.0</v>
      </c>
      <c r="B52" s="1" t="s">
        <v>118</v>
      </c>
      <c r="C52" s="1" t="s">
        <v>14</v>
      </c>
      <c r="D52" s="1" t="s">
        <v>119</v>
      </c>
      <c r="E52" s="1">
        <v>8.0</v>
      </c>
      <c r="F52" s="5">
        <v>38.0</v>
      </c>
      <c r="G52" s="5">
        <v>5.0</v>
      </c>
      <c r="H52" s="6">
        <f t="shared" si="2"/>
        <v>3</v>
      </c>
      <c r="I52" s="6">
        <f t="shared" si="3"/>
        <v>3</v>
      </c>
    </row>
    <row r="53">
      <c r="A53" s="1">
        <v>51.0</v>
      </c>
      <c r="B53" s="1" t="s">
        <v>120</v>
      </c>
      <c r="C53" s="1" t="s">
        <v>14</v>
      </c>
      <c r="D53" s="1" t="s">
        <v>121</v>
      </c>
      <c r="E53" s="1">
        <v>4.0</v>
      </c>
      <c r="F53" s="5">
        <v>38.0</v>
      </c>
      <c r="G53" s="5">
        <v>4.0</v>
      </c>
      <c r="H53" s="6">
        <f t="shared" si="2"/>
        <v>0</v>
      </c>
      <c r="I53" s="6">
        <f t="shared" si="3"/>
        <v>0</v>
      </c>
    </row>
    <row r="54">
      <c r="A54" s="1">
        <v>52.0</v>
      </c>
      <c r="B54" s="1" t="s">
        <v>122</v>
      </c>
      <c r="C54" s="1" t="s">
        <v>14</v>
      </c>
      <c r="D54" s="1" t="s">
        <v>123</v>
      </c>
      <c r="E54" s="1">
        <v>7.0</v>
      </c>
      <c r="F54" s="5">
        <v>38.0</v>
      </c>
      <c r="G54" s="5">
        <v>5.0</v>
      </c>
      <c r="H54" s="6">
        <f t="shared" si="2"/>
        <v>2</v>
      </c>
      <c r="I54" s="6">
        <f t="shared" si="3"/>
        <v>2</v>
      </c>
    </row>
    <row r="55">
      <c r="A55" s="1">
        <v>53.0</v>
      </c>
      <c r="B55" s="1" t="s">
        <v>124</v>
      </c>
      <c r="C55" s="1" t="s">
        <v>14</v>
      </c>
      <c r="D55" s="1" t="s">
        <v>125</v>
      </c>
      <c r="E55" s="1">
        <v>5.0</v>
      </c>
      <c r="F55" s="5">
        <v>38.0</v>
      </c>
      <c r="G55" s="5">
        <v>5.0</v>
      </c>
      <c r="H55" s="6">
        <f t="shared" si="2"/>
        <v>0</v>
      </c>
      <c r="I55" s="6">
        <f t="shared" si="3"/>
        <v>0</v>
      </c>
    </row>
    <row r="56">
      <c r="A56" s="1">
        <v>54.0</v>
      </c>
      <c r="B56" s="1" t="s">
        <v>126</v>
      </c>
      <c r="C56" s="1" t="s">
        <v>14</v>
      </c>
      <c r="D56" s="1" t="s">
        <v>127</v>
      </c>
      <c r="E56" s="1">
        <v>5.0</v>
      </c>
      <c r="F56" s="5">
        <v>38.0</v>
      </c>
      <c r="G56" s="5">
        <v>5.0</v>
      </c>
      <c r="H56" s="6">
        <f t="shared" si="2"/>
        <v>0</v>
      </c>
      <c r="I56" s="6">
        <f t="shared" si="3"/>
        <v>0</v>
      </c>
    </row>
    <row r="57">
      <c r="A57" s="1">
        <v>55.0</v>
      </c>
      <c r="B57" s="1" t="s">
        <v>128</v>
      </c>
      <c r="C57" s="1" t="s">
        <v>14</v>
      </c>
      <c r="D57" s="1" t="s">
        <v>129</v>
      </c>
      <c r="E57" s="1">
        <v>9.0</v>
      </c>
      <c r="F57" s="5">
        <v>38.0</v>
      </c>
      <c r="G57" s="5">
        <v>7.0</v>
      </c>
      <c r="H57" s="6">
        <f t="shared" si="2"/>
        <v>2</v>
      </c>
      <c r="I57" s="6">
        <f t="shared" si="3"/>
        <v>2</v>
      </c>
    </row>
    <row r="58">
      <c r="A58" s="1">
        <v>56.0</v>
      </c>
      <c r="B58" s="1" t="s">
        <v>130</v>
      </c>
      <c r="C58" s="1" t="s">
        <v>14</v>
      </c>
      <c r="D58" s="1" t="s">
        <v>131</v>
      </c>
      <c r="E58" s="1">
        <v>4.0</v>
      </c>
      <c r="F58" s="5">
        <v>38.0</v>
      </c>
      <c r="G58" s="5">
        <v>5.0</v>
      </c>
      <c r="H58" s="6">
        <f t="shared" si="2"/>
        <v>1</v>
      </c>
      <c r="I58" s="6">
        <f t="shared" si="3"/>
        <v>-1</v>
      </c>
    </row>
    <row r="59">
      <c r="A59" s="1">
        <v>57.0</v>
      </c>
      <c r="B59" s="1" t="s">
        <v>132</v>
      </c>
      <c r="C59" s="1" t="s">
        <v>14</v>
      </c>
      <c r="D59" s="1" t="s">
        <v>133</v>
      </c>
      <c r="E59" s="1">
        <v>0.0</v>
      </c>
      <c r="F59" s="5">
        <v>38.0</v>
      </c>
      <c r="G59" s="5">
        <v>0.0</v>
      </c>
      <c r="H59" s="6">
        <f t="shared" si="2"/>
        <v>0</v>
      </c>
      <c r="I59" s="6">
        <f t="shared" si="3"/>
        <v>0</v>
      </c>
    </row>
    <row r="60">
      <c r="A60" s="1">
        <v>58.0</v>
      </c>
      <c r="B60" s="1" t="s">
        <v>134</v>
      </c>
      <c r="C60" s="1" t="s">
        <v>14</v>
      </c>
      <c r="D60" s="1" t="s">
        <v>135</v>
      </c>
      <c r="E60" s="1">
        <v>2.0</v>
      </c>
      <c r="F60" s="5">
        <v>38.0</v>
      </c>
      <c r="G60" s="5">
        <v>5.0</v>
      </c>
      <c r="H60" s="6">
        <f t="shared" si="2"/>
        <v>3</v>
      </c>
      <c r="I60" s="6">
        <f t="shared" si="3"/>
        <v>-3</v>
      </c>
    </row>
    <row r="61">
      <c r="A61" s="1">
        <v>59.0</v>
      </c>
      <c r="B61" s="1" t="s">
        <v>136</v>
      </c>
      <c r="C61" s="1" t="s">
        <v>14</v>
      </c>
      <c r="D61" s="1" t="s">
        <v>137</v>
      </c>
      <c r="E61" s="1">
        <v>3.0</v>
      </c>
      <c r="F61" s="5">
        <v>38.0</v>
      </c>
      <c r="G61" s="5">
        <v>4.0</v>
      </c>
      <c r="H61" s="6">
        <f t="shared" si="2"/>
        <v>1</v>
      </c>
      <c r="I61" s="6">
        <f t="shared" si="3"/>
        <v>-1</v>
      </c>
    </row>
    <row r="62">
      <c r="A62" s="1">
        <v>60.0</v>
      </c>
      <c r="B62" s="1" t="s">
        <v>138</v>
      </c>
      <c r="C62" s="1" t="s">
        <v>14</v>
      </c>
      <c r="D62" s="1" t="s">
        <v>139</v>
      </c>
      <c r="E62" s="1">
        <v>1.0</v>
      </c>
      <c r="F62" s="5">
        <v>38.0</v>
      </c>
      <c r="G62" s="5">
        <v>4.0</v>
      </c>
      <c r="H62" s="6">
        <f t="shared" si="2"/>
        <v>3</v>
      </c>
      <c r="I62" s="6">
        <f t="shared" si="3"/>
        <v>-3</v>
      </c>
    </row>
    <row r="63">
      <c r="A63" s="1">
        <v>61.0</v>
      </c>
      <c r="B63" s="1" t="s">
        <v>140</v>
      </c>
      <c r="C63" s="1" t="s">
        <v>14</v>
      </c>
      <c r="D63" s="1" t="s">
        <v>141</v>
      </c>
      <c r="E63" s="1">
        <v>9.0</v>
      </c>
      <c r="F63" s="5">
        <v>38.0</v>
      </c>
      <c r="G63" s="5">
        <v>8.0</v>
      </c>
      <c r="H63" s="6">
        <f t="shared" si="2"/>
        <v>1</v>
      </c>
      <c r="I63" s="6">
        <f t="shared" si="3"/>
        <v>1</v>
      </c>
    </row>
    <row r="64">
      <c r="A64" s="1">
        <v>62.0</v>
      </c>
      <c r="B64" s="1" t="s">
        <v>142</v>
      </c>
      <c r="C64" s="1" t="s">
        <v>14</v>
      </c>
      <c r="D64" s="1" t="s">
        <v>143</v>
      </c>
      <c r="E64" s="1">
        <v>3.0</v>
      </c>
      <c r="F64" s="5">
        <v>38.0</v>
      </c>
      <c r="G64" s="5">
        <v>5.0</v>
      </c>
      <c r="H64" s="6">
        <f t="shared" si="2"/>
        <v>2</v>
      </c>
      <c r="I64" s="6">
        <f t="shared" si="3"/>
        <v>-2</v>
      </c>
    </row>
    <row r="65">
      <c r="A65" s="1">
        <v>63.0</v>
      </c>
      <c r="B65" s="1" t="s">
        <v>144</v>
      </c>
      <c r="C65" s="1" t="s">
        <v>14</v>
      </c>
      <c r="D65" s="1" t="s">
        <v>145</v>
      </c>
      <c r="E65" s="1">
        <v>2.0</v>
      </c>
      <c r="F65" s="5">
        <v>38.0</v>
      </c>
      <c r="G65" s="5">
        <v>4.0</v>
      </c>
      <c r="H65" s="6">
        <f t="shared" si="2"/>
        <v>2</v>
      </c>
      <c r="I65" s="6">
        <f t="shared" si="3"/>
        <v>-2</v>
      </c>
    </row>
    <row r="66">
      <c r="A66" s="1">
        <v>64.0</v>
      </c>
      <c r="B66" s="1" t="s">
        <v>146</v>
      </c>
      <c r="C66" s="1" t="s">
        <v>14</v>
      </c>
      <c r="D66" s="1" t="s">
        <v>147</v>
      </c>
      <c r="E66" s="1">
        <v>0.0</v>
      </c>
      <c r="F66" s="5">
        <v>32.0</v>
      </c>
      <c r="G66" s="5">
        <v>0.0</v>
      </c>
      <c r="H66" s="6">
        <f t="shared" si="2"/>
        <v>0</v>
      </c>
      <c r="I66" s="6">
        <f t="shared" si="3"/>
        <v>0</v>
      </c>
    </row>
    <row r="67">
      <c r="A67" s="1">
        <v>65.0</v>
      </c>
      <c r="B67" s="1" t="s">
        <v>148</v>
      </c>
      <c r="C67" s="1" t="s">
        <v>14</v>
      </c>
      <c r="D67" s="1" t="s">
        <v>149</v>
      </c>
      <c r="E67" s="1">
        <v>0.0</v>
      </c>
      <c r="F67" s="5">
        <v>38.0</v>
      </c>
      <c r="G67" s="5">
        <v>0.0</v>
      </c>
      <c r="H67" s="6">
        <f t="shared" si="2"/>
        <v>0</v>
      </c>
      <c r="I67" s="6">
        <f t="shared" si="3"/>
        <v>0</v>
      </c>
    </row>
    <row r="68">
      <c r="A68" s="1">
        <v>66.0</v>
      </c>
      <c r="B68" s="1" t="s">
        <v>150</v>
      </c>
      <c r="C68" s="1" t="s">
        <v>14</v>
      </c>
      <c r="D68" s="1" t="s">
        <v>151</v>
      </c>
      <c r="E68" s="1">
        <v>4.0</v>
      </c>
      <c r="F68" s="5">
        <v>38.0</v>
      </c>
      <c r="G68" s="5">
        <v>5.0</v>
      </c>
      <c r="H68" s="6">
        <f t="shared" si="2"/>
        <v>1</v>
      </c>
      <c r="I68" s="6">
        <f t="shared" si="3"/>
        <v>-1</v>
      </c>
    </row>
    <row r="69">
      <c r="A69" s="1">
        <v>67.0</v>
      </c>
      <c r="B69" s="1" t="s">
        <v>152</v>
      </c>
      <c r="C69" s="1" t="s">
        <v>14</v>
      </c>
      <c r="D69" s="1" t="s">
        <v>153</v>
      </c>
      <c r="E69" s="1">
        <v>6.0</v>
      </c>
      <c r="F69" s="5">
        <v>38.0</v>
      </c>
      <c r="G69" s="5">
        <v>5.0</v>
      </c>
      <c r="H69" s="6">
        <f t="shared" si="2"/>
        <v>1</v>
      </c>
      <c r="I69" s="6">
        <f t="shared" si="3"/>
        <v>1</v>
      </c>
    </row>
    <row r="70">
      <c r="A70" s="1">
        <v>68.0</v>
      </c>
      <c r="B70" s="1" t="s">
        <v>154</v>
      </c>
      <c r="C70" s="1" t="s">
        <v>14</v>
      </c>
      <c r="D70" s="1" t="s">
        <v>155</v>
      </c>
      <c r="E70" s="1">
        <v>8.0</v>
      </c>
      <c r="F70" s="5">
        <v>38.0</v>
      </c>
      <c r="G70" s="5">
        <v>7.0</v>
      </c>
      <c r="H70" s="6">
        <f t="shared" si="2"/>
        <v>1</v>
      </c>
      <c r="I70" s="6">
        <f t="shared" si="3"/>
        <v>1</v>
      </c>
    </row>
    <row r="71">
      <c r="A71" s="1">
        <v>69.0</v>
      </c>
      <c r="B71" s="1" t="s">
        <v>156</v>
      </c>
      <c r="C71" s="1" t="s">
        <v>14</v>
      </c>
      <c r="D71" s="1" t="s">
        <v>157</v>
      </c>
      <c r="E71" s="1">
        <v>5.0</v>
      </c>
      <c r="F71" s="5">
        <v>38.0</v>
      </c>
      <c r="G71" s="5">
        <v>5.0</v>
      </c>
      <c r="H71" s="6">
        <f t="shared" si="2"/>
        <v>0</v>
      </c>
      <c r="I71" s="6">
        <f t="shared" si="3"/>
        <v>0</v>
      </c>
    </row>
    <row r="72">
      <c r="A72" s="1">
        <v>70.0</v>
      </c>
      <c r="B72" s="1" t="s">
        <v>158</v>
      </c>
      <c r="C72" s="1" t="s">
        <v>14</v>
      </c>
      <c r="D72" s="1" t="s">
        <v>159</v>
      </c>
      <c r="E72" s="1">
        <v>0.0</v>
      </c>
      <c r="F72" s="5">
        <v>38.0</v>
      </c>
      <c r="G72" s="5">
        <v>1.0</v>
      </c>
      <c r="H72" s="6">
        <f t="shared" si="2"/>
        <v>1</v>
      </c>
      <c r="I72" s="6">
        <f t="shared" si="3"/>
        <v>-1</v>
      </c>
    </row>
  </sheetData>
  <drawing r:id="rId1"/>
</worksheet>
</file>