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Qwen2-71PreguntaConEj" sheetId="1" r:id="rId5"/>
  </sheets>
  <definedNames/>
  <calcPr/>
</workbook>
</file>

<file path=xl/sharedStrings.xml><?xml version="1.0" encoding="utf-8"?>
<sst xmlns="http://schemas.openxmlformats.org/spreadsheetml/2006/main" count="230" uniqueCount="160">
  <si>
    <t>step</t>
  </si>
  <si>
    <t>entrada</t>
  </si>
  <si>
    <t>contexto</t>
  </si>
  <si>
    <t>salida</t>
  </si>
  <si>
    <t>esperado</t>
  </si>
  <si>
    <t>tiempo</t>
  </si>
  <si>
    <t>dif abs</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</si>
  <si>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</si>
  <si>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</si>
  <si>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</si>
  <si>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</si>
  <si>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</si>
  <si>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</si>
  <si>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</si>
  <si>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Pregunta: Describe cómo se pueden utilizar las aserciones en los tests y por qué son importantes.</t>
  </si>
  <si>
    <t>Evaluación:
Nota: 4
Justificación: La respuesta contiene algunos elementos correctos sobre el uso de aserciones en pruebas de software, como la idea de que se usan para validar el funcionamiento de los tests. Sin</t>
  </si>
  <si>
    <t>Respuesta: Las aserciones en el contexto del software, son muy relevantes para cubrir el codigo y evitar excepciones y errores que provocarian si no son revisados con este metodo asertivo.</t>
  </si>
  <si>
    <t>Evaluación: Nota: 4
Justificación: La respuesta reconoce la importancia de las aserciones en el desarrollo de software, mencionando que ayudan a evitar excepciones y errores. Sin embargo, la explicación</t>
  </si>
  <si>
    <t>Mide el peor escenario posible. Te dice cuál fue la calificación más injusta o el fallo más grande que cometió la IA contra el criterio del profesor.</t>
  </si>
  <si>
    <t>Dice, en promedio, por cuántos puntos le pifia la IA a la nota que esperaba el profesor.</t>
  </si>
  <si>
    <t>Mide la tendencia del modelo. Si da positivo (+), la IA tiende a ser más "buena" o laxa que el profesor; si da negativo (-), la IA tiende a ser más estricta que el profesor. Lo ideal es que dé cercano a $0.0$.</t>
  </si>
  <si>
    <t>Mide la perfección del sistema. Te dice qué porcentaje del total de exámenes recibió exactamente la misma nota por parte de la IA y del profesor ($100\%$ sería el ideal absoluto).</t>
  </si>
  <si>
    <t>Respuesta: Las aserciones en los test son importantes ya que son los que nos dan la confirmación de que los tests están bien hechos y desarrollados y consiguen abarcar todas o la mayoria de los posibles errores de neustros test y codigo de proyecto.</t>
  </si>
  <si>
    <t>Evaluación:
Nota: 4
Justificación: La respuesta reconoce que las aserciones son importantes para confirmar que los tests están correctamente configurados y cubren los errores potenciales, lo cual es una idea general correcta</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</si>
  <si>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</si>
  <si>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Evaluación: Nota: 5
Justificación: La respuesta intenta describir el propósito de las aserciones en los tests, reconociendo que ayudan a verificar si los test son correctos. Sin embargo, hay varios</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</si>
  <si>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</si>
  <si>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Evaluación: Nota: 4
Justificación: La respuesta intenta explicar el propósito de las aserciones, pero presenta varios errores y carencias. 
- **Precisión Conceptual**: El estudiante confunde las as</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</si>
  <si>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</si>
  <si>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Evaluación: Nota: 5
Justificación: La respuesta comienza bien al definir qué son las aserciones, aunque la descripción de que solo funcionan cuando se cumple una condición es algo simplista y puede</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</si>
  <si>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</si>
  <si>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Evaluación: Nota: 7
Justificación: La respuesta es bastante precisa y completa. Menciona correctamente el propósito principal de las aserciones, que es validar entradas en los tests, y cómo se utilizan específicamente</t>
  </si>
  <si>
    <t>Respuesta: las aserciones permiten validar que el test haya pasado o no despues de haber declarado las variables con arrange y ejecutarlas con act, y assert valida que el test haya sido pasado con éxito, que es lo que buscamos</t>
  </si>
  <si>
    <t>Evaluación:
Nota: 4
Justificación: 
La respuesta intenta describir el propósito de las aserciones en los tests, pero contiene varios errores y falta claridad. Específicamente, menciona que "assert valida</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</si>
  <si>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</si>
  <si>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Evaluación: Nota: 5
Justificación: La respuesta reconoce correctamente que las aserciones miden el resultado obtenido en comparación con el resultado esperado, y que su propósito principal es verificar si un test ha pasado</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</si>
  <si>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</si>
  <si>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Evaluación: Nota: 4
Justificación: La respuesta reconoce parcialmente el propósito de las aserciones, mencionando que validan si una afirmación es correcta. Sin embargo, la explicación es bastante</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</si>
  <si>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</si>
  <si>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Evaluación: Nota: 7
Justificación: La respuesta proporciona una idea general de la utilidad de las aserciones en los tests, mencionando que permiten comprobar eficientemente si una condición es</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</si>
  <si>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</si>
  <si>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Evaluación:
Nota: 5
Justificación: La respuesta reconoce que las aserciones se usan en los tests para validar y comparar objetos o valores, y que si una aserción falla, el test también fall</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</si>
  <si>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</si>
  <si>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Evaluación: Nota: 7
Justificación: La respuesta menciona correctamente que las aserciones son fundamentales en los tests y proporciona un ejemplo específico (assertEqual) para ilustrar cómo se utilizan para verificar resultados</t>
  </si>
  <si>
    <t>Respuesta: Los assert sirven para comprobar lo que devuelve o hacen las funciones, son unos de los pilares para poder hacer los test en el TDD.</t>
  </si>
  <si>
    <t>Evaluación: Nota: 5
Justificación: La respuesta reconoce correctamente que las aserciones se utilizan para comprobar lo que devuelven o realizan las funciones, y menciona que forman parte de los</t>
  </si>
  <si>
    <t>Respuesta: Las aserciones en los tests sirven para comparar un resultado, en estas se introduce un resultado esperado y un resultado actual, esto es importante para comparar resultados y mejorar el codigo o los tests en base a esto.</t>
  </si>
  <si>
    <t>Evaluación: Nota: 5
Justificación: La respuesta reconoce que las aserciones en los tests se utilizan para comparar resultados, especificando que incluyen un resultado esperado y uno actual. Esto es una idea</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</si>
  <si>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</si>
  <si>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Evaluación: Nota: 4
Justificación: La respuesta intenta abordar cómo se utilizan las aserciones en los tests y su importancia, pero contiene varios errores y falta información crucial.
1. **Conceptos</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</si>
  <si>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</si>
  <si>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Evaluación: Nota: 4
Justificación: La respuesta contiene algunos elementos correctos sobre el uso de aserciones en tests, como que ayudan a confirmar resultados específicos. Sin embargo, hay varios aspectos que f</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</si>
  <si>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</si>
  <si>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Evaluación: Nota: 5
Justificación: La respuesta reconoce que las aserciones son comparaciones entre valores introducidos y deseados, y comprende que forman parte de los test unitarios para verificar el correct</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</si>
  <si>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</si>
  <si>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Evaluación: Nota: 5
Justificación: La respuesta contiene algunos elementos correctos sobre el uso de aserciones en pruebas, pero presenta algunas confusiones y falta información crucial.
Los puntos correctos incluyen:
1.</t>
  </si>
  <si>
    <t>Respuesta: Las podemos usar en diferentes modos:
* Para clases.
* Para integraciones.
* Para tets.</t>
  </si>
  <si>
    <t>Evaluación: Nota: 3
Justificación: La respuesta comienza bien al reconocer que las aserciones se pueden utilizar en diferentes contextos, aunque solo menciona "clases", "integraciones" y "tests".</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</si>
  <si>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</si>
  <si>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Evaluación:
Nota: 8
Justificación: La respuesta proporciona una descripción general precisa de lo que son las aserciones y cómo se utilizan en pruebas de software. Menciona correctamente que las aserciones se</t>
  </si>
  <si>
    <t>Respuesta: Se utilizan en los tests para comprobar trozos pequeños de codigo, y tienen importancia ya que validan el código, aportando seguridad al software.</t>
  </si>
  <si>
    <t>Evaluación:
Nota: 4
Justificación: La respuesta reconoce parcialmente el propósito de las aserciones, indicando que se utilizan en los tests para comprobar fragmentos de código y que tienen importancia porque</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</si>
  <si>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</si>
  <si>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Evaluación: Nota: 4
Justificación: La respuesta reconoce que las aserciones se utilizan en los tests para verificar fragmentos de código, aunque no es tan preciso describir exactamente qué se verifica. M</t>
  </si>
  <si>
    <t>Respuesta: assert.equals sirve para introducir valores en los parámetros a la hora de hacer tests</t>
  </si>
  <si>
    <t>Evaluación: Nota: 3
Justificación: La respuesta comienza confundiendo el uso de aserciones con la función de `assert` en Java, que no es `assert.equals`, sino que generalmente se usa de</t>
  </si>
  <si>
    <t>Respuesta: .</t>
  </si>
  <si>
    <t>Por favor, proporcione la respuesta del estudiante para que pueda ser evaluada.</t>
  </si>
  <si>
    <t>Respuesta: Las assertions sirven para realizar comprobaciones entre los resultados obtenidos en el test y los resultados esperados. Estas se utilizan en la parte final de los test, después de la parte de desarrollo.</t>
  </si>
  <si>
    <t>Evaluación: Nota: 5
Justificación: La respuesta reconoce que las aserciones se utilizan para comparar resultados obtenidos con los esperados, lo cual es correcto. Sin embargo, hay varios aspectos que</t>
  </si>
  <si>
    <t>Respuesta: Las aserciones sirven para evaluar concretamente un valor esperado del test ya sea en una comparación de valores, de referencias, booleanas, etc...</t>
  </si>
  <si>
    <t>Evaluación:
Nota: 5
Justificación: 
La respuesta reconoce parcialmente la función de las aserciones, indicando que se utilizan para evaluar valores esperados en diferentes contextos (comparación de valores</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</si>
  <si>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</si>
  <si>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Evaluación: Nota: 5
Justificación: La respuesta identifica correctamente que existen diferentes tipos de aserciones, como `assertEquals`, y explica que el orden de los parámetros es crucial para obtener resultados precisos</t>
  </si>
  <si>
    <t>Respuesta: Las aserciones son verificaciones de las validaciones de entrada. Un ejemplo podría ser assertionNotNull(actual) / assertionNull(actual) que nos sirve para conocer si el valor de entrada (actual) es nulo o no.</t>
  </si>
  <si>
    <t>Evaluación:
Nota: 5
Justificación: 
La respuesta identifica correctamente que las aserciones se utilizan para verificar el estado de los valores, específicamente mencionando el uso de `assertionNotNull` y `assert</t>
  </si>
  <si>
    <t>Respuesta: Las aserciones se utilizan para estructurar y validar la forma en al que los tests se realizan. Esto hace que sean mas fiables y que tenga mayor cobertura.</t>
  </si>
  <si>
    <t>Evaluación:
Nota: 4
Justificación: 
La respuesta reconoce correctamente que las aserciones se usan para validar y estructurar los tests, y que esto contribuye a hacerlos más fiables y aumentar su</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</si>
  <si>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</si>
  <si>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Evaluación:
Nota: 8
Justificación: La respuesta es bastante precisa y detallada, mencionando varios tipos de aserciones y su propósito. Explica correctamente que estas funciones son predefinidas y ayudan a</t>
  </si>
  <si>
    <t>Respuesta: La asserciones en los test son declaraciones dentro de los test que validan el código, es decir es uno de los elemento más importantes de los test ya que son las líneas del código del test que validan o invalidan un test.</t>
  </si>
  <si>
    <t>Evaluación:
Nota: 4
Justificación: La respuesta reconoce que las aserciones son declaraciones que validan el código, lo cual es correcto. Sin embargo, la explicación es bastante general y no proporciona detalles</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</si>
  <si>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</si>
  <si>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Evaluación: Nota: 7
Justificación: La respuesta proporciona una idea general sobre el propósito de las aserciones en los tests, destacando su utilidad para especificar valores esperados y verificar que el código produz</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</si>
  <si>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</si>
  <si>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Evaluación:
Nota: 7
Justificación: 
La respuesta identifica correctamente que las aserciones se utilizan en pruebas para comprobar escenarios y que pueden servir para comparaciones básicas como igualdades y</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</si>
  <si>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</si>
  <si>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Evaluación: Nota: 4
Justificación: La respuesta identifica correctamente algunos métodos de aserción (assertEquals, assertTrue, assertFalse) y proporciona ejemplos de cómo se podrían usar en contextos</t>
  </si>
  <si>
    <t>Respuesta: Los assertions se pueden utilizar para los test como una declaración para verificar una condición y si la condición es falsa, el test fallará. Es importante por que ayuda a minimizar el código de los tests.</t>
  </si>
  <si>
    <t>Evaluación:
Nota: 5
Justificación: 
La respuesta reconoce correctamente que las aserciones se utilizan en los tests para verificar condiciones y que si una aserción falla, el test también fallará. Sin embargo</t>
  </si>
  <si>
    <t>Respuesta: Las aserciones son importantes ya que validad los resultados de los tests, al fin y al cabo son los encargados de decir si un test pasa o no. Se utilizan al final del test</t>
  </si>
  <si>
    <t>Evaluación:
Nota: 4
Justificación: 
La respuesta reconoce la importancia de las aserciones en los tests, indicando que estas determinan si un test pasa o no. Sin embargo, hay varios aspectos que</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</si>
  <si>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</si>
  <si>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Evaluación: Nota: 7
Justificación: La respuesta identifica correctamente un uso común de las aserciones, que es verificar rápidamente si los métodos funcionan como se espera. Proporciona un ejemplo prá</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</si>
  <si>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</si>
  <si>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Evaluación: Nota: 5
Justificación: La respuesta identifica correctamente que las aserciones se utilizan para comprobar si una condición se cumple y que si no se cumple, el test falla.</t>
  </si>
  <si>
    <t>Respuesta: Son importantes porque se pueden usar para distintas situaciones, ya sea para ver si funcionan, para ver si son iguales, para eliminar o añadir mas.</t>
  </si>
  <si>
    <t>Evaluación: Nota: 3
Justificación: La respuesta intenta abordar varios aspectos relacionados con las aserciones, pero está muy desacertada y no proporciona una explicación clara o técnica sobre</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</si>
  <si>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</si>
  <si>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 xml:space="preserve">Evaluación:
Nota: 7
Justificación: La respuesta contiene elementos correctos sobre el uso de aserciones en pruebas y sus importancias, pero presenta varios errores y falta información crucial.
Conceptos correctos mencionados:
</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</si>
  <si>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</si>
  <si>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Evaluación: Nota: 5
Justificación: La respuesta intenta describir la importancia y los usos de las aserciones, aunque contiene varios errores y falta información crucial.
Se menciona correctamente que las aserciones</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</si>
  <si>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</si>
  <si>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Evaluación: Nota: 5
Justificación: La respuesta intenta explicar cómo se utilizan las aserciones en los tests, mencionando que se usan para comprobar si los datos son correctos y que</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</si>
  <si>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</si>
  <si>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Evaluación: Nota: 5
Justificación: La respuesta reconoce la función principal de las aserciones, que es verificar condiciones específicas y hacer que un test falte si dichas condiciones no se cumplen. Sin embargo</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</si>
  <si>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</si>
  <si>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Evaluación: Nota: 4
Justificación: La respuesta intenta relacionar las aserciones con la validación de datos introducidos por el usuario, aunque esto no es exactamente correcto. Las aserciones se</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</si>
  <si>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</si>
  <si>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Evaluación: Nota: 7
Justificación: La respuesta proporciona una explicación adecuada sobre cómo se utilizan las aserciones en los tests, describiendo la estructura AAA (Arrange-Act-Assert) y</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</si>
  <si>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</si>
  <si>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Evaluación:
Nota: 4
Justificación: 
La respuesta intenta capturar la idea de que las aserciones en los tests permiten la validación de datos y ayudan a prevenir errores internos. Sin embargo,</t>
  </si>
  <si>
    <t>Respuesta: Las aserciones en los test sirven para que el codigo no influya en los datos, es decir, para que el codigo no pueda cambiar o eliminar cualquier tipo de dato que estamos verificando con los tests</t>
  </si>
  <si>
    <t>Evaluación:
Nota: 3
Justificación: 
La respuesta intenta abordar el concepto de aserciones, pero contiene varios errores y carencias en la explicación.
1. **Errores Conceptuales**: La respuesta</t>
  </si>
  <si>
    <t>Respuesta: Se pueden utilizar por ejemplo cuando un campo no puede ser nulo, poniendo @NOTNULL para evitar campos que no se rellenen y sean obligatorios, saltando el error correspondiente para solucionarlo.</t>
  </si>
  <si>
    <t>Evaluación:
Nota: 2
Justificación: La respuesta confunde las aserciones con anotaciones de validación de datos, como @NotNull. Menciona correctamente que un campo no puede ser nulo, pero no exp</t>
  </si>
  <si>
    <t>Respuesta: Las aserciones se pueden utilizar en los tests para comparar valores, datos o resultados. Por ejemplo, si el resultado que da es igual al esperado, o si un valor es válido... Son muy importantes para tener tests completos y cubrir la mayor parte del código</t>
  </si>
  <si>
    <t>Evaluación:
Nota: 5
Justificación: 
La respuesta reconoce que las aserciones se usan en pruebas para comparar valores, datos o resultados. Proporciona un ejemplo simple de cómo se pueden utilizar (</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</si>
  <si>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</si>
  <si>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Evaluación:
Nota: 5
Justificación: La respuesta reconoce parcialmente el propósito de las aserciones en el contexto de pruebas de software, mencionando que ayudan a verificar el correcto funcionamiento de las</t>
  </si>
  <si>
    <t>Respuesta: Las aserciones son comprobadores de datos que devueven valores de tipo bool (verdadero o falso) en los tests. Su importancia esta en que al utilizar las aserciones, ayudan a el desarrollo de codigo limpio y seguro.</t>
  </si>
  <si>
    <t>Evaluación: Nota: 4
Justificación: La respuesta menciona que las aserciones devuelven valores booleanos y que su uso contribuye al desarrollo de código limpio y seguro, aspectos parcialmente correctos</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</si>
  <si>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</si>
  <si>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Evaluación: Nota: 4
Justificación: La respuesta intenta explicar el uso de aserciones en los tests, señalando que son utilizadas para verificar que algo sea verdadero y proporciona dos ejemplos:</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</si>
  <si>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</si>
  <si>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Evaluación: Nota: 5
Justificación: La respuesta intenta abordar el tema de las aserciones en los tests, aunque presenta varios errores y falta información crucial.
Los puntos correctos incluyen:
- Reconoce</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</si>
  <si>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</si>
  <si>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Evaluación: Nota: 5
Justificación: La respuesta reconoce parcialmente que las aserciones (asserts) son útiles para comprobar la validez de variables o datos y su importancia en la implement</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</si>
  <si>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</si>
  <si>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Evaluación:
Nota: 7
Justificación: La respuesta identifica correctamente que las aserciones son declaraciones que verifican si una condición es verdadera o no, y que se utilizan en los tests para comparar</t>
  </si>
  <si>
    <t>Respuesta: Tendríamos diferentes aserciones,
Asssert.Equals() -&gt; asegura que el valor de entrada y el valor esperado es igual.
No me acuerdo de mas asserts ahora mismo ;(
Los asserts son el motor básico del test y lo que asegura que lo que estamos probando esta bien.</t>
  </si>
  <si>
    <t>Evaluación: Nota: 5
Justificación: La respuesta reconoce que las aserciones se usan para verificar que los valores de entrada sean iguales al valor esperado, lo cual es correcto. Sin embargo, hay</t>
  </si>
  <si>
    <t>Respuesta: No lo se :(</t>
  </si>
  <si>
    <t>Evaluación: Nota: 0
Justificación: La respuesta del estudiante simplemente indica desconocimiento sobre el tema sin ofrecer ninguna información relevante. No se han intentado responder a la pregunta ni se ha mostrado ningún</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</si>
  <si>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</si>
  <si>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Evaluación: Nota: 5
Justificación: La respuesta incluye un elemento correcto, que es la idea de que las aserciones se usan para validar datos. Sin embargo, la explicación es incompleta y</t>
  </si>
  <si>
    <t>Respuesta: Las aserciones de los test sirven para comprobar que el programa funciona de la manera esperada por el programador. Es una verificación del programa que funciona correctamente.</t>
  </si>
  <si>
    <t>Evaluación:
Nota: 4
Justificación: 
La respuesta reconoce parcialmente el propósito de las aserciones en los tests, indicando que se utilizan para verificar que el programa funcione correctamente desde la perspectiva</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</si>
  <si>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</si>
  <si>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Evaluación: Nota: 3
Justificación: La respuesta comienza confundiendo aserciones con anotaciones de validación de datos, lo cual es incorrecto. Menciona que las aserciones se declaran</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</si>
  <si>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</si>
  <si>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Evaluación: Nota: 7
Justificación: La respuesta proporciona una descripción general precisa sobre las aserciones y su uso en pruebas, destacando que permiten comprobar la validez de datos y variables,</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</si>
  <si>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</si>
  <si>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Evaluación: Nota: 5
Justificación: La respuesta contiene elementos correctos, como la idea de que las aserciones se usan para validar datos y que existen diferentes tipos de aserciones. Sin embargo, hay</t>
  </si>
  <si>
    <t>Respuesta: Son importantes porque permiten un mayor control a la hora de hacer el testing, y permite el uso de una mayor cantidad de datos, permitiendo que el test sea más viable al cubrir mayor cantidad de datos .</t>
  </si>
  <si>
    <t>Evaluación:
Nota: 4
Justificación: La respuesta reconoce correctamente que las aserciones son útiles para aumentar la cobertura de pruebas al permitir el uso de una mayor cantidad de datos. Sin embargo, la</t>
  </si>
  <si>
    <t>Respuesta: No
se
la
respuesta</t>
  </si>
  <si>
    <t>Evaluación: Nota: 1
Justificación: La respuesta es incompleta y fragmentada, sin una estructura coherente ni un desarrollo adecuado del tema. Menciona brevemente "aserciones"</t>
  </si>
  <si>
    <t>Respuesta: NO SE</t>
  </si>
  <si>
    <t>Evaluación:
Nota: 0
Justificación: La respuesta es completamente inadecuada y no aborda la pregunta planteadada en absoluto. No se proporciona ninguna información sobre cómo se utilizan las aserciones en los</t>
  </si>
  <si>
    <t>Respuesta: Con la libreria Jakarta puedes usar aserciones en los test de forma sencilla ya que te añade las funciones como por ejemplo assertequals, son importantes ya que te permiten agilizar y cubrir mejor ciertas cosas a testear.</t>
  </si>
  <si>
    <t>Evaluación: Nota: 5
Justificación: La respuesta menciona que las aserciones se pueden utilizar en los tests y hace referencia a una librería específica (Jakarta), lo cual es una información parcialmente correct</t>
  </si>
  <si>
    <t>Respuesta: Las aserciones se pueden utilizar para comprobar las salidas de los test en función de las entradas. Esto es muy importante para comprobar si la salida tiene sentido teniendo en cuenta las entradas del test.</t>
  </si>
  <si>
    <t>Evaluación: Nota: 5
Justificación: La respuesta reconoce la utilidad de las aserciones en el proceso de prueba, señalando que se utilizan para verificar si la salida es coherente con las entradas</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</si>
  <si>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</si>
  <si>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Evaluación: Nota: 7
Justificación: La respuesta proporciona una descripción general precisa de cómo se utilizan las aserciones para validar la salida de una función en base a sus parámetros de entrada. También exp</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</si>
  <si>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</si>
  <si>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Evaluación:
Nota: 4
Justificación: La respuesta reconoce la importancia de las aserciones en los tests y menciona que ayudan a crear tests más robustos y fiables, lo cual es correcto.</t>
  </si>
  <si>
    <t>Respuesta: digo lo mismo que en la anterior pregunta</t>
  </si>
  <si>
    <t>Evaluación: Nota: 2
Justificación: La respuesta se repite exactamente la misma que en la pregunta anterior, confundiendo las aserciones utilizadas en pruebas de software con mecanismos de validación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</si>
</sst>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5">
    <font>
      <sz val="10.0"/>
      <color rgb="FF000000"/>
      <name val="Arial"/>
      <scheme val="minor"/>
    </font>
    <font>
      <color theme="1"/>
      <name val="Arial"/>
      <scheme val="minor"/>
    </font>
    <font>
      <color theme="1"/>
      <name val="Arial"/>
    </font>
    <font>
      <color rgb="FF000000"/>
      <name val="Arial"/>
      <scheme val="minor"/>
    </font>
    <font>
      <color theme="1"/>
      <name val="Google Sans Text"/>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2" fontId="2" numFmtId="0" xfId="0" applyAlignment="1" applyFill="1" applyFont="1">
      <alignment vertical="bottom"/>
    </xf>
    <xf borderId="0" fillId="2" fontId="2" numFmtId="0" xfId="0" applyAlignment="1" applyFont="1">
      <alignment horizontal="right" vertical="bottom"/>
    </xf>
    <xf borderId="0" fillId="0" fontId="1" numFmtId="4" xfId="0" applyFont="1" applyNumberFormat="1"/>
    <xf borderId="0" fillId="0" fontId="3" numFmtId="0" xfId="0" applyFont="1"/>
    <xf borderId="0" fillId="0" fontId="2" numFmtId="0" xfId="0" applyAlignment="1" applyFont="1">
      <alignment horizontal="right" vertical="bottom"/>
    </xf>
    <xf borderId="0" fillId="2" fontId="2" numFmtId="2" xfId="0" applyAlignment="1" applyFont="1" applyNumberFormat="1">
      <alignment horizontal="right" vertical="bottom"/>
    </xf>
    <xf borderId="0" fillId="2" fontId="2" numFmtId="9" xfId="0" applyAlignment="1" applyFont="1" applyNumberFormat="1">
      <alignment horizontal="right" vertical="bottom"/>
    </xf>
    <xf borderId="0" fillId="2" fontId="2" numFmtId="164" xfId="0" applyAlignment="1" applyFont="1" applyNumberFormat="1">
      <alignment horizontal="right" vertical="bottom"/>
    </xf>
    <xf borderId="0" fillId="2" fontId="2" numFmtId="10" xfId="0" applyAlignment="1" applyFont="1" applyNumberFormat="1">
      <alignment horizontal="right" vertical="bottom"/>
    </xf>
    <xf borderId="0" fillId="2" fontId="2" numFmtId="0" xfId="0" applyAlignment="1" applyFont="1">
      <alignment shrinkToFit="0" vertical="bottom" wrapText="1"/>
    </xf>
    <xf borderId="0" fillId="2" fontId="4" numFmtId="0" xfId="0" applyAlignment="1" applyFont="1">
      <alignment shrinkToFit="0" vertical="bottom" wrapText="1"/>
    </xf>
    <xf borderId="0" fillId="0" fontId="2" numFmtId="164" xfId="0" applyAlignment="1" applyFont="1" applyNumberFormat="1">
      <alignment horizontal="right" vertical="bottom"/>
    </xf>
    <xf borderId="0" fillId="0" fontId="2" numFmtId="10" xfId="0" applyAlignment="1" applyFont="1" applyNumberFormat="1">
      <alignment horizontal="right" vertical="bottom"/>
    </xf>
    <xf borderId="0" fillId="0" fontId="3"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Qwen2-71PreguntaConEjemplos_v2</a:t>
            </a:r>
          </a:p>
        </c:rich>
      </c:tx>
      <c:overlay val="0"/>
    </c:title>
    <c:plotArea>
      <c:layout/>
      <c:lineChart>
        <c:varyColors val="0"/>
        <c:ser>
          <c:idx val="0"/>
          <c:order val="0"/>
          <c:spPr>
            <a:ln cmpd="sng">
              <a:solidFill>
                <a:srgbClr val="4285F4"/>
              </a:solidFill>
            </a:ln>
          </c:spPr>
          <c:marker>
            <c:symbol val="none"/>
          </c:marker>
          <c:cat>
            <c:strRef>
              <c:f>'resultadosQwen2-71PreguntaConEj'!$A$2:$A$72</c:f>
            </c:strRef>
          </c:cat>
          <c:val>
            <c:numRef>
              <c:f>'resultadosQwen2-71PreguntaConEj'!$I$2:$I$72</c:f>
              <c:numCache/>
            </c:numRef>
          </c:val>
          <c:smooth val="0"/>
        </c:ser>
        <c:axId val="1716125059"/>
        <c:axId val="688821005"/>
      </c:lineChart>
      <c:catAx>
        <c:axId val="17161250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COINCIDENCIA EXACTA</a:t>
                </a:r>
              </a:p>
            </c:rich>
          </c:tx>
          <c:overlay val="0"/>
        </c:title>
        <c:numFmt formatCode="General" sourceLinked="1"/>
        <c:majorTickMark val="none"/>
        <c:minorTickMark val="none"/>
        <c:spPr/>
        <c:txPr>
          <a:bodyPr/>
          <a:lstStyle/>
          <a:p>
            <a:pPr lvl="0">
              <a:defRPr b="0">
                <a:solidFill>
                  <a:srgbClr val="000000"/>
                </a:solidFill>
                <a:latin typeface="+mn-lt"/>
              </a:defRPr>
            </a:pPr>
          </a:p>
        </c:txPr>
        <c:crossAx val="688821005"/>
      </c:catAx>
      <c:valAx>
        <c:axId val="6888210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16125059"/>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133350</xdr:colOff>
      <xdr:row>3</xdr:row>
      <xdr:rowOff>76200</xdr:rowOff>
    </xdr:from>
    <xdr:ext cx="4029075" cy="24860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75"/>
  </cols>
  <sheetData>
    <row r="1">
      <c r="A1" s="1" t="s">
        <v>0</v>
      </c>
      <c r="B1" s="1" t="s">
        <v>1</v>
      </c>
      <c r="C1" s="1" t="s">
        <v>2</v>
      </c>
      <c r="D1" s="1" t="s">
        <v>3</v>
      </c>
      <c r="E1" s="1" t="s">
        <v>4</v>
      </c>
      <c r="F1" s="1" t="s">
        <v>5</v>
      </c>
      <c r="H1" s="2" t="s">
        <v>6</v>
      </c>
      <c r="I1" s="2" t="s">
        <v>7</v>
      </c>
      <c r="J1" s="2"/>
      <c r="K1" s="2"/>
      <c r="L1" s="2"/>
      <c r="M1" s="3" t="s">
        <v>8</v>
      </c>
      <c r="N1" s="3" t="s">
        <v>9</v>
      </c>
      <c r="O1" s="3" t="s">
        <v>10</v>
      </c>
      <c r="P1" s="3" t="s">
        <v>11</v>
      </c>
      <c r="Q1" s="4">
        <v>1.0</v>
      </c>
      <c r="R1" s="4">
        <v>2.0</v>
      </c>
      <c r="S1" s="4">
        <v>3.0</v>
      </c>
      <c r="T1" s="4">
        <v>4.0</v>
      </c>
      <c r="U1" s="4">
        <v>5.0</v>
      </c>
      <c r="V1" s="4">
        <v>-1.0</v>
      </c>
      <c r="W1" s="4">
        <v>-2.0</v>
      </c>
      <c r="X1" s="4">
        <v>-3.0</v>
      </c>
      <c r="Y1" s="4">
        <v>-4.0</v>
      </c>
      <c r="Z1" s="4">
        <v>-5.0</v>
      </c>
      <c r="AA1" s="3" t="s">
        <v>12</v>
      </c>
    </row>
    <row r="2" ht="42.0" customHeight="1">
      <c r="A2" s="1">
        <v>0.0</v>
      </c>
      <c r="B2" s="1" t="s">
        <v>13</v>
      </c>
      <c r="C2" s="1" t="s">
        <v>14</v>
      </c>
      <c r="D2" s="1" t="s">
        <v>15</v>
      </c>
      <c r="E2" s="1">
        <v>4.0</v>
      </c>
      <c r="F2" s="5">
        <v>40.0</v>
      </c>
      <c r="G2" s="6">
        <f t="shared" ref="G2:G25" si="2">--MID(D2, FIND("Nota:", D2) + 6, 1)</f>
        <v>4</v>
      </c>
      <c r="H2" s="7">
        <f t="shared" ref="H2:H72" si="3">ABS(I2)</f>
        <v>0</v>
      </c>
      <c r="I2" s="7">
        <f t="shared" ref="I2:I72" si="4">E2-G2</f>
        <v>0</v>
      </c>
      <c r="J2" s="2"/>
      <c r="K2" s="2"/>
      <c r="L2" s="2"/>
      <c r="M2" s="4">
        <f>MAX(H1:H90)</f>
        <v>4</v>
      </c>
      <c r="N2" s="8">
        <f t="shared" ref="N2:O2" si="1">AVERAGE(H1:H90)</f>
        <v>1.492957746</v>
      </c>
      <c r="O2" s="8">
        <f t="shared" si="1"/>
        <v>0.5352112676</v>
      </c>
      <c r="P2" s="9">
        <f>COUNTIF(I2:I101, 0) / COUNT(I2:I101)
</f>
        <v>0.1690140845</v>
      </c>
      <c r="Q2" s="10">
        <f>COUNTIF(I2:I72, 1) / COUNT(I2:I72)</f>
        <v>0.2112676056</v>
      </c>
      <c r="R2" s="11">
        <f>COUNTIF(I2:I72, 2) / COUNT(I2:I72)</f>
        <v>0.1690140845</v>
      </c>
      <c r="S2" s="11">
        <f>COUNTIF(I2:I72, 3) / COUNT(I2:I72)</f>
        <v>0.0985915493</v>
      </c>
      <c r="T2" s="11">
        <f>COUNTIF(I2:I72, 4) / COUNT(I2:I72)</f>
        <v>0.04225352113</v>
      </c>
      <c r="U2" s="11">
        <f>COUNTIF(I2:I72, 5) / COUNT(I2:I72)</f>
        <v>0</v>
      </c>
      <c r="V2" s="11">
        <f>COUNTIF(I2:I72, -1) / COUNT(I2:I72)</f>
        <v>0.1690140845</v>
      </c>
      <c r="W2" s="11">
        <f>COUNTIF(I2:I72, -2) / COUNT(I2:I72)</f>
        <v>0.1126760563</v>
      </c>
      <c r="X2" s="11">
        <f>COUNTIF(I2:I72, -3) / COUNT(I2:I72)</f>
        <v>0.02816901408</v>
      </c>
      <c r="Y2" s="11">
        <f>COUNTIF(H2:H72, -4) / COUNT(H2:H72)</f>
        <v>0</v>
      </c>
      <c r="Z2" s="11">
        <f>COUNTIF(I2:I72, -5) / COUNT(I2:I72)</f>
        <v>0</v>
      </c>
      <c r="AA2" s="11">
        <f>COUNTIF(H:H, "&lt;=1") / COUNT(H:H)</f>
        <v>0.5492957746</v>
      </c>
    </row>
    <row r="3" ht="46.5" customHeight="1">
      <c r="A3" s="1">
        <v>1.0</v>
      </c>
      <c r="B3" s="1" t="s">
        <v>16</v>
      </c>
      <c r="C3" s="1" t="s">
        <v>14</v>
      </c>
      <c r="D3" s="1" t="s">
        <v>17</v>
      </c>
      <c r="E3" s="1">
        <v>2.0</v>
      </c>
      <c r="F3" s="5">
        <v>40.0</v>
      </c>
      <c r="G3" s="6">
        <f t="shared" si="2"/>
        <v>4</v>
      </c>
      <c r="H3" s="7">
        <f t="shared" si="3"/>
        <v>2</v>
      </c>
      <c r="I3" s="7">
        <f t="shared" si="4"/>
        <v>-2</v>
      </c>
      <c r="J3" s="2"/>
      <c r="K3" s="2"/>
      <c r="L3" s="2"/>
      <c r="M3" s="12" t="s">
        <v>18</v>
      </c>
      <c r="N3" s="12" t="s">
        <v>19</v>
      </c>
      <c r="O3" s="13" t="s">
        <v>20</v>
      </c>
      <c r="P3" s="13" t="s">
        <v>21</v>
      </c>
      <c r="Q3" s="14">
        <f>SUM(Q2:T2)</f>
        <v>0.5211267606</v>
      </c>
      <c r="R3" s="15">
        <f>SUM(V2:X2)</f>
        <v>0.3098591549</v>
      </c>
      <c r="S3" s="2"/>
      <c r="T3" s="2"/>
      <c r="U3" s="2"/>
      <c r="V3" s="2"/>
      <c r="W3" s="2"/>
      <c r="X3" s="2"/>
      <c r="Y3" s="2"/>
      <c r="Z3" s="2"/>
      <c r="AA3" s="2"/>
    </row>
    <row r="4">
      <c r="A4" s="1">
        <v>2.0</v>
      </c>
      <c r="B4" s="1" t="s">
        <v>22</v>
      </c>
      <c r="C4" s="1" t="s">
        <v>14</v>
      </c>
      <c r="D4" s="1" t="s">
        <v>23</v>
      </c>
      <c r="E4" s="1">
        <v>5.0</v>
      </c>
      <c r="F4" s="5">
        <v>40.0</v>
      </c>
      <c r="G4" s="6">
        <f t="shared" si="2"/>
        <v>4</v>
      </c>
      <c r="H4" s="7">
        <f t="shared" si="3"/>
        <v>1</v>
      </c>
      <c r="I4" s="7">
        <f t="shared" si="4"/>
        <v>1</v>
      </c>
    </row>
    <row r="5">
      <c r="A5" s="1">
        <v>3.0</v>
      </c>
      <c r="B5" s="1" t="s">
        <v>24</v>
      </c>
      <c r="C5" s="1" t="s">
        <v>14</v>
      </c>
      <c r="D5" s="1" t="s">
        <v>25</v>
      </c>
      <c r="E5" s="1">
        <v>4.0</v>
      </c>
      <c r="F5" s="5">
        <v>41.0</v>
      </c>
      <c r="G5" s="6">
        <f t="shared" si="2"/>
        <v>5</v>
      </c>
      <c r="H5" s="7">
        <f t="shared" si="3"/>
        <v>1</v>
      </c>
      <c r="I5" s="7">
        <f t="shared" si="4"/>
        <v>-1</v>
      </c>
    </row>
    <row r="6">
      <c r="A6" s="1">
        <v>4.0</v>
      </c>
      <c r="B6" s="1" t="s">
        <v>26</v>
      </c>
      <c r="C6" s="1" t="s">
        <v>14</v>
      </c>
      <c r="D6" s="1" t="s">
        <v>27</v>
      </c>
      <c r="E6" s="1">
        <v>6.0</v>
      </c>
      <c r="F6" s="5">
        <v>40.0</v>
      </c>
      <c r="G6" s="6">
        <f t="shared" si="2"/>
        <v>4</v>
      </c>
      <c r="H6" s="7">
        <f t="shared" si="3"/>
        <v>2</v>
      </c>
      <c r="I6" s="7">
        <f t="shared" si="4"/>
        <v>2</v>
      </c>
    </row>
    <row r="7">
      <c r="A7" s="1">
        <v>5.0</v>
      </c>
      <c r="B7" s="1" t="s">
        <v>28</v>
      </c>
      <c r="C7" s="1" t="s">
        <v>14</v>
      </c>
      <c r="D7" s="1" t="s">
        <v>29</v>
      </c>
      <c r="E7" s="1">
        <v>6.0</v>
      </c>
      <c r="F7" s="5">
        <v>41.0</v>
      </c>
      <c r="G7" s="6">
        <f t="shared" si="2"/>
        <v>5</v>
      </c>
      <c r="H7" s="7">
        <f t="shared" si="3"/>
        <v>1</v>
      </c>
      <c r="I7" s="7">
        <f t="shared" si="4"/>
        <v>1</v>
      </c>
    </row>
    <row r="8">
      <c r="A8" s="1">
        <v>6.0</v>
      </c>
      <c r="B8" s="1" t="s">
        <v>30</v>
      </c>
      <c r="C8" s="1" t="s">
        <v>14</v>
      </c>
      <c r="D8" s="1" t="s">
        <v>31</v>
      </c>
      <c r="E8" s="1">
        <v>7.0</v>
      </c>
      <c r="F8" s="5">
        <v>41.0</v>
      </c>
      <c r="G8" s="6">
        <f t="shared" si="2"/>
        <v>7</v>
      </c>
      <c r="H8" s="7">
        <f t="shared" si="3"/>
        <v>0</v>
      </c>
      <c r="I8" s="7">
        <f t="shared" si="4"/>
        <v>0</v>
      </c>
    </row>
    <row r="9">
      <c r="A9" s="1">
        <v>7.0</v>
      </c>
      <c r="B9" s="1" t="s">
        <v>32</v>
      </c>
      <c r="C9" s="1" t="s">
        <v>14</v>
      </c>
      <c r="D9" s="1" t="s">
        <v>33</v>
      </c>
      <c r="E9" s="1">
        <v>5.0</v>
      </c>
      <c r="F9" s="5">
        <v>40.0</v>
      </c>
      <c r="G9" s="6">
        <f t="shared" si="2"/>
        <v>4</v>
      </c>
      <c r="H9" s="7">
        <f t="shared" si="3"/>
        <v>1</v>
      </c>
      <c r="I9" s="7">
        <f t="shared" si="4"/>
        <v>1</v>
      </c>
    </row>
    <row r="10">
      <c r="A10" s="1">
        <v>8.0</v>
      </c>
      <c r="B10" s="1" t="s">
        <v>34</v>
      </c>
      <c r="C10" s="1" t="s">
        <v>14</v>
      </c>
      <c r="D10" s="1" t="s">
        <v>35</v>
      </c>
      <c r="E10" s="1">
        <v>7.0</v>
      </c>
      <c r="F10" s="5">
        <v>41.0</v>
      </c>
      <c r="G10" s="6">
        <f t="shared" si="2"/>
        <v>5</v>
      </c>
      <c r="H10" s="7">
        <f t="shared" si="3"/>
        <v>2</v>
      </c>
      <c r="I10" s="7">
        <f t="shared" si="4"/>
        <v>2</v>
      </c>
    </row>
    <row r="11">
      <c r="A11" s="1">
        <v>9.0</v>
      </c>
      <c r="B11" s="1" t="s">
        <v>36</v>
      </c>
      <c r="C11" s="1" t="s">
        <v>14</v>
      </c>
      <c r="D11" s="1" t="s">
        <v>37</v>
      </c>
      <c r="E11" s="1">
        <v>6.0</v>
      </c>
      <c r="F11" s="5">
        <v>41.0</v>
      </c>
      <c r="G11" s="6">
        <f t="shared" si="2"/>
        <v>4</v>
      </c>
      <c r="H11" s="7">
        <f t="shared" si="3"/>
        <v>2</v>
      </c>
      <c r="I11" s="7">
        <f t="shared" si="4"/>
        <v>2</v>
      </c>
    </row>
    <row r="12">
      <c r="A12" s="1">
        <v>10.0</v>
      </c>
      <c r="B12" s="1" t="s">
        <v>38</v>
      </c>
      <c r="C12" s="1" t="s">
        <v>14</v>
      </c>
      <c r="D12" s="1" t="s">
        <v>39</v>
      </c>
      <c r="E12" s="1">
        <v>6.0</v>
      </c>
      <c r="F12" s="5">
        <v>40.0</v>
      </c>
      <c r="G12" s="6">
        <f t="shared" si="2"/>
        <v>7</v>
      </c>
      <c r="H12" s="7">
        <f t="shared" si="3"/>
        <v>1</v>
      </c>
      <c r="I12" s="7">
        <f t="shared" si="4"/>
        <v>-1</v>
      </c>
    </row>
    <row r="13">
      <c r="A13" s="1">
        <v>11.0</v>
      </c>
      <c r="B13" s="1" t="s">
        <v>40</v>
      </c>
      <c r="C13" s="1" t="s">
        <v>14</v>
      </c>
      <c r="D13" s="1" t="s">
        <v>41</v>
      </c>
      <c r="E13" s="1">
        <v>6.0</v>
      </c>
      <c r="F13" s="5">
        <v>41.0</v>
      </c>
      <c r="G13" s="6">
        <f t="shared" si="2"/>
        <v>5</v>
      </c>
      <c r="H13" s="7">
        <f t="shared" si="3"/>
        <v>1</v>
      </c>
      <c r="I13" s="7">
        <f t="shared" si="4"/>
        <v>1</v>
      </c>
    </row>
    <row r="14">
      <c r="A14" s="1">
        <v>12.0</v>
      </c>
      <c r="B14" s="1" t="s">
        <v>42</v>
      </c>
      <c r="C14" s="1" t="s">
        <v>14</v>
      </c>
      <c r="D14" s="1" t="s">
        <v>43</v>
      </c>
      <c r="E14" s="1">
        <v>8.0</v>
      </c>
      <c r="F14" s="5">
        <v>41.0</v>
      </c>
      <c r="G14" s="6">
        <f t="shared" si="2"/>
        <v>7</v>
      </c>
      <c r="H14" s="7">
        <f t="shared" si="3"/>
        <v>1</v>
      </c>
      <c r="I14" s="7">
        <f t="shared" si="4"/>
        <v>1</v>
      </c>
    </row>
    <row r="15">
      <c r="A15" s="1">
        <v>13.0</v>
      </c>
      <c r="B15" s="1" t="s">
        <v>44</v>
      </c>
      <c r="C15" s="1" t="s">
        <v>14</v>
      </c>
      <c r="D15" s="1" t="s">
        <v>45</v>
      </c>
      <c r="E15" s="1">
        <v>5.0</v>
      </c>
      <c r="F15" s="5">
        <v>40.0</v>
      </c>
      <c r="G15" s="6">
        <f t="shared" si="2"/>
        <v>5</v>
      </c>
      <c r="H15" s="7">
        <f t="shared" si="3"/>
        <v>0</v>
      </c>
      <c r="I15" s="7">
        <f t="shared" si="4"/>
        <v>0</v>
      </c>
    </row>
    <row r="16">
      <c r="A16" s="1">
        <v>14.0</v>
      </c>
      <c r="B16" s="1" t="s">
        <v>46</v>
      </c>
      <c r="C16" s="1" t="s">
        <v>14</v>
      </c>
      <c r="D16" s="1" t="s">
        <v>47</v>
      </c>
      <c r="E16" s="1">
        <v>7.0</v>
      </c>
      <c r="F16" s="5">
        <v>40.0</v>
      </c>
      <c r="G16" s="6">
        <f t="shared" si="2"/>
        <v>5</v>
      </c>
      <c r="H16" s="7">
        <f t="shared" si="3"/>
        <v>2</v>
      </c>
      <c r="I16" s="7">
        <f t="shared" si="4"/>
        <v>2</v>
      </c>
    </row>
    <row r="17">
      <c r="A17" s="1">
        <v>15.0</v>
      </c>
      <c r="B17" s="1" t="s">
        <v>48</v>
      </c>
      <c r="C17" s="1" t="s">
        <v>14</v>
      </c>
      <c r="D17" s="1" t="s">
        <v>49</v>
      </c>
      <c r="E17" s="1">
        <v>2.0</v>
      </c>
      <c r="F17" s="5">
        <v>41.0</v>
      </c>
      <c r="G17" s="6">
        <f t="shared" si="2"/>
        <v>4</v>
      </c>
      <c r="H17" s="7">
        <f t="shared" si="3"/>
        <v>2</v>
      </c>
      <c r="I17" s="7">
        <f t="shared" si="4"/>
        <v>-2</v>
      </c>
    </row>
    <row r="18">
      <c r="A18" s="1">
        <v>16.0</v>
      </c>
      <c r="B18" s="1" t="s">
        <v>50</v>
      </c>
      <c r="C18" s="1" t="s">
        <v>14</v>
      </c>
      <c r="D18" s="1" t="s">
        <v>51</v>
      </c>
      <c r="E18" s="1">
        <v>7.0</v>
      </c>
      <c r="F18" s="5">
        <v>41.0</v>
      </c>
      <c r="G18" s="6">
        <f t="shared" si="2"/>
        <v>4</v>
      </c>
      <c r="H18" s="7">
        <f t="shared" si="3"/>
        <v>3</v>
      </c>
      <c r="I18" s="7">
        <f t="shared" si="4"/>
        <v>3</v>
      </c>
    </row>
    <row r="19">
      <c r="A19" s="1">
        <v>17.0</v>
      </c>
      <c r="B19" s="1" t="s">
        <v>52</v>
      </c>
      <c r="C19" s="1" t="s">
        <v>14</v>
      </c>
      <c r="D19" s="1" t="s">
        <v>53</v>
      </c>
      <c r="E19" s="1">
        <v>9.0</v>
      </c>
      <c r="F19" s="5">
        <v>40.0</v>
      </c>
      <c r="G19" s="6">
        <f t="shared" si="2"/>
        <v>5</v>
      </c>
      <c r="H19" s="7">
        <f t="shared" si="3"/>
        <v>4</v>
      </c>
      <c r="I19" s="7">
        <f t="shared" si="4"/>
        <v>4</v>
      </c>
    </row>
    <row r="20">
      <c r="A20" s="1">
        <v>18.0</v>
      </c>
      <c r="B20" s="1" t="s">
        <v>54</v>
      </c>
      <c r="C20" s="1" t="s">
        <v>14</v>
      </c>
      <c r="D20" s="1" t="s">
        <v>55</v>
      </c>
      <c r="E20" s="1">
        <v>7.0</v>
      </c>
      <c r="F20" s="5">
        <v>41.0</v>
      </c>
      <c r="G20" s="6">
        <f t="shared" si="2"/>
        <v>5</v>
      </c>
      <c r="H20" s="7">
        <f t="shared" si="3"/>
        <v>2</v>
      </c>
      <c r="I20" s="7">
        <f t="shared" si="4"/>
        <v>2</v>
      </c>
    </row>
    <row r="21">
      <c r="A21" s="1">
        <v>19.0</v>
      </c>
      <c r="B21" s="1" t="s">
        <v>56</v>
      </c>
      <c r="C21" s="1" t="s">
        <v>14</v>
      </c>
      <c r="D21" s="1" t="s">
        <v>57</v>
      </c>
      <c r="E21" s="1">
        <v>0.0</v>
      </c>
      <c r="F21" s="5">
        <v>40.0</v>
      </c>
      <c r="G21" s="6">
        <f t="shared" si="2"/>
        <v>3</v>
      </c>
      <c r="H21" s="7">
        <f t="shared" si="3"/>
        <v>3</v>
      </c>
      <c r="I21" s="7">
        <f t="shared" si="4"/>
        <v>-3</v>
      </c>
    </row>
    <row r="22">
      <c r="A22" s="1">
        <v>20.0</v>
      </c>
      <c r="B22" s="1" t="s">
        <v>58</v>
      </c>
      <c r="C22" s="1" t="s">
        <v>14</v>
      </c>
      <c r="D22" s="1" t="s">
        <v>59</v>
      </c>
      <c r="E22" s="1">
        <v>8.0</v>
      </c>
      <c r="F22" s="5">
        <v>41.0</v>
      </c>
      <c r="G22" s="6">
        <f t="shared" si="2"/>
        <v>8</v>
      </c>
      <c r="H22" s="7">
        <f t="shared" si="3"/>
        <v>0</v>
      </c>
      <c r="I22" s="7">
        <f t="shared" si="4"/>
        <v>0</v>
      </c>
    </row>
    <row r="23">
      <c r="A23" s="1">
        <v>21.0</v>
      </c>
      <c r="B23" s="1" t="s">
        <v>60</v>
      </c>
      <c r="C23" s="1" t="s">
        <v>14</v>
      </c>
      <c r="D23" s="1" t="s">
        <v>61</v>
      </c>
      <c r="E23" s="1">
        <v>4.0</v>
      </c>
      <c r="F23" s="5">
        <v>40.0</v>
      </c>
      <c r="G23" s="6">
        <f t="shared" si="2"/>
        <v>4</v>
      </c>
      <c r="H23" s="7">
        <f t="shared" si="3"/>
        <v>0</v>
      </c>
      <c r="I23" s="7">
        <f t="shared" si="4"/>
        <v>0</v>
      </c>
    </row>
    <row r="24">
      <c r="A24" s="1">
        <v>22.0</v>
      </c>
      <c r="B24" s="1" t="s">
        <v>62</v>
      </c>
      <c r="C24" s="1" t="s">
        <v>14</v>
      </c>
      <c r="D24" s="1" t="s">
        <v>63</v>
      </c>
      <c r="E24" s="1">
        <v>7.0</v>
      </c>
      <c r="F24" s="5">
        <v>41.0</v>
      </c>
      <c r="G24" s="6">
        <f t="shared" si="2"/>
        <v>4</v>
      </c>
      <c r="H24" s="7">
        <f t="shared" si="3"/>
        <v>3</v>
      </c>
      <c r="I24" s="7">
        <f t="shared" si="4"/>
        <v>3</v>
      </c>
    </row>
    <row r="25">
      <c r="A25" s="1">
        <v>23.0</v>
      </c>
      <c r="B25" s="1" t="s">
        <v>64</v>
      </c>
      <c r="C25" s="1" t="s">
        <v>14</v>
      </c>
      <c r="D25" s="1" t="s">
        <v>65</v>
      </c>
      <c r="E25" s="1">
        <v>1.0</v>
      </c>
      <c r="F25" s="5">
        <v>40.0</v>
      </c>
      <c r="G25" s="6">
        <f t="shared" si="2"/>
        <v>3</v>
      </c>
      <c r="H25" s="7">
        <f t="shared" si="3"/>
        <v>2</v>
      </c>
      <c r="I25" s="7">
        <f t="shared" si="4"/>
        <v>-2</v>
      </c>
    </row>
    <row r="26">
      <c r="A26" s="1">
        <v>24.0</v>
      </c>
      <c r="B26" s="1" t="s">
        <v>66</v>
      </c>
      <c r="C26" s="1" t="s">
        <v>14</v>
      </c>
      <c r="D26" s="1" t="s">
        <v>67</v>
      </c>
      <c r="E26" s="1">
        <v>0.0</v>
      </c>
      <c r="F26" s="5">
        <v>19.0</v>
      </c>
      <c r="G26" s="16">
        <v>0.0</v>
      </c>
      <c r="H26" s="7">
        <f t="shared" si="3"/>
        <v>0</v>
      </c>
      <c r="I26" s="7">
        <f t="shared" si="4"/>
        <v>0</v>
      </c>
    </row>
    <row r="27">
      <c r="A27" s="1">
        <v>25.0</v>
      </c>
      <c r="B27" s="1" t="s">
        <v>68</v>
      </c>
      <c r="C27" s="1" t="s">
        <v>14</v>
      </c>
      <c r="D27" s="1" t="s">
        <v>69</v>
      </c>
      <c r="E27" s="1">
        <v>7.0</v>
      </c>
      <c r="F27" s="5">
        <v>40.0</v>
      </c>
      <c r="G27" s="6">
        <f t="shared" ref="G27:G72" si="5">--MID(D27, FIND("Nota:", D27) + 6, 1)</f>
        <v>5</v>
      </c>
      <c r="H27" s="7">
        <f t="shared" si="3"/>
        <v>2</v>
      </c>
      <c r="I27" s="7">
        <f t="shared" si="4"/>
        <v>2</v>
      </c>
    </row>
    <row r="28">
      <c r="A28" s="1">
        <v>26.0</v>
      </c>
      <c r="B28" s="1" t="s">
        <v>70</v>
      </c>
      <c r="C28" s="1" t="s">
        <v>14</v>
      </c>
      <c r="D28" s="1" t="s">
        <v>71</v>
      </c>
      <c r="E28" s="1">
        <v>7.0</v>
      </c>
      <c r="F28" s="5">
        <v>40.0</v>
      </c>
      <c r="G28" s="6">
        <f t="shared" si="5"/>
        <v>5</v>
      </c>
      <c r="H28" s="7">
        <f t="shared" si="3"/>
        <v>2</v>
      </c>
      <c r="I28" s="7">
        <f t="shared" si="4"/>
        <v>2</v>
      </c>
    </row>
    <row r="29">
      <c r="A29" s="1">
        <v>27.0</v>
      </c>
      <c r="B29" s="1" t="s">
        <v>72</v>
      </c>
      <c r="C29" s="1" t="s">
        <v>14</v>
      </c>
      <c r="D29" s="1" t="s">
        <v>73</v>
      </c>
      <c r="E29" s="1">
        <v>4.0</v>
      </c>
      <c r="F29" s="5">
        <v>40.0</v>
      </c>
      <c r="G29" s="6">
        <f t="shared" si="5"/>
        <v>5</v>
      </c>
      <c r="H29" s="7">
        <f t="shared" si="3"/>
        <v>1</v>
      </c>
      <c r="I29" s="7">
        <f t="shared" si="4"/>
        <v>-1</v>
      </c>
    </row>
    <row r="30">
      <c r="A30" s="1">
        <v>28.0</v>
      </c>
      <c r="B30" s="1" t="s">
        <v>74</v>
      </c>
      <c r="C30" s="1" t="s">
        <v>14</v>
      </c>
      <c r="D30" s="1" t="s">
        <v>75</v>
      </c>
      <c r="E30" s="1">
        <v>4.0</v>
      </c>
      <c r="F30" s="5">
        <v>40.0</v>
      </c>
      <c r="G30" s="6">
        <f t="shared" si="5"/>
        <v>5</v>
      </c>
      <c r="H30" s="7">
        <f t="shared" si="3"/>
        <v>1</v>
      </c>
      <c r="I30" s="7">
        <f t="shared" si="4"/>
        <v>-1</v>
      </c>
    </row>
    <row r="31">
      <c r="A31" s="1">
        <v>29.0</v>
      </c>
      <c r="B31" s="1" t="s">
        <v>76</v>
      </c>
      <c r="C31" s="1" t="s">
        <v>14</v>
      </c>
      <c r="D31" s="1" t="s">
        <v>77</v>
      </c>
      <c r="E31" s="1">
        <v>3.0</v>
      </c>
      <c r="F31" s="5">
        <v>40.0</v>
      </c>
      <c r="G31" s="6">
        <f t="shared" si="5"/>
        <v>4</v>
      </c>
      <c r="H31" s="7">
        <f t="shared" si="3"/>
        <v>1</v>
      </c>
      <c r="I31" s="7">
        <f t="shared" si="4"/>
        <v>-1</v>
      </c>
    </row>
    <row r="32">
      <c r="A32" s="1">
        <v>30.0</v>
      </c>
      <c r="B32" s="1" t="s">
        <v>78</v>
      </c>
      <c r="C32" s="1" t="s">
        <v>14</v>
      </c>
      <c r="D32" s="1" t="s">
        <v>79</v>
      </c>
      <c r="E32" s="1">
        <v>9.0</v>
      </c>
      <c r="F32" s="5">
        <v>41.0</v>
      </c>
      <c r="G32" s="6">
        <f t="shared" si="5"/>
        <v>8</v>
      </c>
      <c r="H32" s="7">
        <f t="shared" si="3"/>
        <v>1</v>
      </c>
      <c r="I32" s="7">
        <f t="shared" si="4"/>
        <v>1</v>
      </c>
    </row>
    <row r="33">
      <c r="A33" s="1">
        <v>31.0</v>
      </c>
      <c r="B33" s="1" t="s">
        <v>80</v>
      </c>
      <c r="C33" s="1" t="s">
        <v>14</v>
      </c>
      <c r="D33" s="1" t="s">
        <v>81</v>
      </c>
      <c r="E33" s="1">
        <v>8.0</v>
      </c>
      <c r="F33" s="5">
        <v>40.0</v>
      </c>
      <c r="G33" s="6">
        <f t="shared" si="5"/>
        <v>4</v>
      </c>
      <c r="H33" s="7">
        <f t="shared" si="3"/>
        <v>4</v>
      </c>
      <c r="I33" s="7">
        <f t="shared" si="4"/>
        <v>4</v>
      </c>
    </row>
    <row r="34">
      <c r="A34" s="1">
        <v>32.0</v>
      </c>
      <c r="B34" s="1" t="s">
        <v>82</v>
      </c>
      <c r="C34" s="1" t="s">
        <v>14</v>
      </c>
      <c r="D34" s="1" t="s">
        <v>83</v>
      </c>
      <c r="E34" s="1">
        <v>8.0</v>
      </c>
      <c r="F34" s="5">
        <v>40.0</v>
      </c>
      <c r="G34" s="6">
        <f t="shared" si="5"/>
        <v>7</v>
      </c>
      <c r="H34" s="7">
        <f t="shared" si="3"/>
        <v>1</v>
      </c>
      <c r="I34" s="7">
        <f t="shared" si="4"/>
        <v>1</v>
      </c>
    </row>
    <row r="35">
      <c r="A35" s="1">
        <v>33.0</v>
      </c>
      <c r="B35" s="1" t="s">
        <v>84</v>
      </c>
      <c r="C35" s="1" t="s">
        <v>14</v>
      </c>
      <c r="D35" s="1" t="s">
        <v>85</v>
      </c>
      <c r="E35" s="1">
        <v>9.0</v>
      </c>
      <c r="F35" s="5">
        <v>40.0</v>
      </c>
      <c r="G35" s="6">
        <f t="shared" si="5"/>
        <v>7</v>
      </c>
      <c r="H35" s="7">
        <f t="shared" si="3"/>
        <v>2</v>
      </c>
      <c r="I35" s="7">
        <f t="shared" si="4"/>
        <v>2</v>
      </c>
    </row>
    <row r="36">
      <c r="A36" s="1">
        <v>34.0</v>
      </c>
      <c r="B36" s="1" t="s">
        <v>86</v>
      </c>
      <c r="C36" s="1" t="s">
        <v>14</v>
      </c>
      <c r="D36" s="1" t="s">
        <v>87</v>
      </c>
      <c r="E36" s="1">
        <v>7.0</v>
      </c>
      <c r="F36" s="5">
        <v>40.0</v>
      </c>
      <c r="G36" s="6">
        <f t="shared" si="5"/>
        <v>4</v>
      </c>
      <c r="H36" s="7">
        <f t="shared" si="3"/>
        <v>3</v>
      </c>
      <c r="I36" s="7">
        <f t="shared" si="4"/>
        <v>3</v>
      </c>
    </row>
    <row r="37">
      <c r="A37" s="1">
        <v>35.0</v>
      </c>
      <c r="B37" s="1" t="s">
        <v>88</v>
      </c>
      <c r="C37" s="1" t="s">
        <v>14</v>
      </c>
      <c r="D37" s="1" t="s">
        <v>89</v>
      </c>
      <c r="E37" s="1">
        <v>6.0</v>
      </c>
      <c r="F37" s="5">
        <v>40.0</v>
      </c>
      <c r="G37" s="6">
        <f t="shared" si="5"/>
        <v>5</v>
      </c>
      <c r="H37" s="7">
        <f t="shared" si="3"/>
        <v>1</v>
      </c>
      <c r="I37" s="7">
        <f t="shared" si="4"/>
        <v>1</v>
      </c>
    </row>
    <row r="38">
      <c r="A38" s="1">
        <v>36.0</v>
      </c>
      <c r="B38" s="1" t="s">
        <v>90</v>
      </c>
      <c r="C38" s="1" t="s">
        <v>14</v>
      </c>
      <c r="D38" s="1" t="s">
        <v>91</v>
      </c>
      <c r="E38" s="1">
        <v>6.0</v>
      </c>
      <c r="F38" s="5">
        <v>40.0</v>
      </c>
      <c r="G38" s="6">
        <f t="shared" si="5"/>
        <v>4</v>
      </c>
      <c r="H38" s="7">
        <f t="shared" si="3"/>
        <v>2</v>
      </c>
      <c r="I38" s="7">
        <f t="shared" si="4"/>
        <v>2</v>
      </c>
    </row>
    <row r="39">
      <c r="A39" s="1">
        <v>37.0</v>
      </c>
      <c r="B39" s="1" t="s">
        <v>92</v>
      </c>
      <c r="C39" s="1" t="s">
        <v>14</v>
      </c>
      <c r="D39" s="1" t="s">
        <v>93</v>
      </c>
      <c r="E39" s="1">
        <v>8.0</v>
      </c>
      <c r="F39" s="5">
        <v>41.0</v>
      </c>
      <c r="G39" s="6">
        <f t="shared" si="5"/>
        <v>7</v>
      </c>
      <c r="H39" s="7">
        <f t="shared" si="3"/>
        <v>1</v>
      </c>
      <c r="I39" s="7">
        <f t="shared" si="4"/>
        <v>1</v>
      </c>
    </row>
    <row r="40">
      <c r="A40" s="1">
        <v>38.0</v>
      </c>
      <c r="B40" s="1" t="s">
        <v>94</v>
      </c>
      <c r="C40" s="1" t="s">
        <v>14</v>
      </c>
      <c r="D40" s="1" t="s">
        <v>95</v>
      </c>
      <c r="E40" s="1">
        <v>8.0</v>
      </c>
      <c r="F40" s="5">
        <v>41.0</v>
      </c>
      <c r="G40" s="6">
        <f t="shared" si="5"/>
        <v>5</v>
      </c>
      <c r="H40" s="7">
        <f t="shared" si="3"/>
        <v>3</v>
      </c>
      <c r="I40" s="7">
        <f t="shared" si="4"/>
        <v>3</v>
      </c>
    </row>
    <row r="41">
      <c r="A41" s="1">
        <v>39.0</v>
      </c>
      <c r="B41" s="1" t="s">
        <v>96</v>
      </c>
      <c r="C41" s="1" t="s">
        <v>14</v>
      </c>
      <c r="D41" s="1" t="s">
        <v>97</v>
      </c>
      <c r="E41" s="1">
        <v>1.0</v>
      </c>
      <c r="F41" s="5">
        <v>40.0</v>
      </c>
      <c r="G41" s="6">
        <f t="shared" si="5"/>
        <v>3</v>
      </c>
      <c r="H41" s="7">
        <f t="shared" si="3"/>
        <v>2</v>
      </c>
      <c r="I41" s="7">
        <f t="shared" si="4"/>
        <v>-2</v>
      </c>
    </row>
    <row r="42">
      <c r="A42" s="1">
        <v>40.0</v>
      </c>
      <c r="B42" s="1" t="s">
        <v>98</v>
      </c>
      <c r="C42" s="1" t="s">
        <v>14</v>
      </c>
      <c r="D42" s="1" t="s">
        <v>99</v>
      </c>
      <c r="E42" s="1">
        <v>8.0</v>
      </c>
      <c r="F42" s="5">
        <v>41.0</v>
      </c>
      <c r="G42" s="6">
        <f t="shared" si="5"/>
        <v>7</v>
      </c>
      <c r="H42" s="7">
        <f t="shared" si="3"/>
        <v>1</v>
      </c>
      <c r="I42" s="7">
        <f t="shared" si="4"/>
        <v>1</v>
      </c>
    </row>
    <row r="43">
      <c r="A43" s="1">
        <v>41.0</v>
      </c>
      <c r="B43" s="1" t="s">
        <v>100</v>
      </c>
      <c r="C43" s="1" t="s">
        <v>14</v>
      </c>
      <c r="D43" s="1" t="s">
        <v>101</v>
      </c>
      <c r="E43" s="1">
        <v>7.0</v>
      </c>
      <c r="F43" s="5">
        <v>40.0</v>
      </c>
      <c r="G43" s="6">
        <f t="shared" si="5"/>
        <v>5</v>
      </c>
      <c r="H43" s="7">
        <f t="shared" si="3"/>
        <v>2</v>
      </c>
      <c r="I43" s="7">
        <f t="shared" si="4"/>
        <v>2</v>
      </c>
    </row>
    <row r="44">
      <c r="A44" s="1">
        <v>42.0</v>
      </c>
      <c r="B44" s="1" t="s">
        <v>102</v>
      </c>
      <c r="C44" s="1" t="s">
        <v>14</v>
      </c>
      <c r="D44" s="1" t="s">
        <v>103</v>
      </c>
      <c r="E44" s="1">
        <v>6.0</v>
      </c>
      <c r="F44" s="5">
        <v>40.0</v>
      </c>
      <c r="G44" s="6">
        <f t="shared" si="5"/>
        <v>5</v>
      </c>
      <c r="H44" s="7">
        <f t="shared" si="3"/>
        <v>1</v>
      </c>
      <c r="I44" s="7">
        <f t="shared" si="4"/>
        <v>1</v>
      </c>
    </row>
    <row r="45">
      <c r="A45" s="1">
        <v>43.0</v>
      </c>
      <c r="B45" s="1" t="s">
        <v>104</v>
      </c>
      <c r="C45" s="1" t="s">
        <v>14</v>
      </c>
      <c r="D45" s="1" t="s">
        <v>105</v>
      </c>
      <c r="E45" s="1">
        <v>9.0</v>
      </c>
      <c r="F45" s="5">
        <v>40.0</v>
      </c>
      <c r="G45" s="6">
        <f t="shared" si="5"/>
        <v>5</v>
      </c>
      <c r="H45" s="7">
        <f t="shared" si="3"/>
        <v>4</v>
      </c>
      <c r="I45" s="7">
        <f t="shared" si="4"/>
        <v>4</v>
      </c>
    </row>
    <row r="46">
      <c r="A46" s="1">
        <v>44.0</v>
      </c>
      <c r="B46" s="1" t="s">
        <v>106</v>
      </c>
      <c r="C46" s="1" t="s">
        <v>14</v>
      </c>
      <c r="D46" s="1" t="s">
        <v>107</v>
      </c>
      <c r="E46" s="1">
        <v>3.0</v>
      </c>
      <c r="F46" s="5">
        <v>40.0</v>
      </c>
      <c r="G46" s="6">
        <f t="shared" si="5"/>
        <v>4</v>
      </c>
      <c r="H46" s="7">
        <f t="shared" si="3"/>
        <v>1</v>
      </c>
      <c r="I46" s="7">
        <f t="shared" si="4"/>
        <v>-1</v>
      </c>
    </row>
    <row r="47">
      <c r="A47" s="1">
        <v>45.0</v>
      </c>
      <c r="B47" s="1" t="s">
        <v>108</v>
      </c>
      <c r="C47" s="1" t="s">
        <v>14</v>
      </c>
      <c r="D47" s="1" t="s">
        <v>109</v>
      </c>
      <c r="E47" s="1">
        <v>8.0</v>
      </c>
      <c r="F47" s="5">
        <v>41.0</v>
      </c>
      <c r="G47" s="6">
        <f t="shared" si="5"/>
        <v>7</v>
      </c>
      <c r="H47" s="7">
        <f t="shared" si="3"/>
        <v>1</v>
      </c>
      <c r="I47" s="7">
        <f t="shared" si="4"/>
        <v>1</v>
      </c>
    </row>
    <row r="48">
      <c r="A48" s="1">
        <v>46.0</v>
      </c>
      <c r="B48" s="1" t="s">
        <v>110</v>
      </c>
      <c r="C48" s="1" t="s">
        <v>14</v>
      </c>
      <c r="D48" s="1" t="s">
        <v>111</v>
      </c>
      <c r="E48" s="1">
        <v>3.0</v>
      </c>
      <c r="F48" s="5">
        <v>40.0</v>
      </c>
      <c r="G48" s="6">
        <f t="shared" si="5"/>
        <v>4</v>
      </c>
      <c r="H48" s="7">
        <f t="shared" si="3"/>
        <v>1</v>
      </c>
      <c r="I48" s="7">
        <f t="shared" si="4"/>
        <v>-1</v>
      </c>
    </row>
    <row r="49">
      <c r="A49" s="1">
        <v>47.0</v>
      </c>
      <c r="B49" s="1" t="s">
        <v>112</v>
      </c>
      <c r="C49" s="1" t="s">
        <v>14</v>
      </c>
      <c r="D49" s="1" t="s">
        <v>113</v>
      </c>
      <c r="E49" s="1">
        <v>2.0</v>
      </c>
      <c r="F49" s="5">
        <v>40.0</v>
      </c>
      <c r="G49" s="6">
        <f t="shared" si="5"/>
        <v>3</v>
      </c>
      <c r="H49" s="7">
        <f t="shared" si="3"/>
        <v>1</v>
      </c>
      <c r="I49" s="7">
        <f t="shared" si="4"/>
        <v>-1</v>
      </c>
    </row>
    <row r="50">
      <c r="A50" s="1">
        <v>48.0</v>
      </c>
      <c r="B50" s="1" t="s">
        <v>114</v>
      </c>
      <c r="C50" s="1" t="s">
        <v>14</v>
      </c>
      <c r="D50" s="1" t="s">
        <v>115</v>
      </c>
      <c r="E50" s="1">
        <v>2.0</v>
      </c>
      <c r="F50" s="5">
        <v>40.0</v>
      </c>
      <c r="G50" s="6">
        <f t="shared" si="5"/>
        <v>2</v>
      </c>
      <c r="H50" s="7">
        <f t="shared" si="3"/>
        <v>0</v>
      </c>
      <c r="I50" s="7">
        <f t="shared" si="4"/>
        <v>0</v>
      </c>
    </row>
    <row r="51">
      <c r="A51" s="1">
        <v>49.0</v>
      </c>
      <c r="B51" s="1" t="s">
        <v>116</v>
      </c>
      <c r="C51" s="1" t="s">
        <v>14</v>
      </c>
      <c r="D51" s="1" t="s">
        <v>117</v>
      </c>
      <c r="E51" s="1">
        <v>8.0</v>
      </c>
      <c r="F51" s="5">
        <v>40.0</v>
      </c>
      <c r="G51" s="6">
        <f t="shared" si="5"/>
        <v>5</v>
      </c>
      <c r="H51" s="7">
        <f t="shared" si="3"/>
        <v>3</v>
      </c>
      <c r="I51" s="7">
        <f t="shared" si="4"/>
        <v>3</v>
      </c>
    </row>
    <row r="52">
      <c r="A52" s="1">
        <v>50.0</v>
      </c>
      <c r="B52" s="1" t="s">
        <v>118</v>
      </c>
      <c r="C52" s="1" t="s">
        <v>14</v>
      </c>
      <c r="D52" s="1" t="s">
        <v>119</v>
      </c>
      <c r="E52" s="1">
        <v>8.0</v>
      </c>
      <c r="F52" s="5">
        <v>40.0</v>
      </c>
      <c r="G52" s="6">
        <f t="shared" si="5"/>
        <v>5</v>
      </c>
      <c r="H52" s="7">
        <f t="shared" si="3"/>
        <v>3</v>
      </c>
      <c r="I52" s="7">
        <f t="shared" si="4"/>
        <v>3</v>
      </c>
    </row>
    <row r="53">
      <c r="A53" s="1">
        <v>51.0</v>
      </c>
      <c r="B53" s="1" t="s">
        <v>120</v>
      </c>
      <c r="C53" s="1" t="s">
        <v>14</v>
      </c>
      <c r="D53" s="1" t="s">
        <v>121</v>
      </c>
      <c r="E53" s="1">
        <v>4.0</v>
      </c>
      <c r="F53" s="5">
        <v>40.0</v>
      </c>
      <c r="G53" s="6">
        <f t="shared" si="5"/>
        <v>4</v>
      </c>
      <c r="H53" s="7">
        <f t="shared" si="3"/>
        <v>0</v>
      </c>
      <c r="I53" s="7">
        <f t="shared" si="4"/>
        <v>0</v>
      </c>
    </row>
    <row r="54">
      <c r="A54" s="1">
        <v>52.0</v>
      </c>
      <c r="B54" s="1" t="s">
        <v>122</v>
      </c>
      <c r="C54" s="1" t="s">
        <v>14</v>
      </c>
      <c r="D54" s="1" t="s">
        <v>123</v>
      </c>
      <c r="E54" s="1">
        <v>7.0</v>
      </c>
      <c r="F54" s="5">
        <v>40.0</v>
      </c>
      <c r="G54" s="6">
        <f t="shared" si="5"/>
        <v>4</v>
      </c>
      <c r="H54" s="7">
        <f t="shared" si="3"/>
        <v>3</v>
      </c>
      <c r="I54" s="7">
        <f t="shared" si="4"/>
        <v>3</v>
      </c>
    </row>
    <row r="55">
      <c r="A55" s="1">
        <v>53.0</v>
      </c>
      <c r="B55" s="1" t="s">
        <v>124</v>
      </c>
      <c r="C55" s="1" t="s">
        <v>14</v>
      </c>
      <c r="D55" s="1" t="s">
        <v>125</v>
      </c>
      <c r="E55" s="1">
        <v>5.0</v>
      </c>
      <c r="F55" s="5">
        <v>40.0</v>
      </c>
      <c r="G55" s="6">
        <f t="shared" si="5"/>
        <v>5</v>
      </c>
      <c r="H55" s="7">
        <f t="shared" si="3"/>
        <v>0</v>
      </c>
      <c r="I55" s="7">
        <f t="shared" si="4"/>
        <v>0</v>
      </c>
    </row>
    <row r="56">
      <c r="A56" s="1">
        <v>54.0</v>
      </c>
      <c r="B56" s="1" t="s">
        <v>126</v>
      </c>
      <c r="C56" s="1" t="s">
        <v>14</v>
      </c>
      <c r="D56" s="1" t="s">
        <v>127</v>
      </c>
      <c r="E56" s="1">
        <v>5.0</v>
      </c>
      <c r="F56" s="5">
        <v>40.0</v>
      </c>
      <c r="G56" s="6">
        <f t="shared" si="5"/>
        <v>5</v>
      </c>
      <c r="H56" s="7">
        <f t="shared" si="3"/>
        <v>0</v>
      </c>
      <c r="I56" s="7">
        <f t="shared" si="4"/>
        <v>0</v>
      </c>
    </row>
    <row r="57">
      <c r="A57" s="1">
        <v>55.0</v>
      </c>
      <c r="B57" s="1" t="s">
        <v>128</v>
      </c>
      <c r="C57" s="1" t="s">
        <v>14</v>
      </c>
      <c r="D57" s="1" t="s">
        <v>129</v>
      </c>
      <c r="E57" s="1">
        <v>9.0</v>
      </c>
      <c r="F57" s="5">
        <v>41.0</v>
      </c>
      <c r="G57" s="6">
        <f t="shared" si="5"/>
        <v>7</v>
      </c>
      <c r="H57" s="7">
        <f t="shared" si="3"/>
        <v>2</v>
      </c>
      <c r="I57" s="7">
        <f t="shared" si="4"/>
        <v>2</v>
      </c>
    </row>
    <row r="58">
      <c r="A58" s="1">
        <v>56.0</v>
      </c>
      <c r="B58" s="1" t="s">
        <v>130</v>
      </c>
      <c r="C58" s="1" t="s">
        <v>14</v>
      </c>
      <c r="D58" s="1" t="s">
        <v>131</v>
      </c>
      <c r="E58" s="1">
        <v>4.0</v>
      </c>
      <c r="F58" s="5">
        <v>40.0</v>
      </c>
      <c r="G58" s="6">
        <f t="shared" si="5"/>
        <v>5</v>
      </c>
      <c r="H58" s="7">
        <f t="shared" si="3"/>
        <v>1</v>
      </c>
      <c r="I58" s="7">
        <f t="shared" si="4"/>
        <v>-1</v>
      </c>
    </row>
    <row r="59">
      <c r="A59" s="1">
        <v>57.0</v>
      </c>
      <c r="B59" s="1" t="s">
        <v>132</v>
      </c>
      <c r="C59" s="1" t="s">
        <v>14</v>
      </c>
      <c r="D59" s="1" t="s">
        <v>133</v>
      </c>
      <c r="E59" s="1">
        <v>0.0</v>
      </c>
      <c r="F59" s="5">
        <v>40.0</v>
      </c>
      <c r="G59" s="6">
        <f t="shared" si="5"/>
        <v>0</v>
      </c>
      <c r="H59" s="7">
        <f t="shared" si="3"/>
        <v>0</v>
      </c>
      <c r="I59" s="7">
        <f t="shared" si="4"/>
        <v>0</v>
      </c>
    </row>
    <row r="60">
      <c r="A60" s="1">
        <v>58.0</v>
      </c>
      <c r="B60" s="1" t="s">
        <v>134</v>
      </c>
      <c r="C60" s="1" t="s">
        <v>14</v>
      </c>
      <c r="D60" s="1" t="s">
        <v>135</v>
      </c>
      <c r="E60" s="1">
        <v>2.0</v>
      </c>
      <c r="F60" s="5">
        <v>41.0</v>
      </c>
      <c r="G60" s="6">
        <f t="shared" si="5"/>
        <v>5</v>
      </c>
      <c r="H60" s="7">
        <f t="shared" si="3"/>
        <v>3</v>
      </c>
      <c r="I60" s="7">
        <f t="shared" si="4"/>
        <v>-3</v>
      </c>
    </row>
    <row r="61">
      <c r="A61" s="1">
        <v>59.0</v>
      </c>
      <c r="B61" s="1" t="s">
        <v>136</v>
      </c>
      <c r="C61" s="1" t="s">
        <v>14</v>
      </c>
      <c r="D61" s="1" t="s">
        <v>137</v>
      </c>
      <c r="E61" s="1">
        <v>3.0</v>
      </c>
      <c r="F61" s="5">
        <v>40.0</v>
      </c>
      <c r="G61" s="6">
        <f t="shared" si="5"/>
        <v>4</v>
      </c>
      <c r="H61" s="7">
        <f t="shared" si="3"/>
        <v>1</v>
      </c>
      <c r="I61" s="7">
        <f t="shared" si="4"/>
        <v>-1</v>
      </c>
    </row>
    <row r="62">
      <c r="A62" s="1">
        <v>60.0</v>
      </c>
      <c r="B62" s="1" t="s">
        <v>138</v>
      </c>
      <c r="C62" s="1" t="s">
        <v>14</v>
      </c>
      <c r="D62" s="1" t="s">
        <v>139</v>
      </c>
      <c r="E62" s="1">
        <v>1.0</v>
      </c>
      <c r="F62" s="5">
        <v>41.0</v>
      </c>
      <c r="G62" s="6">
        <f t="shared" si="5"/>
        <v>3</v>
      </c>
      <c r="H62" s="7">
        <f t="shared" si="3"/>
        <v>2</v>
      </c>
      <c r="I62" s="7">
        <f t="shared" si="4"/>
        <v>-2</v>
      </c>
    </row>
    <row r="63">
      <c r="A63" s="1">
        <v>61.0</v>
      </c>
      <c r="B63" s="1" t="s">
        <v>140</v>
      </c>
      <c r="C63" s="1" t="s">
        <v>14</v>
      </c>
      <c r="D63" s="1" t="s">
        <v>141</v>
      </c>
      <c r="E63" s="1">
        <v>9.0</v>
      </c>
      <c r="F63" s="5">
        <v>40.0</v>
      </c>
      <c r="G63" s="6">
        <f t="shared" si="5"/>
        <v>7</v>
      </c>
      <c r="H63" s="7">
        <f t="shared" si="3"/>
        <v>2</v>
      </c>
      <c r="I63" s="7">
        <f t="shared" si="4"/>
        <v>2</v>
      </c>
    </row>
    <row r="64">
      <c r="A64" s="1">
        <v>62.0</v>
      </c>
      <c r="B64" s="1" t="s">
        <v>142</v>
      </c>
      <c r="C64" s="1" t="s">
        <v>14</v>
      </c>
      <c r="D64" s="1" t="s">
        <v>143</v>
      </c>
      <c r="E64" s="1">
        <v>3.0</v>
      </c>
      <c r="F64" s="5">
        <v>41.0</v>
      </c>
      <c r="G64" s="6">
        <f t="shared" si="5"/>
        <v>5</v>
      </c>
      <c r="H64" s="7">
        <f t="shared" si="3"/>
        <v>2</v>
      </c>
      <c r="I64" s="7">
        <f t="shared" si="4"/>
        <v>-2</v>
      </c>
    </row>
    <row r="65">
      <c r="A65" s="1">
        <v>63.0</v>
      </c>
      <c r="B65" s="1" t="s">
        <v>144</v>
      </c>
      <c r="C65" s="1" t="s">
        <v>14</v>
      </c>
      <c r="D65" s="1" t="s">
        <v>145</v>
      </c>
      <c r="E65" s="1">
        <v>2.0</v>
      </c>
      <c r="F65" s="5">
        <v>40.0</v>
      </c>
      <c r="G65" s="6">
        <f t="shared" si="5"/>
        <v>4</v>
      </c>
      <c r="H65" s="7">
        <f t="shared" si="3"/>
        <v>2</v>
      </c>
      <c r="I65" s="7">
        <f t="shared" si="4"/>
        <v>-2</v>
      </c>
    </row>
    <row r="66">
      <c r="A66" s="1">
        <v>64.0</v>
      </c>
      <c r="B66" s="1" t="s">
        <v>146</v>
      </c>
      <c r="C66" s="1" t="s">
        <v>14</v>
      </c>
      <c r="D66" s="1" t="s">
        <v>147</v>
      </c>
      <c r="E66" s="1">
        <v>0.0</v>
      </c>
      <c r="F66" s="5">
        <v>40.0</v>
      </c>
      <c r="G66" s="6">
        <f t="shared" si="5"/>
        <v>1</v>
      </c>
      <c r="H66" s="7">
        <f t="shared" si="3"/>
        <v>1</v>
      </c>
      <c r="I66" s="7">
        <f t="shared" si="4"/>
        <v>-1</v>
      </c>
    </row>
    <row r="67">
      <c r="A67" s="1">
        <v>65.0</v>
      </c>
      <c r="B67" s="1" t="s">
        <v>148</v>
      </c>
      <c r="C67" s="1" t="s">
        <v>14</v>
      </c>
      <c r="D67" s="1" t="s">
        <v>149</v>
      </c>
      <c r="E67" s="1">
        <v>0.0</v>
      </c>
      <c r="F67" s="5">
        <v>40.0</v>
      </c>
      <c r="G67" s="6">
        <f t="shared" si="5"/>
        <v>0</v>
      </c>
      <c r="H67" s="7">
        <f t="shared" si="3"/>
        <v>0</v>
      </c>
      <c r="I67" s="7">
        <f t="shared" si="4"/>
        <v>0</v>
      </c>
    </row>
    <row r="68">
      <c r="A68" s="1">
        <v>66.0</v>
      </c>
      <c r="B68" s="1" t="s">
        <v>150</v>
      </c>
      <c r="C68" s="1" t="s">
        <v>14</v>
      </c>
      <c r="D68" s="1" t="s">
        <v>151</v>
      </c>
      <c r="E68" s="1">
        <v>4.0</v>
      </c>
      <c r="F68" s="5">
        <v>40.0</v>
      </c>
      <c r="G68" s="6">
        <f t="shared" si="5"/>
        <v>5</v>
      </c>
      <c r="H68" s="7">
        <f t="shared" si="3"/>
        <v>1</v>
      </c>
      <c r="I68" s="7">
        <f t="shared" si="4"/>
        <v>-1</v>
      </c>
    </row>
    <row r="69">
      <c r="A69" s="1">
        <v>67.0</v>
      </c>
      <c r="B69" s="1" t="s">
        <v>152</v>
      </c>
      <c r="C69" s="1" t="s">
        <v>14</v>
      </c>
      <c r="D69" s="1" t="s">
        <v>153</v>
      </c>
      <c r="E69" s="1">
        <v>6.0</v>
      </c>
      <c r="F69" s="5">
        <v>40.0</v>
      </c>
      <c r="G69" s="6">
        <f t="shared" si="5"/>
        <v>5</v>
      </c>
      <c r="H69" s="7">
        <f t="shared" si="3"/>
        <v>1</v>
      </c>
      <c r="I69" s="7">
        <f t="shared" si="4"/>
        <v>1</v>
      </c>
    </row>
    <row r="70">
      <c r="A70" s="1">
        <v>68.0</v>
      </c>
      <c r="B70" s="1" t="s">
        <v>154</v>
      </c>
      <c r="C70" s="1" t="s">
        <v>14</v>
      </c>
      <c r="D70" s="1" t="s">
        <v>155</v>
      </c>
      <c r="E70" s="1">
        <v>8.0</v>
      </c>
      <c r="F70" s="5">
        <v>41.0</v>
      </c>
      <c r="G70" s="6">
        <f t="shared" si="5"/>
        <v>7</v>
      </c>
      <c r="H70" s="7">
        <f t="shared" si="3"/>
        <v>1</v>
      </c>
      <c r="I70" s="7">
        <f t="shared" si="4"/>
        <v>1</v>
      </c>
    </row>
    <row r="71">
      <c r="A71" s="1">
        <v>69.0</v>
      </c>
      <c r="B71" s="1" t="s">
        <v>156</v>
      </c>
      <c r="C71" s="1" t="s">
        <v>14</v>
      </c>
      <c r="D71" s="1" t="s">
        <v>157</v>
      </c>
      <c r="E71" s="1">
        <v>5.0</v>
      </c>
      <c r="F71" s="5">
        <v>41.0</v>
      </c>
      <c r="G71" s="6">
        <f t="shared" si="5"/>
        <v>4</v>
      </c>
      <c r="H71" s="7">
        <f t="shared" si="3"/>
        <v>1</v>
      </c>
      <c r="I71" s="7">
        <f t="shared" si="4"/>
        <v>1</v>
      </c>
    </row>
    <row r="72">
      <c r="A72" s="1">
        <v>70.0</v>
      </c>
      <c r="B72" s="1" t="s">
        <v>158</v>
      </c>
      <c r="C72" s="1" t="s">
        <v>14</v>
      </c>
      <c r="D72" s="1" t="s">
        <v>159</v>
      </c>
      <c r="E72" s="1">
        <v>0.0</v>
      </c>
      <c r="F72" s="5">
        <v>40.0</v>
      </c>
      <c r="G72" s="6">
        <f t="shared" si="5"/>
        <v>2</v>
      </c>
      <c r="H72" s="7">
        <f t="shared" si="3"/>
        <v>2</v>
      </c>
      <c r="I72" s="7">
        <f t="shared" si="4"/>
        <v>-2</v>
      </c>
    </row>
    <row r="73">
      <c r="F73" s="17">
        <f>SUM(F2:F71)/60</f>
        <v>46.7</v>
      </c>
    </row>
  </sheetData>
  <drawing r:id="rId1"/>
</worksheet>
</file>