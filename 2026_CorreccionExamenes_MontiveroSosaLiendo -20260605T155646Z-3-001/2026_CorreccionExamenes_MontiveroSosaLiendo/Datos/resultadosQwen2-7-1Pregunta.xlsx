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1Pregunta" sheetId="1" r:id="rId5"/>
  </sheets>
  <definedNames/>
  <calcPr/>
</workbook>
</file>

<file path=xl/sharedStrings.xml><?xml version="1.0" encoding="utf-8"?>
<sst xmlns="http://schemas.openxmlformats.org/spreadsheetml/2006/main" count="257" uniqueCount="162">
  <si>
    <t>entrada</t>
  </si>
  <si>
    <t>contexto</t>
  </si>
  <si>
    <t>salida</t>
  </si>
  <si>
    <t>esperado</t>
  </si>
  <si>
    <t>tiempo</t>
  </si>
  <si>
    <t>Nota</t>
  </si>
  <si>
    <t>Diferencia absoluto</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</si>
  <si>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</si>
  <si>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</si>
  <si>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</si>
  <si>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</si>
  <si>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</si>
  <si>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</si>
  <si>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</si>
  <si>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</si>
  <si>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La respuesta proporcionada tiene elementos correctos pero no es muy detallada ni completa. La evaluación sería:
Calificación: 6/10
Explicación:
- **Aspectos correctos**: La respuesta menciona correctamente que las</t>
  </si>
  <si>
    <t>Respuesta: Las aserciones en el contexto del software, son muy relevantes para cubrir el codigo y evitar excepciones y errores que provocarian si no son revisados con este metodo asertivo.</t>
  </si>
  <si>
    <t>La respuesta proporcionada contiene algunos elementos correctos pero falta una descripción más detallada y precisa de cómo se utilizan las aserciones en los tests y su importancia. Por lo tanto, la calificación sería:
Nota: 5</t>
  </si>
  <si>
    <t xml:space="preserve"> </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</si>
  <si>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</si>
  <si>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</si>
  <si>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</si>
  <si>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</si>
  <si>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</si>
  <si>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Nota: 5
La respuesta del estudiante muestra una comprensión general de la importancia de las aserciones en pruebas, pero falta detalles específicos sobre cómo se utilizan y un poco más de claridad en la explicación</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</si>
  <si>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</si>
  <si>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La respuesta del estudiante muestra una comprensión general de las aserciones en pruebas, pero falta detalle y precisión en varios aspectos. Aquí está la evaluación:
**Nota: 6/10**
**Aspectos</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</si>
  <si>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</si>
  <si>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La respuesta del estudiante tiene elementos correctos pero falta una explicación más detallada y precisa sobre cómo se utilizan las aserciones en los tests y su importancia. Aquí está la calificación y una evaluación más detall</t>
  </si>
  <si>
    <t>-</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</si>
  <si>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</si>
  <si>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La respuesta del estudiante contiene varios elementos correctos pero también hay aspectos que podrían ser mejorados para mejorar la precisión y la profundidad de la explicación. Aquí te presento una evaluación:
Calificación: 7/</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</si>
  <si>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</si>
  <si>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La respuesta del estudiante es clara y precisa, aunque podría mejorar en algunos aspectos para ser más completa. Aquí está la evaluación:
Calificación: 8/10
Explicación:
- El estudiante ha captur</t>
  </si>
  <si>
    <t>Respuesta: las aserciones permiten validar que el test haya pasado o no despues de haber declarado las variables con arrange y ejecutarlas con act, y assert valida que el test haya sido pasado con éxito, que es lo que buscamos</t>
  </si>
  <si>
    <t>La respuesta del estudiante tiene algunos elementos correctos pero también hay algunas inexactitudes y falta de claridad. Aquí está una evaluación más detallada:
- **Precisión técnica**: La parte sobre "arrange" y "act</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</si>
  <si>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</si>
  <si>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La respuesta del estudiante tiene elementos correctos pero falta profundizar y estructurar la información de manera más clara. Aquí está la evaluación:
Calificación: 6/10
Explicación:
- El estudiante menciona</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</si>
  <si>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</si>
  <si>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 xml:space="preserve">La respuesta del estudiante muestra un entendimiento básico de las aserciones y su uso en pruebas, pero carece de detalles más profundos y precisos. Aquí está la evaluación:
Calificación: 5/10
</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</si>
  <si>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</si>
  <si>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La respuesta del estudiante muestra un entendimiento general de cómo se utilizan las aserciones en pruebas, pero hay algunos aspectos que podrían mejorar para ser más precisos y detallados. Aquí está una evaluación:
Cal</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</si>
  <si>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</si>
  <si>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La respuesta del estudiante contiene elementos correctos pero falta profundizar y estructurar la información. Aquí está una evaluación detallada:
- **Precisión**: 7/10
  - El estudiante explica correctamente que las</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</si>
  <si>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</si>
  <si>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 xml:space="preserve">La respuesta del estudiante aborda correctamente el tema de las aserciones en pruebas, mencionando su importancia y varios tipos de aserciones. Sin embargo, hay algunas áreas donde se puede mejorar la claridad y precisión.
</t>
  </si>
  <si>
    <t>Respuesta: Los assert sirven para comprobar lo que devuelve o hacen las funciones, son unos de los pilares para poder hacer los test en el TDD.</t>
  </si>
  <si>
    <t>La respuesta del estudiante contiene elementos correctos pero es bastante concisa y podría ser más detallada. Aquí está una evaluación basada en la información proporcionada:
Calificación: 6/10
Explicación:
-</t>
  </si>
  <si>
    <t>Respuesta: Las aserciones en los tests sirven para comparar un resultado, en estas se introduce un resultado esperado y un resultado actual, esto es importante para comparar resultados y mejorar el codigo o los tests en base a esto.</t>
  </si>
  <si>
    <t xml:space="preserve">La respuesta del estudiante contiene elementos correctos pero carece de detalles más específicos sobre el uso de aserciones en pruebas y su importancia. Aquí te presento una evaluación:
Calificación: 6/10
</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</si>
  <si>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</si>
  <si>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Nota: 5
La respuesta intenta explicar la utilidad de las aserciones en pruebas, pero hay varios errores y confusas en la redacción. Se menciona que las aserciones ayudan a asegurar que</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</si>
  <si>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</si>
  <si>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La respuesta del estudiante muestra comprensión básica de cómo se utilizan las aserciones en pruebas, pero falta profundizar en algunos aspectos. Aquí está la evaluación:
Calificación: 6/10
Explic</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</si>
  <si>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</si>
  <si>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La respuesta del estudiante contiene elementos correctos pero podría ser más detallada y clara. Aquí está una evaluación:
Calificación: 7/10
Explicación:
- El estudiante ha comprendido correctamente que las</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</si>
  <si>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</si>
  <si>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La respuesta del estudiante contiene información correcta pero no está completamente desarrollada. Se menciona correctamente que las aserciones se usan para manejar entradas inválidas y excepciones, como la división por cero. También se</t>
  </si>
  <si>
    <t>Respuesta: Las podemos usar en diferentes modos:
* Para clases.
* Para integraciones.
* Para tets.</t>
  </si>
  <si>
    <t>Nota: 3
La respuesta es parcialmente correcta pero falta detalle y claridad. Se mencionan algunos usos generales, pero no se explica cómo se utilizan específicamente en los tests ni se detalla su import</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</si>
  <si>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</si>
  <si>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 xml:space="preserve">Tu respuesta es clara y contiene información relevante, pero podría ser más detallada y estructurada. Aquí te proporciono una evaluación y sugerencias para mejorar:
**Evaluación:**
- **Puntuación:** </t>
  </si>
  <si>
    <t>Respuesta: Se utilizan en los tests para comprobar trozos pequeños de codigo, y tienen importancia ya que validan el código, aportando seguridad al software.</t>
  </si>
  <si>
    <t>La respuesta proporcionada es correcta pero puede ser más detallada y precisa. Aquí está una evaluación más detallada:
Calificación: 7/10
Explicación:
- El uso de aserciones en pr</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</si>
  <si>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</si>
  <si>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 xml:space="preserve">Tu respuesta está bien fundamentada pero falta profundizar un poco más en la explicación y en los beneficios de usar aserciones en pruebas. Aquí te doy una calificación y algunas sugerencias para mejorar:
Calificación: </t>
  </si>
  <si>
    <t>Respuesta: assert.equals sirve para introducir valores en los parámetros a la hora de hacer tests</t>
  </si>
  <si>
    <t>La respuesta del estudiante contiene un error significativo. Aunque `assert` es una parte importante de los tests, el comando correcto no es `assert.equals`. En realidad, se usa `assertEquals` (o `assertEqual` dependiendo</t>
  </si>
  <si>
    <t>Respuesta: .</t>
  </si>
  <si>
    <t>Para evaluar adecuadamente la respuesta del estudiante, necesito ver el contenido específico de su respuesta. Sin embargo, puedo proporcionar una evaluación basada en lo que esperaría de una buena respuesta:
1. **Uso de as</t>
  </si>
  <si>
    <t>Respuesta: Las assertions sirven para realizar comprobaciones entre los resultados obtenidos en el test y los resultados esperados. Estas se utilizan en la parte final de los test, después de la parte de desarrollo.</t>
  </si>
  <si>
    <t>La respuesta proporcionada tiene elementos correctos pero falta profundizar más en la explicación. Aquí está una evaluación detallada:
- **Exactitud**: 5/10
  - Se menciona correctamente que las aserciones</t>
  </si>
  <si>
    <t>Respuesta: Las aserciones sirven para evaluar concretamente un valor esperado del test ya sea en una comparación de valores, de referencias, booleanas, etc...</t>
  </si>
  <si>
    <t>La respuesta del estudiante tiene elementos correctos pero falta profundizar en el tema. Se le nota que tiene una idea general de lo que son las aserciones y su uso en pruebas, pero no explica completamente su importancia ni cómo</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</si>
  <si>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</si>
  <si>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Nota: 5
La respuesta proporciona una información parcialmente correcta sobre aserciones en pruebas, pero no aborda completamente la pregunta. La respuesta menciona algunos puntos importantes, como que existen diferentes tipos de aserciones</t>
  </si>
  <si>
    <t>Respuesta: Las aserciones son verificaciones de las validaciones de entrada. Un ejemplo podría ser assertionNotNull(actual) / assertionNull(actual) que nos sirve para conocer si el valor de entrada (actual) es nulo o no.</t>
  </si>
  <si>
    <t>La respuesta proporcionada tiene algunos elementos correctos pero falta una explicación más completa sobre cómo se utilizan las aserciones en pruebas y su importancia. Aquí hay una evaluación:
Calificación: 6/10
Exp</t>
  </si>
  <si>
    <t>Respuesta: Las aserciones se utilizan para estructurar y validar la forma en al que los tests se realizan. Esto hace que sean mas fiables y que tenga mayor cobertura.</t>
  </si>
  <si>
    <t>La respuesta del estudiante muestra un entendimiento básico de las aserciones en pruebas, pero falta detalles más específicos sobre su uso y sus beneficios. Aquí está la calificación y una explicación detallada:
Calificación:</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</si>
  <si>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</si>
  <si>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La respuesta del estudiante es buena y proporciona una descripción clara de cómo se utilizan las aserciones en los tests y su importancia. Sin embargo, hay algunos aspectos que podrían mejorar para aumentar la nota.
Nota</t>
  </si>
  <si>
    <t>Respuesta: La asserciones en los test son declaraciones dentro de los test que validan el código, es decir es uno de los elemento más importantes de los test ya que son las líneas del código del test que validan o invalidan un test.</t>
  </si>
  <si>
    <t>Nota: 5
La respuesta proporcionada tiene elementos correctos pero carece de claridad y profundidad. Se menciona que las aserciones son declaraciones que validan el código, lo cual es cierto, pero no se exp</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</si>
  <si>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</si>
  <si>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La respuesta del estudiante muestra comprensión general sobre el uso de aserciones en pruebas, pero falta profundizar un poco más en el tema. Aquí está una evaluación detallada:
- **Concepto General (4/</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</si>
  <si>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</si>
  <si>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La respuesta del estudiante muestra un buen entendimiento general sobre el uso de aserciones en pruebas, pero hay algunos aspectos que podrían mejorar para aumentar la precisión y la claridad. Aquí está la evaluación:
Cal</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</si>
  <si>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</si>
  <si>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La respuesta del estudiante tiene algunos elementos correctos pero también falta información crucial y hay algunas confusiones. Vamos a evaluarla:
**Aspectos Correctos:**
- Menciona correctamente que se pueden usar aserciones como `assert</t>
  </si>
  <si>
    <t>Respuesta: Los assertions se pueden utilizar para los test como una declaración para verificar una condición y si la condición es falsa, el test fallará. Es importante por que ayuda a minimizar el código de los tests.</t>
  </si>
  <si>
    <t>La respuesta del estudiante tiene cierto contenido correcto pero carece de detalles importantes y precisión en algunos puntos. La evaluación sería:
Calificación: 5/10
Razones:
- El concepto básico sobre qué son</t>
  </si>
  <si>
    <t>Respuesta: Las aserciones son importantes ya que validad los resultados de los tests, al fin y al cabo son los encargados de decir si un test pasa o no. Se utilizan al final del test</t>
  </si>
  <si>
    <t>La respuesta del estudiante tiene elementos correctos pero carece de detalles y claridad. Se ha identificado que las aserciones son útiles para validar resultados, pero falta explicar cómo se utilizan y cuáles son sus beneficios</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</si>
  <si>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</si>
  <si>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La respuesta del estudiante muestra una comprensión aceptable pero no completa de cómo se utilizan las aserciones en pruebas y su importancia. La nota sería:
7/10
El estudiante describe correctamente el uso de as</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</si>
  <si>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</si>
  <si>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La respuesta del estudiante muestra un entendimiento básico de las aserciones y su uso en pruebas, pero carece de detalles más profundos y estructurados. Se puede mejorar significativamente al proporcionar ejemplos y explicar</t>
  </si>
  <si>
    <t>Respuesta: Son importantes porque se pueden usar para distintas situaciones, ya sea para ver si funcionan, para ver si son iguales, para eliminar o añadir mas.</t>
  </si>
  <si>
    <t>La respuesta del estudiante muestra un entendimiento parcial del concepto, pero carece de detalles específicos y precisos. Se puede mejorar significativamente con una explicación más clara y completa.
Calificación: 5/10</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</si>
  <si>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</si>
  <si>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La respuesta del estudiante contiene varios elementos correctos pero también hay algunas inexactitudes y mejoras que se pueden hacer. Aquí está la evaluación:
**Nota:** 6/10
**Crítica constructiva:**
1.</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</si>
  <si>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</si>
  <si>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La respuesta del estudiante muestra un esfuerzo por describir el uso de las aserciones en pruebas, pero contiene algunos errores y falta claridad. Aquí está la evaluación:
Calificación: 5
Explicación</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</si>
  <si>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</si>
  <si>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La respuesta del estudiante muestra un entendimiento básico de cómo se utilizan las aserciones en pruebas, pero falta profundizar en varios aspectos clave. Aquí está la evaluación:
Calificación: 6/10
**</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</si>
  <si>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</si>
  <si>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La respuesta del estudiante muestra comprensión general de cómo se utilizan las aserciones en pruebas y su importancia, pero hay algunas mejoras que se pueden hacer para hacerla más precisa y completa. Aquí está la evaluación</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</si>
  <si>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</si>
  <si>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La respuesta del estudiante contiene algunos elementos correctos pero también hay errores y falta claridad en algunas partes. Aquí está una evaluación más detallada:
- **Exactitud**: 4/10
  - El uso de `</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</si>
  <si>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</si>
  <si>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La respuesta del estudiante muestra un buen entendimiento sobre el uso de aserciones en pruebas y su importancia, pero hay algunas mejoras que se pueden hacer para mejorar la claridad y la precisión.
**Calificación: 7</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</si>
  <si>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</si>
  <si>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La respuesta del estudiante muestra un entendimiento general de las aserciones en pruebas, pero falta detallar cómo se utilizan específicamente y su importancia. Aquí está una evaluación:
Calificación: 6/10</t>
  </si>
  <si>
    <t>Respuesta: Las aserciones en los test sirven para que el codigo no influya en los datos, es decir, para que el codigo no pueda cambiar o eliminar cualquier tipo de dato que estamos verificando con los tests</t>
  </si>
  <si>
    <t>La respuesta del estudiante tiene elementos correctos pero carece de detalles importantes sobre cómo se utilizan las aserciones y su importancia en el contexto de la prueba de software. Aquí está la evaluación:
Calificación: 5/</t>
  </si>
  <si>
    <t>Respuesta: Se pueden utilizar por ejemplo cuando un campo no puede ser nulo, poniendo @NOTNULL para evitar campos que no se rellenen y sean obligatorios, saltando el error correspondiente para solucionarlo.</t>
  </si>
  <si>
    <t>La respuesta del estudiante muestra un concepto parcialmente correcto pero está muy lejos de una explicación completa sobre cómo se utilizan las aserciones en los tests y su importancia. La nota para esta respuesta sería un 3</t>
  </si>
  <si>
    <t>Respuesta: Las aserciones se pueden utilizar en los tests para comparar valores, datos o resultados. Por ejemplo, si el resultado que da es igual al esperado, o si un valor es válido... Son muy importantes para tener tests completos y cubrir la mayor parte del código</t>
  </si>
  <si>
    <t>La respuesta del estudiante muestra un entendimiento básico de cómo se utilizan las aserciones en pruebas y su importancia, pero falta profundizar en algunos aspectos clave. Aquí está la evaluación:
Calificación: 6/</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</si>
  <si>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</si>
  <si>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La respuesta proporcionada tiene ciertos puntos correctos pero falta una explicación más detallada sobre cómo se utilizan las aserciones en los tests y su importancia. Aquí te doy una evaluación:
Calificación: 6</t>
  </si>
  <si>
    <t>Respuesta: Las aserciones son comprobadores de datos que devueven valores de tipo bool (verdadero o falso) en los tests. Su importancia esta en que al utilizar las aserciones, ayudan a el desarrollo de codigo limpio y seguro.</t>
  </si>
  <si>
    <t>La respuesta proporcionada tiene elementos correctos pero falta profundizar en el uso específico de las aserciones y en su importancia en el contexto de los tests. Aquí está una evaluación basada en la pregunta:
Calificación: 6</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</si>
  <si>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</si>
  <si>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La respuesta del estudiante muestra una comprensión básica de cómo funcionan las aserciones, pero hay algunos aspectos que podrían ser más precisos y completos. Aquí está una evaluación detallada:
- **Precisión</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</si>
  <si>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</si>
  <si>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La respuesta del estudiante contiene algunos elementos correctos pero también hay aspectos que podrían mejorar. Aquí está la evaluación:
**Calificación: 6/10**
**Aspectos positivos:**
- El estudiante menciona</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</si>
  <si>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</si>
  <si>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La respuesta del estudiante muestra comprensión general del concepto de aserciones y su uso en pruebas, pero hay algunas áreas donde se puede mejorar la precisión y la profundidad de la explicación. Aquí está una evaluación</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</si>
  <si>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</si>
  <si>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La respuesta del estudiante tiene algunos puntos correctos pero falta profundizar y estructurar la información de manera más clara y completa. Aquí está una evaluación detallada:
### Evaluación:
- **Comprende el concepto básico</t>
  </si>
  <si>
    <t>Respuesta: Tendríamos diferentes aserciones,
Asssert.Equals() -&gt; asegura que el valor de entrada y el valor esperado es igual.
No me acuerdo de mas asserts ahora mismo ;(
Los asserts son el motor básico del test y lo que asegura que lo que estamos probando esta bien.</t>
  </si>
  <si>
    <t>La respuesta del estudiante muestra un entendimiento básico de las aserciones y su importancia, pero falta información detallada y algunos errores gramaticales. Aquí está la evaluación:
Calificación: 6/10
Exp</t>
  </si>
  <si>
    <t>Respuesta: No lo se :(</t>
  </si>
  <si>
    <t>Nota: 1
La respuesta proporcionada no aborda en absoluto cómo se utilizan las aserciones en los tests ni por qué son importantes, por lo que no se cumple con el requisito de la pregunta.</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</si>
  <si>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</si>
  <si>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La respuesta del estudiante contiene elementos correctos pero falta profundizar en cómo se utilizan las aserciones en los tests y en qué medida son importantes. Aquí está la evaluación:
Calificación: 6
Explicación:
-</t>
  </si>
  <si>
    <t>Respuesta: Las aserciones de los test sirven para comprobar que el programa funciona de la manera esperada por el programador. Es una verificación del programa que funciona correctamente.</t>
  </si>
  <si>
    <t>La respuesta del estudiante muestra un entendimiento básico de lo que son las aserciones en pruebas, pero carece de detalles específicos sobre su uso y su importancia. Aquí está la evaluación:
Nota: 5
Com</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</si>
  <si>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</si>
  <si>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La respuesta del estudiante muestra un intento de describir cómo se utilizan las aserciones en los tests, pero hay varios aspectos que podrían mejorar para ser más precisos y completos. Aquí está la evaluación:
Cal</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</si>
  <si>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</si>
  <si>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La respuesta del estudiante muestra un buen entendimiento sobre los asserts y su uso en pruebas. Sin embargo, hay algunas mejoras que se pueden hacer para hacer la explicación más clara y completa.
Calificación: 7/10</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</si>
  <si>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</si>
  <si>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La respuesta del estudiante muestra algunos conceptos correctos sobre aserciones en pruebas, pero hay algunas áreas que podrían mejorar para ser más precisas y completas. Aquí está la evaluación:
Calificación: 6/1</t>
  </si>
  <si>
    <t>Respuesta: Son importantes porque permiten un mayor control a la hora de hacer el testing, y permite el uso de una mayor cantidad de datos, permitiendo que el test sea más viable al cubrir mayor cantidad de datos .</t>
  </si>
  <si>
    <t>Nota: 5
Análisis: La respuesta del estudiante toca algunos puntos importantes sobre las aserciones en pruebas, pero falta profundizar y proporcionar detalles más claros. Se menciona correctamente que las aserciones permit</t>
  </si>
  <si>
    <t>Respuesta: No
se
la
respuesta</t>
  </si>
  <si>
    <t>La respuesta del estudiante es incorrecta y no proporciona el contenido solicitado. No se describe cómo se utilizan las aserciones en los tests ni se explica su importancia. 
Calificación: 1/10
Re</t>
  </si>
  <si>
    <t>Respuesta: NO SE</t>
  </si>
  <si>
    <t>La respuesta "NO SE" no proporciona ninguna información valiosa sobre cómo se utilizan las aserciones en los tests ni por qué son importantes. Por lo tanto, la nota para esta respuesta es 1.</t>
  </si>
  <si>
    <t>Respuesta: Con la libreria Jakarta puedes usar aserciones en los test de forma sencilla ya que te añade las funciones como por ejemplo assertequals, son importantes ya que te permiten agilizar y cubrir mejor ciertas cosas a testear.</t>
  </si>
  <si>
    <t>La respuesta del estudiante contiene elementos correctos pero falta profundizar más en el tema. Se menciona correctamente que Jakarta proporciona aserciones para facilitar los tests, y que estas aserciones ayudan a cubrir mejor los casos de</t>
  </si>
  <si>
    <t>Respuesta: Las aserciones se pueden utilizar para comprobar las salidas de los test en función de las entradas. Esto es muy importante para comprobar si la salida tiene sentido teniendo en cuenta las entradas del test.</t>
  </si>
  <si>
    <t xml:space="preserve">La respuesta del estudiante muestra una comprensión básica de cómo se utilizan las aserciones en pruebas, pero falta profundizar en algunos aspectos importantes. Aquí está la evaluación:
Calificación: 6/10
</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</si>
  <si>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</si>
  <si>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 xml:space="preserve">La respuesta del estudiante muestra un entendimiento básico sobre el uso de aserciones en pruebas, pero falta profundizar más en el tema. La evaluación es la siguiente:
Calificación: 6/10
Explicación:
</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</si>
  <si>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</si>
  <si>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La respuesta del estudiante tiene elementos correctos pero falta una explicación más detallada y clara. Aquí está la evaluación:
Calificación: 6/10
Explicación:
- El estudiante reconoce correctamente la</t>
  </si>
  <si>
    <t>Respuesta: digo lo mismo que en la anterior pregunta</t>
  </si>
  <si>
    <t xml:space="preserve">La respuesta del estudiante no aporta nueva información y simplemente repite lo que se ha escrito antes, lo cual no demuestra comprensión ni uso adecuado de las aserciones en los tests.
Calificación: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</si>
</sst>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vertical="bottom"/>
    </xf>
    <xf borderId="0" fillId="2" fontId="1" numFmtId="0" xfId="0" applyAlignment="1" applyFont="1">
      <alignment readingOrder="0"/>
    </xf>
    <xf borderId="0" fillId="0" fontId="1" numFmtId="0" xfId="0" applyFont="1"/>
    <xf borderId="0" fillId="2" fontId="2" numFmtId="0" xfId="0" applyAlignment="1" applyFont="1">
      <alignment horizontal="right" vertical="bottom"/>
    </xf>
    <xf borderId="0" fillId="2" fontId="2" numFmtId="164" xfId="0" applyAlignment="1" applyFont="1" applyNumberFormat="1">
      <alignment horizontal="right" readingOrder="0" vertical="bottom"/>
    </xf>
    <xf borderId="0" fillId="2" fontId="1" numFmtId="10" xfId="0" applyFont="1" applyNumberFormat="1"/>
    <xf borderId="0" fillId="2" fontId="1" numFmtId="10" xfId="0" applyAlignment="1" applyFont="1" applyNumberFormat="1">
      <alignment readingOrder="0"/>
    </xf>
    <xf borderId="0" fillId="2" fontId="2" numFmtId="0" xfId="0" applyAlignment="1" applyFont="1">
      <alignment shrinkToFit="0" vertical="bottom" wrapText="1"/>
    </xf>
    <xf borderId="0" fillId="2"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val>
            <c:numRef>
              <c:f>'resultadosQwen2-7-1Pregunta'!$H$2:$H$77</c:f>
              <c:numCache/>
            </c:numRef>
          </c:val>
          <c:smooth val="0"/>
        </c:ser>
        <c:axId val="806930941"/>
        <c:axId val="672143895"/>
      </c:lineChart>
      <c:catAx>
        <c:axId val="8069309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72143895"/>
      </c:catAx>
      <c:valAx>
        <c:axId val="6721438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693094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'resultadosQwen2-7-1Pregunta'!$P$1:$X$1</c:f>
            </c:strRef>
          </c:cat>
          <c:val>
            <c:numRef>
              <c:f>'resultadosQwen2-7-1Pregunta'!$P$2:$X$2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733425</xdr:colOff>
      <xdr:row>4</xdr:row>
      <xdr:rowOff>38100</xdr:rowOff>
    </xdr:from>
    <xdr:ext cx="3248025" cy="20288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17</xdr:col>
      <xdr:colOff>19050</xdr:colOff>
      <xdr:row>2</xdr:row>
      <xdr:rowOff>762000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19.0"/>
    <col customWidth="1" min="4" max="4" width="181.38"/>
    <col customWidth="1" min="8" max="8" width="15.25"/>
    <col customWidth="1" min="13" max="13" width="23.25"/>
    <col customWidth="1" min="14" max="14" width="19.5"/>
    <col customWidth="1" min="15" max="15" width="23.5"/>
    <col customWidth="1" min="16" max="16" width="19.88"/>
    <col customWidth="1" min="25" max="25" width="16.75"/>
  </cols>
  <sheetData>
    <row r="1">
      <c r="A1" s="1" t="str">
        <f>COUNTIF(I2:I72, 0) / COUNT(I2:I72)</f>
        <v>#ERROR!</v>
      </c>
      <c r="B1" s="1" t="s">
        <v>0</v>
      </c>
      <c r="C1" s="1" t="s">
        <v>1</v>
      </c>
      <c r="D1" s="1" t="s">
        <v>2</v>
      </c>
      <c r="E1" s="1" t="s">
        <v>3</v>
      </c>
      <c r="F1" s="1" t="s">
        <v>4</v>
      </c>
      <c r="G1" s="1" t="s">
        <v>5</v>
      </c>
      <c r="H1" s="1" t="s">
        <v>6</v>
      </c>
      <c r="I1" s="1" t="s">
        <v>7</v>
      </c>
      <c r="M1" s="2" t="s">
        <v>8</v>
      </c>
      <c r="N1" s="2" t="s">
        <v>9</v>
      </c>
      <c r="O1" s="2" t="s">
        <v>10</v>
      </c>
      <c r="P1" s="2" t="s">
        <v>11</v>
      </c>
      <c r="Q1" s="3">
        <v>1.0</v>
      </c>
      <c r="R1" s="3">
        <v>2.0</v>
      </c>
      <c r="S1" s="3">
        <v>3.0</v>
      </c>
      <c r="T1" s="3">
        <v>4.0</v>
      </c>
      <c r="U1" s="3">
        <v>-1.0</v>
      </c>
      <c r="V1" s="3">
        <v>-2.0</v>
      </c>
      <c r="W1" s="3">
        <v>-3.0</v>
      </c>
      <c r="X1" s="3">
        <v>-4.0</v>
      </c>
      <c r="Y1" s="3" t="s">
        <v>12</v>
      </c>
    </row>
    <row r="2">
      <c r="A2" s="1">
        <v>0.0</v>
      </c>
      <c r="B2" s="1" t="s">
        <v>13</v>
      </c>
      <c r="C2" s="1" t="s">
        <v>14</v>
      </c>
      <c r="D2" s="1" t="s">
        <v>15</v>
      </c>
      <c r="E2" s="1">
        <v>4.0</v>
      </c>
      <c r="F2" s="4">
        <v>35.0</v>
      </c>
      <c r="G2" s="1">
        <v>6.0</v>
      </c>
      <c r="H2" s="4">
        <f t="shared" ref="H2:H5" si="2">ABS(I2)</f>
        <v>2</v>
      </c>
      <c r="I2" s="4">
        <f t="shared" ref="I2:I5" si="3">E2-G2</f>
        <v>-2</v>
      </c>
      <c r="M2" s="5">
        <f>MAX(H1:H77)</f>
        <v>4</v>
      </c>
      <c r="N2" s="5">
        <f t="shared" ref="N2:O2" si="1">AVERAGE(H1:H77)</f>
        <v>1.777777778</v>
      </c>
      <c r="O2" s="5">
        <f t="shared" si="1"/>
        <v>-0.6222222222</v>
      </c>
      <c r="P2" s="6">
        <f>COUNTIF(I2:I72, 0) / COUNT(I2:I72)
</f>
        <v>0.06666666667</v>
      </c>
      <c r="Q2" s="7">
        <f>COUNTIF(I2:I72, 1) / COUNT(I2:I72)</f>
        <v>0.1555555556</v>
      </c>
      <c r="R2" s="7">
        <f>COUNTIF(I2:I72, 2) / COUNT(I2:I72)</f>
        <v>0.1777777778</v>
      </c>
      <c r="S2" s="7">
        <f>COUNTIF(I2:I72, 3) / COUNT(I2:I72)</f>
        <v>0.02222222222</v>
      </c>
      <c r="T2" s="7">
        <f>COUNTIF(I2:I72, 4) / COUNT(I2:I72)</f>
        <v>0</v>
      </c>
      <c r="U2" s="7">
        <f>COUNTIF(I2:I72, -1) / COUNT(I2:I72)</f>
        <v>0.2222222222</v>
      </c>
      <c r="V2" s="7">
        <f>COUNTIF(I2:I72, -2) / COUNT(I2:I72)</f>
        <v>0.1333333333</v>
      </c>
      <c r="W2" s="7">
        <f>COUNTIF(I2:I72, -3) / COUNT(I2:I72)</f>
        <v>0.1777777778</v>
      </c>
      <c r="X2" s="7">
        <f>COUNTIF(I2:I72, -4) / COUNT(I2:I72)</f>
        <v>0.04444444444</v>
      </c>
      <c r="Y2" s="8">
        <f>COUNTIF(H:H, "&lt;=1") / COUNT(H:H)</f>
        <v>0.4444444444</v>
      </c>
    </row>
    <row r="3">
      <c r="A3" s="1">
        <v>1.0</v>
      </c>
      <c r="B3" s="1" t="s">
        <v>16</v>
      </c>
      <c r="C3" s="1" t="s">
        <v>14</v>
      </c>
      <c r="D3" s="1" t="s">
        <v>17</v>
      </c>
      <c r="E3" s="1">
        <v>2.0</v>
      </c>
      <c r="F3" s="4">
        <v>34.0</v>
      </c>
      <c r="G3" s="1">
        <v>5.0</v>
      </c>
      <c r="H3" s="4">
        <f t="shared" si="2"/>
        <v>3</v>
      </c>
      <c r="I3" s="4">
        <f t="shared" si="3"/>
        <v>-3</v>
      </c>
      <c r="K3" s="1" t="s">
        <v>18</v>
      </c>
      <c r="M3" s="9" t="s">
        <v>19</v>
      </c>
      <c r="N3" s="9" t="s">
        <v>20</v>
      </c>
      <c r="O3" s="10" t="s">
        <v>21</v>
      </c>
      <c r="P3" s="10" t="s">
        <v>22</v>
      </c>
    </row>
    <row r="4">
      <c r="A4" s="1">
        <v>2.0</v>
      </c>
      <c r="B4" s="1" t="s">
        <v>23</v>
      </c>
      <c r="C4" s="1" t="s">
        <v>14</v>
      </c>
      <c r="D4" s="1" t="s">
        <v>24</v>
      </c>
      <c r="E4" s="1">
        <v>5.0</v>
      </c>
      <c r="F4" s="4">
        <v>35.0</v>
      </c>
      <c r="G4" s="1">
        <v>5.0</v>
      </c>
      <c r="H4" s="4">
        <f t="shared" si="2"/>
        <v>0</v>
      </c>
      <c r="I4" s="4">
        <f t="shared" si="3"/>
        <v>0</v>
      </c>
    </row>
    <row r="5">
      <c r="A5" s="1">
        <v>3.0</v>
      </c>
      <c r="B5" s="1" t="s">
        <v>25</v>
      </c>
      <c r="C5" s="1" t="s">
        <v>14</v>
      </c>
      <c r="D5" s="1" t="s">
        <v>26</v>
      </c>
      <c r="E5" s="1">
        <v>4.0</v>
      </c>
      <c r="F5" s="4">
        <v>35.0</v>
      </c>
      <c r="G5" s="1">
        <v>6.0</v>
      </c>
      <c r="H5" s="4">
        <f t="shared" si="2"/>
        <v>2</v>
      </c>
      <c r="I5" s="4">
        <f t="shared" si="3"/>
        <v>-2</v>
      </c>
    </row>
    <row r="6">
      <c r="A6" s="1">
        <v>4.0</v>
      </c>
      <c r="B6" s="1" t="s">
        <v>27</v>
      </c>
      <c r="C6" s="1" t="s">
        <v>14</v>
      </c>
      <c r="D6" s="1" t="s">
        <v>28</v>
      </c>
      <c r="E6" s="1">
        <v>6.0</v>
      </c>
      <c r="F6" s="4">
        <v>35.0</v>
      </c>
      <c r="G6" s="1" t="s">
        <v>29</v>
      </c>
    </row>
    <row r="7">
      <c r="A7" s="1">
        <v>5.0</v>
      </c>
      <c r="B7" s="1" t="s">
        <v>30</v>
      </c>
      <c r="C7" s="1" t="s">
        <v>14</v>
      </c>
      <c r="D7" s="1" t="s">
        <v>31</v>
      </c>
      <c r="E7" s="1">
        <v>6.0</v>
      </c>
      <c r="F7" s="4">
        <v>35.0</v>
      </c>
      <c r="G7" s="1">
        <v>7.0</v>
      </c>
      <c r="H7" s="4">
        <f t="shared" ref="H7:H8" si="4">ABS(I7)</f>
        <v>1</v>
      </c>
      <c r="I7" s="4">
        <f t="shared" ref="I7:I8" si="5">E7-G7</f>
        <v>-1</v>
      </c>
    </row>
    <row r="8">
      <c r="A8" s="1">
        <v>6.0</v>
      </c>
      <c r="B8" s="1" t="s">
        <v>32</v>
      </c>
      <c r="C8" s="1" t="s">
        <v>14</v>
      </c>
      <c r="D8" s="1" t="s">
        <v>33</v>
      </c>
      <c r="E8" s="1">
        <v>7.0</v>
      </c>
      <c r="F8" s="4">
        <v>35.0</v>
      </c>
      <c r="G8" s="1">
        <v>8.0</v>
      </c>
      <c r="H8" s="4">
        <f t="shared" si="4"/>
        <v>1</v>
      </c>
      <c r="I8" s="4">
        <f t="shared" si="5"/>
        <v>-1</v>
      </c>
    </row>
    <row r="9">
      <c r="A9" s="1">
        <v>7.0</v>
      </c>
      <c r="B9" s="1" t="s">
        <v>34</v>
      </c>
      <c r="C9" s="1" t="s">
        <v>14</v>
      </c>
      <c r="D9" s="1" t="s">
        <v>35</v>
      </c>
      <c r="E9" s="1">
        <v>5.0</v>
      </c>
      <c r="F9" s="4">
        <v>35.0</v>
      </c>
      <c r="G9" s="1" t="s">
        <v>29</v>
      </c>
    </row>
    <row r="10">
      <c r="A10" s="1">
        <v>8.0</v>
      </c>
      <c r="B10" s="1" t="s">
        <v>36</v>
      </c>
      <c r="C10" s="1" t="s">
        <v>14</v>
      </c>
      <c r="D10" s="1" t="s">
        <v>37</v>
      </c>
      <c r="E10" s="1">
        <v>7.0</v>
      </c>
      <c r="F10" s="4">
        <v>35.0</v>
      </c>
      <c r="G10" s="1">
        <v>6.0</v>
      </c>
      <c r="H10" s="4">
        <f t="shared" ref="H10:H11" si="6">ABS(I10)</f>
        <v>1</v>
      </c>
      <c r="I10" s="4">
        <f t="shared" ref="I10:I11" si="7">E10-G10</f>
        <v>1</v>
      </c>
    </row>
    <row r="11">
      <c r="A11" s="1">
        <v>9.0</v>
      </c>
      <c r="B11" s="1" t="s">
        <v>38</v>
      </c>
      <c r="C11" s="1" t="s">
        <v>14</v>
      </c>
      <c r="D11" s="1" t="s">
        <v>39</v>
      </c>
      <c r="E11" s="1">
        <v>6.0</v>
      </c>
      <c r="F11" s="4">
        <v>35.0</v>
      </c>
      <c r="G11" s="1">
        <v>5.0</v>
      </c>
      <c r="H11" s="4">
        <f t="shared" si="6"/>
        <v>1</v>
      </c>
      <c r="I11" s="4">
        <f t="shared" si="7"/>
        <v>1</v>
      </c>
    </row>
    <row r="12">
      <c r="A12" s="1">
        <v>10.0</v>
      </c>
      <c r="B12" s="1" t="s">
        <v>40</v>
      </c>
      <c r="C12" s="1" t="s">
        <v>14</v>
      </c>
      <c r="D12" s="1" t="s">
        <v>41</v>
      </c>
      <c r="E12" s="1">
        <v>6.0</v>
      </c>
      <c r="F12" s="4">
        <v>35.0</v>
      </c>
      <c r="G12" s="1" t="s">
        <v>29</v>
      </c>
    </row>
    <row r="13">
      <c r="A13" s="1">
        <v>11.0</v>
      </c>
      <c r="B13" s="1" t="s">
        <v>42</v>
      </c>
      <c r="C13" s="1" t="s">
        <v>14</v>
      </c>
      <c r="D13" s="1" t="s">
        <v>43</v>
      </c>
      <c r="E13" s="1">
        <v>6.0</v>
      </c>
      <c r="F13" s="4">
        <v>35.0</v>
      </c>
      <c r="G13" s="1">
        <v>7.0</v>
      </c>
      <c r="H13" s="4">
        <f>ABS(I13)</f>
        <v>1</v>
      </c>
      <c r="I13" s="4">
        <f>E13-G13</f>
        <v>-1</v>
      </c>
    </row>
    <row r="14">
      <c r="A14" s="1">
        <v>12.0</v>
      </c>
      <c r="B14" s="1" t="s">
        <v>44</v>
      </c>
      <c r="C14" s="1" t="s">
        <v>14</v>
      </c>
      <c r="D14" s="1" t="s">
        <v>45</v>
      </c>
      <c r="E14" s="1">
        <v>8.0</v>
      </c>
      <c r="F14" s="4">
        <v>35.0</v>
      </c>
      <c r="G14" s="1" t="s">
        <v>29</v>
      </c>
    </row>
    <row r="15">
      <c r="A15" s="1">
        <v>13.0</v>
      </c>
      <c r="B15" s="1" t="s">
        <v>46</v>
      </c>
      <c r="C15" s="1" t="s">
        <v>14</v>
      </c>
      <c r="D15" s="1" t="s">
        <v>47</v>
      </c>
      <c r="E15" s="1">
        <v>5.0</v>
      </c>
      <c r="F15" s="4">
        <v>34.0</v>
      </c>
      <c r="G15" s="1">
        <v>6.0</v>
      </c>
      <c r="H15" s="4">
        <f t="shared" ref="H15:H19" si="8">ABS(I15)</f>
        <v>1</v>
      </c>
      <c r="I15" s="4">
        <f t="shared" ref="I15:I19" si="9">E15-G15</f>
        <v>-1</v>
      </c>
    </row>
    <row r="16">
      <c r="A16" s="1">
        <v>14.0</v>
      </c>
      <c r="B16" s="1" t="s">
        <v>48</v>
      </c>
      <c r="C16" s="1" t="s">
        <v>14</v>
      </c>
      <c r="D16" s="1" t="s">
        <v>49</v>
      </c>
      <c r="E16" s="1">
        <v>7.0</v>
      </c>
      <c r="F16" s="4">
        <v>34.0</v>
      </c>
      <c r="G16" s="1">
        <v>6.0</v>
      </c>
      <c r="H16" s="4">
        <f t="shared" si="8"/>
        <v>1</v>
      </c>
      <c r="I16" s="4">
        <f t="shared" si="9"/>
        <v>1</v>
      </c>
    </row>
    <row r="17">
      <c r="A17" s="1">
        <v>15.0</v>
      </c>
      <c r="B17" s="1" t="s">
        <v>50</v>
      </c>
      <c r="C17" s="1" t="s">
        <v>14</v>
      </c>
      <c r="D17" s="1" t="s">
        <v>51</v>
      </c>
      <c r="E17" s="1">
        <v>2.0</v>
      </c>
      <c r="F17" s="4">
        <v>35.0</v>
      </c>
      <c r="G17" s="1">
        <v>5.0</v>
      </c>
      <c r="H17" s="4">
        <f t="shared" si="8"/>
        <v>3</v>
      </c>
      <c r="I17" s="4">
        <f t="shared" si="9"/>
        <v>-3</v>
      </c>
    </row>
    <row r="18">
      <c r="A18" s="1">
        <v>16.0</v>
      </c>
      <c r="B18" s="1" t="s">
        <v>52</v>
      </c>
      <c r="C18" s="1" t="s">
        <v>14</v>
      </c>
      <c r="D18" s="1" t="s">
        <v>53</v>
      </c>
      <c r="E18" s="1">
        <v>7.0</v>
      </c>
      <c r="F18" s="4">
        <v>35.0</v>
      </c>
      <c r="G18" s="1">
        <v>6.0</v>
      </c>
      <c r="H18" s="4">
        <f t="shared" si="8"/>
        <v>1</v>
      </c>
      <c r="I18" s="4">
        <f t="shared" si="9"/>
        <v>1</v>
      </c>
    </row>
    <row r="19">
      <c r="A19" s="1">
        <v>17.0</v>
      </c>
      <c r="B19" s="1" t="s">
        <v>54</v>
      </c>
      <c r="C19" s="1" t="s">
        <v>14</v>
      </c>
      <c r="D19" s="1" t="s">
        <v>55</v>
      </c>
      <c r="E19" s="1">
        <v>9.0</v>
      </c>
      <c r="F19" s="4">
        <v>35.0</v>
      </c>
      <c r="G19" s="1">
        <v>7.0</v>
      </c>
      <c r="H19" s="4">
        <f t="shared" si="8"/>
        <v>2</v>
      </c>
      <c r="I19" s="4">
        <f t="shared" si="9"/>
        <v>2</v>
      </c>
    </row>
    <row r="20">
      <c r="A20" s="1">
        <v>18.0</v>
      </c>
      <c r="B20" s="1" t="s">
        <v>56</v>
      </c>
      <c r="C20" s="1" t="s">
        <v>14</v>
      </c>
      <c r="D20" s="1" t="s">
        <v>57</v>
      </c>
      <c r="E20" s="1">
        <v>7.0</v>
      </c>
      <c r="F20" s="4">
        <v>35.0</v>
      </c>
      <c r="G20" s="1" t="s">
        <v>29</v>
      </c>
    </row>
    <row r="21">
      <c r="A21" s="1">
        <v>19.0</v>
      </c>
      <c r="B21" s="1" t="s">
        <v>58</v>
      </c>
      <c r="C21" s="1" t="s">
        <v>14</v>
      </c>
      <c r="D21" s="1" t="s">
        <v>59</v>
      </c>
      <c r="E21" s="1">
        <v>0.0</v>
      </c>
      <c r="F21" s="4">
        <v>34.0</v>
      </c>
      <c r="G21" s="1">
        <v>3.0</v>
      </c>
      <c r="H21" s="4">
        <f>ABS(I21)</f>
        <v>3</v>
      </c>
      <c r="I21" s="4">
        <f>E21-G21</f>
        <v>-3</v>
      </c>
    </row>
    <row r="22">
      <c r="A22" s="1">
        <v>20.0</v>
      </c>
      <c r="B22" s="1" t="s">
        <v>60</v>
      </c>
      <c r="C22" s="1" t="s">
        <v>14</v>
      </c>
      <c r="D22" s="1" t="s">
        <v>61</v>
      </c>
      <c r="E22" s="1">
        <v>8.0</v>
      </c>
      <c r="F22" s="4">
        <v>35.0</v>
      </c>
      <c r="G22" s="1" t="s">
        <v>29</v>
      </c>
    </row>
    <row r="23">
      <c r="A23" s="1">
        <v>21.0</v>
      </c>
      <c r="B23" s="1" t="s">
        <v>62</v>
      </c>
      <c r="C23" s="1" t="s">
        <v>14</v>
      </c>
      <c r="D23" s="1" t="s">
        <v>63</v>
      </c>
      <c r="E23" s="1">
        <v>4.0</v>
      </c>
      <c r="F23" s="4">
        <v>34.0</v>
      </c>
      <c r="G23" s="1">
        <v>7.0</v>
      </c>
      <c r="H23" s="4">
        <f>ABS(I23)</f>
        <v>3</v>
      </c>
      <c r="I23" s="4">
        <f>E23-G23</f>
        <v>-3</v>
      </c>
    </row>
    <row r="24">
      <c r="A24" s="1">
        <v>22.0</v>
      </c>
      <c r="B24" s="1" t="s">
        <v>64</v>
      </c>
      <c r="C24" s="1" t="s">
        <v>14</v>
      </c>
      <c r="D24" s="1" t="s">
        <v>65</v>
      </c>
      <c r="E24" s="1">
        <v>7.0</v>
      </c>
      <c r="F24" s="4">
        <v>35.0</v>
      </c>
      <c r="G24" s="1" t="s">
        <v>29</v>
      </c>
    </row>
    <row r="25">
      <c r="A25" s="1">
        <v>23.0</v>
      </c>
      <c r="B25" s="1" t="s">
        <v>66</v>
      </c>
      <c r="C25" s="1" t="s">
        <v>14</v>
      </c>
      <c r="D25" s="1" t="s">
        <v>67</v>
      </c>
      <c r="E25" s="1">
        <v>1.0</v>
      </c>
      <c r="F25" s="4">
        <v>34.0</v>
      </c>
      <c r="G25" s="1" t="s">
        <v>29</v>
      </c>
    </row>
    <row r="26">
      <c r="A26" s="1">
        <v>24.0</v>
      </c>
      <c r="B26" s="1" t="s">
        <v>68</v>
      </c>
      <c r="C26" s="1" t="s">
        <v>14</v>
      </c>
      <c r="D26" s="1" t="s">
        <v>69</v>
      </c>
      <c r="E26" s="1">
        <v>0.0</v>
      </c>
      <c r="F26" s="4">
        <v>34.0</v>
      </c>
      <c r="G26" s="1" t="s">
        <v>29</v>
      </c>
    </row>
    <row r="27">
      <c r="A27" s="1">
        <v>25.0</v>
      </c>
      <c r="B27" s="1" t="s">
        <v>70</v>
      </c>
      <c r="C27" s="1" t="s">
        <v>14</v>
      </c>
      <c r="D27" s="1" t="s">
        <v>71</v>
      </c>
      <c r="E27" s="1">
        <v>7.0</v>
      </c>
      <c r="F27" s="4">
        <v>34.0</v>
      </c>
      <c r="G27" s="1">
        <v>5.0</v>
      </c>
      <c r="H27" s="4">
        <f>ABS(I27)</f>
        <v>2</v>
      </c>
      <c r="I27" s="4">
        <f>E27-G27</f>
        <v>2</v>
      </c>
    </row>
    <row r="28">
      <c r="A28" s="1">
        <v>26.0</v>
      </c>
      <c r="B28" s="1" t="s">
        <v>72</v>
      </c>
      <c r="C28" s="1" t="s">
        <v>14</v>
      </c>
      <c r="D28" s="1" t="s">
        <v>73</v>
      </c>
      <c r="E28" s="1">
        <v>7.0</v>
      </c>
      <c r="F28" s="4">
        <v>34.0</v>
      </c>
      <c r="G28" s="1" t="s">
        <v>29</v>
      </c>
    </row>
    <row r="29">
      <c r="A29" s="1">
        <v>27.0</v>
      </c>
      <c r="B29" s="1" t="s">
        <v>74</v>
      </c>
      <c r="C29" s="1" t="s">
        <v>14</v>
      </c>
      <c r="D29" s="1" t="s">
        <v>75</v>
      </c>
      <c r="E29" s="1">
        <v>4.0</v>
      </c>
      <c r="F29" s="4">
        <v>35.0</v>
      </c>
      <c r="G29" s="1">
        <v>5.0</v>
      </c>
      <c r="H29" s="4">
        <f t="shared" ref="H29:H30" si="10">ABS(I29)</f>
        <v>1</v>
      </c>
      <c r="I29" s="4">
        <f t="shared" ref="I29:I30" si="11">E29-G29</f>
        <v>-1</v>
      </c>
    </row>
    <row r="30">
      <c r="A30" s="1">
        <v>28.0</v>
      </c>
      <c r="B30" s="1" t="s">
        <v>76</v>
      </c>
      <c r="C30" s="1" t="s">
        <v>14</v>
      </c>
      <c r="D30" s="1" t="s">
        <v>77</v>
      </c>
      <c r="E30" s="1">
        <v>4.0</v>
      </c>
      <c r="F30" s="4">
        <v>34.0</v>
      </c>
      <c r="G30" s="1">
        <v>6.0</v>
      </c>
      <c r="H30" s="4">
        <f t="shared" si="10"/>
        <v>2</v>
      </c>
      <c r="I30" s="4">
        <f t="shared" si="11"/>
        <v>-2</v>
      </c>
    </row>
    <row r="31">
      <c r="A31" s="1">
        <v>29.0</v>
      </c>
      <c r="B31" s="1" t="s">
        <v>78</v>
      </c>
      <c r="C31" s="1" t="s">
        <v>14</v>
      </c>
      <c r="D31" s="1" t="s">
        <v>79</v>
      </c>
      <c r="E31" s="1">
        <v>3.0</v>
      </c>
      <c r="F31" s="4">
        <v>34.0</v>
      </c>
      <c r="G31" s="1" t="s">
        <v>29</v>
      </c>
    </row>
    <row r="32">
      <c r="A32" s="1">
        <v>30.0</v>
      </c>
      <c r="B32" s="1" t="s">
        <v>80</v>
      </c>
      <c r="C32" s="1" t="s">
        <v>14</v>
      </c>
      <c r="D32" s="1" t="s">
        <v>81</v>
      </c>
      <c r="E32" s="1">
        <v>9.0</v>
      </c>
      <c r="F32" s="4">
        <v>35.0</v>
      </c>
      <c r="G32" s="1" t="s">
        <v>29</v>
      </c>
    </row>
    <row r="33">
      <c r="A33" s="1">
        <v>31.0</v>
      </c>
      <c r="B33" s="1" t="s">
        <v>82</v>
      </c>
      <c r="C33" s="1" t="s">
        <v>14</v>
      </c>
      <c r="D33" s="1" t="s">
        <v>83</v>
      </c>
      <c r="E33" s="1">
        <v>8.0</v>
      </c>
      <c r="F33" s="4">
        <v>34.0</v>
      </c>
      <c r="G33" s="1">
        <v>5.0</v>
      </c>
      <c r="H33" s="4">
        <f>ABS(I33)</f>
        <v>3</v>
      </c>
      <c r="I33" s="4">
        <f>E33-G33</f>
        <v>3</v>
      </c>
    </row>
    <row r="34">
      <c r="A34" s="1">
        <v>32.0</v>
      </c>
      <c r="B34" s="1" t="s">
        <v>84</v>
      </c>
      <c r="C34" s="1" t="s">
        <v>14</v>
      </c>
      <c r="D34" s="1" t="s">
        <v>85</v>
      </c>
      <c r="E34" s="1">
        <v>8.0</v>
      </c>
      <c r="F34" s="4">
        <v>35.0</v>
      </c>
      <c r="G34" s="1" t="s">
        <v>29</v>
      </c>
    </row>
    <row r="35">
      <c r="A35" s="1">
        <v>33.0</v>
      </c>
      <c r="B35" s="1" t="s">
        <v>86</v>
      </c>
      <c r="C35" s="1" t="s">
        <v>14</v>
      </c>
      <c r="D35" s="1" t="s">
        <v>87</v>
      </c>
      <c r="E35" s="1">
        <v>9.0</v>
      </c>
      <c r="F35" s="4">
        <v>35.0</v>
      </c>
      <c r="G35" s="1" t="s">
        <v>29</v>
      </c>
    </row>
    <row r="36">
      <c r="A36" s="1">
        <v>34.0</v>
      </c>
      <c r="B36" s="1" t="s">
        <v>88</v>
      </c>
      <c r="C36" s="1" t="s">
        <v>14</v>
      </c>
      <c r="D36" s="1" t="s">
        <v>89</v>
      </c>
      <c r="E36" s="1">
        <v>7.0</v>
      </c>
      <c r="F36" s="4">
        <v>35.0</v>
      </c>
      <c r="G36" s="1" t="s">
        <v>29</v>
      </c>
    </row>
    <row r="37">
      <c r="A37" s="1">
        <v>35.0</v>
      </c>
      <c r="B37" s="1" t="s">
        <v>90</v>
      </c>
      <c r="C37" s="1" t="s">
        <v>14</v>
      </c>
      <c r="D37" s="1" t="s">
        <v>91</v>
      </c>
      <c r="E37" s="1">
        <v>6.0</v>
      </c>
      <c r="F37" s="4">
        <v>34.0</v>
      </c>
      <c r="G37" s="1">
        <v>5.0</v>
      </c>
      <c r="H37" s="4">
        <f>ABS(I37)</f>
        <v>1</v>
      </c>
      <c r="I37" s="4">
        <f>E37-G37</f>
        <v>1</v>
      </c>
    </row>
    <row r="38">
      <c r="A38" s="1">
        <v>36.0</v>
      </c>
      <c r="B38" s="1" t="s">
        <v>92</v>
      </c>
      <c r="C38" s="1" t="s">
        <v>14</v>
      </c>
      <c r="D38" s="1" t="s">
        <v>93</v>
      </c>
      <c r="E38" s="1">
        <v>6.0</v>
      </c>
      <c r="F38" s="4">
        <v>34.0</v>
      </c>
      <c r="G38" s="1" t="s">
        <v>29</v>
      </c>
    </row>
    <row r="39">
      <c r="A39" s="1">
        <v>37.0</v>
      </c>
      <c r="B39" s="1" t="s">
        <v>94</v>
      </c>
      <c r="C39" s="1" t="s">
        <v>14</v>
      </c>
      <c r="D39" s="1" t="s">
        <v>95</v>
      </c>
      <c r="E39" s="1">
        <v>8.0</v>
      </c>
      <c r="F39" s="4">
        <v>35.0</v>
      </c>
      <c r="G39" s="1">
        <v>7.0</v>
      </c>
      <c r="H39" s="4">
        <f>ABS(I39)</f>
        <v>1</v>
      </c>
      <c r="I39" s="4">
        <f>E39-G39</f>
        <v>1</v>
      </c>
    </row>
    <row r="40">
      <c r="A40" s="1">
        <v>38.0</v>
      </c>
      <c r="B40" s="1" t="s">
        <v>96</v>
      </c>
      <c r="C40" s="1" t="s">
        <v>14</v>
      </c>
      <c r="D40" s="1" t="s">
        <v>97</v>
      </c>
      <c r="E40" s="1">
        <v>8.0</v>
      </c>
      <c r="F40" s="4">
        <v>35.0</v>
      </c>
      <c r="G40" s="1" t="s">
        <v>29</v>
      </c>
    </row>
    <row r="41">
      <c r="A41" s="1">
        <v>39.0</v>
      </c>
      <c r="B41" s="1" t="s">
        <v>98</v>
      </c>
      <c r="C41" s="1" t="s">
        <v>14</v>
      </c>
      <c r="D41" s="1" t="s">
        <v>99</v>
      </c>
      <c r="E41" s="1">
        <v>1.0</v>
      </c>
      <c r="F41" s="4">
        <v>34.0</v>
      </c>
      <c r="G41" s="1">
        <v>5.0</v>
      </c>
      <c r="H41" s="4">
        <f t="shared" ref="H41:H44" si="12">ABS(I41)</f>
        <v>4</v>
      </c>
      <c r="I41" s="4">
        <f t="shared" ref="I41:I44" si="13">E41-G41</f>
        <v>-4</v>
      </c>
    </row>
    <row r="42">
      <c r="A42" s="1">
        <v>40.0</v>
      </c>
      <c r="B42" s="1" t="s">
        <v>100</v>
      </c>
      <c r="C42" s="1" t="s">
        <v>14</v>
      </c>
      <c r="D42" s="1" t="s">
        <v>101</v>
      </c>
      <c r="E42" s="1">
        <v>8.0</v>
      </c>
      <c r="F42" s="4">
        <v>35.0</v>
      </c>
      <c r="G42" s="1">
        <v>6.0</v>
      </c>
      <c r="H42" s="4">
        <f t="shared" si="12"/>
        <v>2</v>
      </c>
      <c r="I42" s="4">
        <f t="shared" si="13"/>
        <v>2</v>
      </c>
    </row>
    <row r="43">
      <c r="A43" s="1">
        <v>41.0</v>
      </c>
      <c r="B43" s="1" t="s">
        <v>102</v>
      </c>
      <c r="C43" s="1" t="s">
        <v>14</v>
      </c>
      <c r="D43" s="1" t="s">
        <v>103</v>
      </c>
      <c r="E43" s="1">
        <v>7.0</v>
      </c>
      <c r="F43" s="4">
        <v>34.0</v>
      </c>
      <c r="G43" s="1">
        <v>5.0</v>
      </c>
      <c r="H43" s="4">
        <f t="shared" si="12"/>
        <v>2</v>
      </c>
      <c r="I43" s="4">
        <f t="shared" si="13"/>
        <v>2</v>
      </c>
    </row>
    <row r="44">
      <c r="A44" s="1">
        <v>42.0</v>
      </c>
      <c r="B44" s="1" t="s">
        <v>104</v>
      </c>
      <c r="C44" s="1" t="s">
        <v>14</v>
      </c>
      <c r="D44" s="1" t="s">
        <v>105</v>
      </c>
      <c r="E44" s="1">
        <v>6.0</v>
      </c>
      <c r="F44" s="4">
        <v>35.0</v>
      </c>
      <c r="G44" s="1">
        <v>6.0</v>
      </c>
      <c r="H44" s="4">
        <f t="shared" si="12"/>
        <v>0</v>
      </c>
      <c r="I44" s="4">
        <f t="shared" si="13"/>
        <v>0</v>
      </c>
    </row>
    <row r="45">
      <c r="A45" s="1">
        <v>43.0</v>
      </c>
      <c r="B45" s="1" t="s">
        <v>106</v>
      </c>
      <c r="C45" s="1" t="s">
        <v>14</v>
      </c>
      <c r="D45" s="1" t="s">
        <v>107</v>
      </c>
      <c r="E45" s="1">
        <v>9.0</v>
      </c>
      <c r="F45" s="4">
        <v>35.0</v>
      </c>
      <c r="G45" s="1" t="s">
        <v>29</v>
      </c>
    </row>
    <row r="46">
      <c r="A46" s="1">
        <v>44.0</v>
      </c>
      <c r="B46" s="1" t="s">
        <v>108</v>
      </c>
      <c r="C46" s="1" t="s">
        <v>14</v>
      </c>
      <c r="D46" s="1" t="s">
        <v>109</v>
      </c>
      <c r="E46" s="1">
        <v>3.0</v>
      </c>
      <c r="F46" s="4">
        <v>35.0</v>
      </c>
      <c r="G46" s="1">
        <v>4.0</v>
      </c>
      <c r="H46" s="4">
        <f t="shared" ref="H46:H49" si="14">ABS(I46)</f>
        <v>1</v>
      </c>
      <c r="I46" s="4">
        <f t="shared" ref="I46:I49" si="15">E46-G46</f>
        <v>-1</v>
      </c>
    </row>
    <row r="47">
      <c r="A47" s="1">
        <v>45.0</v>
      </c>
      <c r="B47" s="1" t="s">
        <v>110</v>
      </c>
      <c r="C47" s="1" t="s">
        <v>14</v>
      </c>
      <c r="D47" s="1" t="s">
        <v>111</v>
      </c>
      <c r="E47" s="1">
        <v>8.0</v>
      </c>
      <c r="F47" s="4">
        <v>35.0</v>
      </c>
      <c r="G47" s="1">
        <v>7.0</v>
      </c>
      <c r="H47" s="4">
        <f t="shared" si="14"/>
        <v>1</v>
      </c>
      <c r="I47" s="4">
        <f t="shared" si="15"/>
        <v>1</v>
      </c>
    </row>
    <row r="48">
      <c r="A48" s="1">
        <v>46.0</v>
      </c>
      <c r="B48" s="1" t="s">
        <v>112</v>
      </c>
      <c r="C48" s="1" t="s">
        <v>14</v>
      </c>
      <c r="D48" s="1" t="s">
        <v>113</v>
      </c>
      <c r="E48" s="1">
        <v>3.0</v>
      </c>
      <c r="F48" s="4">
        <v>34.0</v>
      </c>
      <c r="G48" s="1">
        <v>6.0</v>
      </c>
      <c r="H48" s="4">
        <f t="shared" si="14"/>
        <v>3</v>
      </c>
      <c r="I48" s="4">
        <f t="shared" si="15"/>
        <v>-3</v>
      </c>
    </row>
    <row r="49">
      <c r="A49" s="1">
        <v>47.0</v>
      </c>
      <c r="B49" s="1" t="s">
        <v>114</v>
      </c>
      <c r="C49" s="1" t="s">
        <v>14</v>
      </c>
      <c r="D49" s="1" t="s">
        <v>115</v>
      </c>
      <c r="E49" s="1">
        <v>2.0</v>
      </c>
      <c r="F49" s="4">
        <v>34.0</v>
      </c>
      <c r="G49" s="1">
        <v>5.0</v>
      </c>
      <c r="H49" s="4">
        <f t="shared" si="14"/>
        <v>3</v>
      </c>
      <c r="I49" s="4">
        <f t="shared" si="15"/>
        <v>-3</v>
      </c>
    </row>
    <row r="50">
      <c r="A50" s="1">
        <v>48.0</v>
      </c>
      <c r="B50" s="1" t="s">
        <v>116</v>
      </c>
      <c r="C50" s="1" t="s">
        <v>14</v>
      </c>
      <c r="D50" s="1" t="s">
        <v>117</v>
      </c>
      <c r="E50" s="1">
        <v>2.0</v>
      </c>
      <c r="F50" s="4">
        <v>34.0</v>
      </c>
      <c r="G50" s="1" t="s">
        <v>29</v>
      </c>
    </row>
    <row r="51">
      <c r="A51" s="1">
        <v>49.0</v>
      </c>
      <c r="B51" s="1" t="s">
        <v>118</v>
      </c>
      <c r="C51" s="1" t="s">
        <v>14</v>
      </c>
      <c r="D51" s="1" t="s">
        <v>119</v>
      </c>
      <c r="E51" s="1">
        <v>8.0</v>
      </c>
      <c r="F51" s="4">
        <v>34.0</v>
      </c>
      <c r="G51" s="1">
        <v>6.0</v>
      </c>
      <c r="H51" s="4">
        <f t="shared" ref="H51:H53" si="16">ABS(I51)</f>
        <v>2</v>
      </c>
      <c r="I51" s="4">
        <f t="shared" ref="I51:I53" si="17">E51-G51</f>
        <v>2</v>
      </c>
    </row>
    <row r="52">
      <c r="A52" s="1">
        <v>50.0</v>
      </c>
      <c r="B52" s="1" t="s">
        <v>120</v>
      </c>
      <c r="C52" s="1" t="s">
        <v>14</v>
      </c>
      <c r="D52" s="1" t="s">
        <v>121</v>
      </c>
      <c r="E52" s="1">
        <v>8.0</v>
      </c>
      <c r="F52" s="4">
        <v>35.0</v>
      </c>
      <c r="G52" s="1">
        <v>6.0</v>
      </c>
      <c r="H52" s="4">
        <f t="shared" si="16"/>
        <v>2</v>
      </c>
      <c r="I52" s="4">
        <f t="shared" si="17"/>
        <v>2</v>
      </c>
    </row>
    <row r="53">
      <c r="A53" s="1">
        <v>51.0</v>
      </c>
      <c r="B53" s="1" t="s">
        <v>122</v>
      </c>
      <c r="C53" s="1" t="s">
        <v>14</v>
      </c>
      <c r="D53" s="1" t="s">
        <v>123</v>
      </c>
      <c r="E53" s="1">
        <v>4.0</v>
      </c>
      <c r="F53" s="4">
        <v>35.0</v>
      </c>
      <c r="G53" s="1">
        <v>6.0</v>
      </c>
      <c r="H53" s="4">
        <f t="shared" si="16"/>
        <v>2</v>
      </c>
      <c r="I53" s="4">
        <f t="shared" si="17"/>
        <v>-2</v>
      </c>
    </row>
    <row r="54">
      <c r="A54" s="1">
        <v>52.0</v>
      </c>
      <c r="B54" s="1" t="s">
        <v>124</v>
      </c>
      <c r="C54" s="1" t="s">
        <v>14</v>
      </c>
      <c r="D54" s="1" t="s">
        <v>125</v>
      </c>
      <c r="E54" s="1">
        <v>7.0</v>
      </c>
      <c r="F54" s="4">
        <v>35.0</v>
      </c>
      <c r="G54" s="1" t="s">
        <v>29</v>
      </c>
    </row>
    <row r="55">
      <c r="A55" s="1">
        <v>53.0</v>
      </c>
      <c r="B55" s="1" t="s">
        <v>126</v>
      </c>
      <c r="C55" s="1" t="s">
        <v>14</v>
      </c>
      <c r="D55" s="1" t="s">
        <v>127</v>
      </c>
      <c r="E55" s="1">
        <v>5.0</v>
      </c>
      <c r="F55" s="4">
        <v>35.0</v>
      </c>
      <c r="G55" s="1">
        <v>6.0</v>
      </c>
      <c r="H55" s="4">
        <f>ABS(I55)</f>
        <v>1</v>
      </c>
      <c r="I55" s="4">
        <f>E55-G55</f>
        <v>-1</v>
      </c>
    </row>
    <row r="56">
      <c r="A56" s="1">
        <v>54.0</v>
      </c>
      <c r="B56" s="1" t="s">
        <v>128</v>
      </c>
      <c r="C56" s="1" t="s">
        <v>14</v>
      </c>
      <c r="D56" s="1" t="s">
        <v>129</v>
      </c>
      <c r="E56" s="1">
        <v>5.0</v>
      </c>
      <c r="F56" s="4">
        <v>35.0</v>
      </c>
      <c r="G56" s="1" t="s">
        <v>29</v>
      </c>
    </row>
    <row r="57">
      <c r="A57" s="1">
        <v>55.0</v>
      </c>
      <c r="B57" s="1" t="s">
        <v>130</v>
      </c>
      <c r="C57" s="1" t="s">
        <v>14</v>
      </c>
      <c r="D57" s="1" t="s">
        <v>131</v>
      </c>
      <c r="E57" s="1">
        <v>9.0</v>
      </c>
      <c r="F57" s="4">
        <v>35.0</v>
      </c>
      <c r="G57" s="1" t="s">
        <v>29</v>
      </c>
    </row>
    <row r="58">
      <c r="A58" s="1">
        <v>56.0</v>
      </c>
      <c r="B58" s="1" t="s">
        <v>132</v>
      </c>
      <c r="C58" s="1" t="s">
        <v>14</v>
      </c>
      <c r="D58" s="1" t="s">
        <v>133</v>
      </c>
      <c r="E58" s="1">
        <v>4.0</v>
      </c>
      <c r="F58" s="4">
        <v>34.0</v>
      </c>
      <c r="G58" s="1">
        <v>6.0</v>
      </c>
      <c r="H58" s="4">
        <f t="shared" ref="H58:H61" si="18">ABS(I58)</f>
        <v>2</v>
      </c>
      <c r="I58" s="4">
        <f t="shared" ref="I58:I61" si="19">E58-G58</f>
        <v>-2</v>
      </c>
    </row>
    <row r="59">
      <c r="A59" s="1">
        <v>57.0</v>
      </c>
      <c r="B59" s="1" t="s">
        <v>134</v>
      </c>
      <c r="C59" s="1" t="s">
        <v>14</v>
      </c>
      <c r="D59" s="1" t="s">
        <v>135</v>
      </c>
      <c r="E59" s="1">
        <v>0.0</v>
      </c>
      <c r="F59" s="4">
        <v>33.0</v>
      </c>
      <c r="G59" s="1">
        <v>1.0</v>
      </c>
      <c r="H59" s="4">
        <f t="shared" si="18"/>
        <v>1</v>
      </c>
      <c r="I59" s="4">
        <f t="shared" si="19"/>
        <v>-1</v>
      </c>
    </row>
    <row r="60">
      <c r="A60" s="1">
        <v>58.0</v>
      </c>
      <c r="B60" s="1" t="s">
        <v>136</v>
      </c>
      <c r="C60" s="1" t="s">
        <v>14</v>
      </c>
      <c r="D60" s="1" t="s">
        <v>137</v>
      </c>
      <c r="E60" s="1">
        <v>2.0</v>
      </c>
      <c r="F60" s="4">
        <v>35.0</v>
      </c>
      <c r="G60" s="1">
        <v>6.0</v>
      </c>
      <c r="H60" s="4">
        <f t="shared" si="18"/>
        <v>4</v>
      </c>
      <c r="I60" s="4">
        <f t="shared" si="19"/>
        <v>-4</v>
      </c>
    </row>
    <row r="61">
      <c r="A61" s="1">
        <v>59.0</v>
      </c>
      <c r="B61" s="1" t="s">
        <v>138</v>
      </c>
      <c r="C61" s="1" t="s">
        <v>14</v>
      </c>
      <c r="D61" s="1" t="s">
        <v>139</v>
      </c>
      <c r="E61" s="1">
        <v>3.0</v>
      </c>
      <c r="F61" s="4">
        <v>34.0</v>
      </c>
      <c r="G61" s="1">
        <v>5.0</v>
      </c>
      <c r="H61" s="4">
        <f t="shared" si="18"/>
        <v>2</v>
      </c>
      <c r="I61" s="4">
        <f t="shared" si="19"/>
        <v>-2</v>
      </c>
    </row>
    <row r="62">
      <c r="A62" s="1">
        <v>60.0</v>
      </c>
      <c r="B62" s="1" t="s">
        <v>140</v>
      </c>
      <c r="C62" s="1" t="s">
        <v>14</v>
      </c>
      <c r="D62" s="1" t="s">
        <v>141</v>
      </c>
      <c r="E62" s="1">
        <v>1.0</v>
      </c>
      <c r="F62" s="4">
        <v>35.0</v>
      </c>
      <c r="G62" s="1" t="s">
        <v>29</v>
      </c>
    </row>
    <row r="63">
      <c r="A63" s="1">
        <v>61.0</v>
      </c>
      <c r="B63" s="1" t="s">
        <v>142</v>
      </c>
      <c r="C63" s="1" t="s">
        <v>14</v>
      </c>
      <c r="D63" s="1" t="s">
        <v>143</v>
      </c>
      <c r="E63" s="1">
        <v>9.0</v>
      </c>
      <c r="F63" s="4">
        <v>36.0</v>
      </c>
      <c r="G63" s="1">
        <v>7.0</v>
      </c>
      <c r="H63" s="4">
        <f t="shared" ref="H63:H66" si="20">ABS(I63)</f>
        <v>2</v>
      </c>
      <c r="I63" s="4">
        <f t="shared" ref="I63:I66" si="21">E63-G63</f>
        <v>2</v>
      </c>
    </row>
    <row r="64">
      <c r="A64" s="1">
        <v>62.0</v>
      </c>
      <c r="B64" s="1" t="s">
        <v>144</v>
      </c>
      <c r="C64" s="1" t="s">
        <v>14</v>
      </c>
      <c r="D64" s="1" t="s">
        <v>145</v>
      </c>
      <c r="E64" s="1">
        <v>3.0</v>
      </c>
      <c r="F64" s="4">
        <v>29.0</v>
      </c>
      <c r="G64" s="1">
        <v>6.0</v>
      </c>
      <c r="H64" s="4">
        <f t="shared" si="20"/>
        <v>3</v>
      </c>
      <c r="I64" s="4">
        <f t="shared" si="21"/>
        <v>-3</v>
      </c>
    </row>
    <row r="65">
      <c r="A65" s="1">
        <v>63.0</v>
      </c>
      <c r="B65" s="1" t="s">
        <v>146</v>
      </c>
      <c r="C65" s="1" t="s">
        <v>14</v>
      </c>
      <c r="D65" s="1" t="s">
        <v>147</v>
      </c>
      <c r="E65" s="1">
        <v>2.0</v>
      </c>
      <c r="F65" s="4">
        <v>34.0</v>
      </c>
      <c r="G65" s="1">
        <v>5.0</v>
      </c>
      <c r="H65" s="4">
        <f t="shared" si="20"/>
        <v>3</v>
      </c>
      <c r="I65" s="4">
        <f t="shared" si="21"/>
        <v>-3</v>
      </c>
    </row>
    <row r="66">
      <c r="A66" s="1">
        <v>64.0</v>
      </c>
      <c r="B66" s="1" t="s">
        <v>148</v>
      </c>
      <c r="C66" s="1" t="s">
        <v>14</v>
      </c>
      <c r="D66" s="1" t="s">
        <v>149</v>
      </c>
      <c r="E66" s="1">
        <v>0.0</v>
      </c>
      <c r="F66" s="4">
        <v>34.0</v>
      </c>
      <c r="G66" s="1">
        <v>1.0</v>
      </c>
      <c r="H66" s="4">
        <f t="shared" si="20"/>
        <v>1</v>
      </c>
      <c r="I66" s="4">
        <f t="shared" si="21"/>
        <v>-1</v>
      </c>
    </row>
    <row r="67">
      <c r="A67" s="1">
        <v>65.0</v>
      </c>
      <c r="B67" s="1" t="s">
        <v>150</v>
      </c>
      <c r="C67" s="1" t="s">
        <v>14</v>
      </c>
      <c r="D67" s="1" t="s">
        <v>151</v>
      </c>
      <c r="E67" s="1">
        <v>0.0</v>
      </c>
      <c r="F67" s="4">
        <v>31.0</v>
      </c>
      <c r="G67" s="1" t="s">
        <v>29</v>
      </c>
    </row>
    <row r="68">
      <c r="A68" s="1">
        <v>66.0</v>
      </c>
      <c r="B68" s="1" t="s">
        <v>152</v>
      </c>
      <c r="C68" s="1" t="s">
        <v>14</v>
      </c>
      <c r="D68" s="1" t="s">
        <v>153</v>
      </c>
      <c r="E68" s="1">
        <v>4.0</v>
      </c>
      <c r="F68" s="4">
        <v>35.0</v>
      </c>
      <c r="G68" s="1" t="s">
        <v>29</v>
      </c>
    </row>
    <row r="69">
      <c r="A69" s="1">
        <v>67.0</v>
      </c>
      <c r="B69" s="1" t="s">
        <v>154</v>
      </c>
      <c r="C69" s="1" t="s">
        <v>14</v>
      </c>
      <c r="D69" s="1" t="s">
        <v>155</v>
      </c>
      <c r="E69" s="1">
        <v>6.0</v>
      </c>
      <c r="F69" s="4">
        <v>34.0</v>
      </c>
      <c r="G69" s="1">
        <v>6.0</v>
      </c>
      <c r="H69" s="4">
        <f t="shared" ref="H69:H71" si="22">ABS(I69)</f>
        <v>0</v>
      </c>
      <c r="I69" s="4">
        <f t="shared" ref="I69:I71" si="23">E69-G69</f>
        <v>0</v>
      </c>
    </row>
    <row r="70">
      <c r="A70" s="1">
        <v>68.0</v>
      </c>
      <c r="B70" s="1" t="s">
        <v>156</v>
      </c>
      <c r="C70" s="1" t="s">
        <v>14</v>
      </c>
      <c r="D70" s="1" t="s">
        <v>157</v>
      </c>
      <c r="E70" s="1">
        <v>8.0</v>
      </c>
      <c r="F70" s="4">
        <v>35.0</v>
      </c>
      <c r="G70" s="1">
        <v>6.0</v>
      </c>
      <c r="H70" s="4">
        <f t="shared" si="22"/>
        <v>2</v>
      </c>
      <c r="I70" s="4">
        <f t="shared" si="23"/>
        <v>2</v>
      </c>
    </row>
    <row r="71">
      <c r="A71" s="1">
        <v>69.0</v>
      </c>
      <c r="B71" s="1" t="s">
        <v>158</v>
      </c>
      <c r="C71" s="1" t="s">
        <v>14</v>
      </c>
      <c r="D71" s="1" t="s">
        <v>159</v>
      </c>
      <c r="E71" s="1">
        <v>5.0</v>
      </c>
      <c r="F71" s="4">
        <v>35.0</v>
      </c>
      <c r="G71" s="1">
        <v>6.0</v>
      </c>
      <c r="H71" s="4">
        <f t="shared" si="22"/>
        <v>1</v>
      </c>
      <c r="I71" s="4">
        <f t="shared" si="23"/>
        <v>-1</v>
      </c>
    </row>
    <row r="72">
      <c r="A72" s="1">
        <v>70.0</v>
      </c>
      <c r="B72" s="1" t="s">
        <v>160</v>
      </c>
      <c r="C72" s="1" t="s">
        <v>14</v>
      </c>
      <c r="D72" s="1" t="s">
        <v>161</v>
      </c>
      <c r="E72" s="1">
        <v>0.0</v>
      </c>
      <c r="F72" s="4">
        <v>34.0</v>
      </c>
      <c r="G72" s="1" t="s">
        <v>29</v>
      </c>
    </row>
  </sheetData>
  <drawing r:id="rId1"/>
</worksheet>
</file>