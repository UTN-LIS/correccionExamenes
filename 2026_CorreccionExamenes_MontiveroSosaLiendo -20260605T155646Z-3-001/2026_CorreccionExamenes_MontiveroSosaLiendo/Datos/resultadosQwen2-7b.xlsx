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b" sheetId="1" r:id="rId5"/>
  </sheets>
  <definedNames/>
  <calcPr/>
</workbook>
</file>

<file path=xl/sharedStrings.xml><?xml version="1.0" encoding="utf-8"?>
<sst xmlns="http://schemas.openxmlformats.org/spreadsheetml/2006/main" count="368" uniqueCount="229">
  <si>
    <t>step</t>
  </si>
  <si>
    <t>entrada</t>
  </si>
  <si>
    <t>contexto</t>
  </si>
  <si>
    <t>salida</t>
  </si>
  <si>
    <t>esperado</t>
  </si>
  <si>
    <t>tiempo</t>
  </si>
  <si>
    <t>Nota Normalizada</t>
  </si>
  <si>
    <t>DIFERENCIA ABSOLUTO</t>
  </si>
  <si>
    <t>DIFERENCIA</t>
  </si>
  <si>
    <t>ERROR MAXIMO</t>
  </si>
  <si>
    <t>ERROR MEDIO ABSOLUTO</t>
  </si>
  <si>
    <t>SESGO DE CALIFICACION</t>
  </si>
  <si>
    <t>COINCIDENCIA EXACTA</t>
  </si>
  <si>
    <t>Exacto +-1 diferencia</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</si>
  <si>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</si>
  <si>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Pregunta: Explica el ciclo TDD  y su importancia en el desarrollo de software.</t>
  </si>
  <si>
    <t>Nota: 6
La respuesta del estudiante contiene algunos conceptos correctos sobre TDD, pero falta una explicación más detallada y precisa. Se menciona correctamente que TDD es un enfoque donde primero se escriben pr</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</si>
  <si>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</si>
  <si>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Compara TDD con un enfoque tradicional de testing en el desarrollo de software.</t>
  </si>
  <si>
    <t>La respuesta proporcionada tiene elementos correctos pero también hay algunos puntos que pueden mejorar. Aquí te doy una evaluación detallada:
### Evaluación:
- **Precisión de la comparación (3/5):** La respuesta com</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</si>
  <si>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</si>
  <si>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</si>
  <si>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</si>
  <si>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</si>
  <si>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</si>
  <si>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Describe las buenas prácticas en TDD y su impacto en la calidad del software.</t>
  </si>
  <si>
    <t>La respuesta del estudiante muestra una comprensión general de las buenas prácticas en TDD y su impacto en la calidad del software, pero hay algunos aspectos que podrían mejorar para obtener una calificación más alta. Aquí</t>
  </si>
  <si>
    <t>-</t>
  </si>
  <si>
    <t>Respuesta: 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</si>
  <si>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Pregunta: Explica el uso de MockMvc para el testing de APIs REST dentro del contexto de aplicaciones Spring.</t>
  </si>
  <si>
    <t>Nota: 5
La respuesta proporcionada tiene algunos errores y falta información importante sobre MockMvc en el contexto de Spring Testing. Aquí te dejo algunas correcciones y mejoras:
1. **Claridad**: La explicación de MockMvc</t>
  </si>
  <si>
    <t>Respuesta: 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</si>
  <si>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Pregunta: Discute las ventajas y desventajas de implementar TDD en un proyecto de software.</t>
  </si>
  <si>
    <t>La respuesta del estudiante muestra una comprensión parcial de las ventajas y desventajas de TDD (Desarrollo Dirigido por Pruebas), pero presenta algunas inexactitudes y falta información crucial. Aquí está una evalu</t>
  </si>
  <si>
    <t>Respuesta: 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</si>
  <si>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Pregunta: Define el concepto de cobertura de código y su relevancia en el contexto de TDD.</t>
  </si>
  <si>
    <t>La respuesta del estudiante muestra una comprensión aceptable pero no completa del concepto de cobertura de código y su relevancia en el contexto del desarrollo dirigido por pruebas (TDD). Aquí hay algunas mejoras que podrían</t>
  </si>
  <si>
    <t>Respuesta: 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</si>
  <si>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Pregunta: 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</si>
  <si>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La respuesta del estudiante aborda algunos conceptos clave de TDD pero presenta una serie de ideas confusas y redundantes. La evaluación sería la siguiente:
Calificación: 5
El estudiante menciona correctamente que un test debe</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</si>
  <si>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</si>
  <si>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Pregunta: Explica la importancia de validar entradas en el contexto de TDD y cómo se relaciona con la robustez del software.</t>
  </si>
  <si>
    <t>La respuesta del estudiante muestra un entendimiento básico pero incompleto de la importancia de la validación de entradas en el contexto de TDD (Desarrollo Dirigido por Pruebas). Aquí está el análisis detallado</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</si>
  <si>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</si>
  <si>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</si>
  <si>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La respuesta del estudiante tiene algunos puntos correctos pero también carece de detalles importantes y claridad. Aquí está una evaluación detallada:
**Calificación: 6/10**
**Aspectos positivos:**
- El</t>
  </si>
  <si>
    <t>Respuesta: 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</si>
  <si>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Pregunta: Discute el papel de los frameworks de testing en Java y su contribución a TDD.</t>
  </si>
  <si>
    <t>La respuesta del estudiante muestra un conocimiento básico sobre cómo ejecutar tests con Maven, pero falta una discusión más profunda sobre los frameworks de testing en Java y su contribución a TDD (Desarrollo Dirigido por Pr</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</si>
  <si>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</si>
  <si>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La respuesta proporcionada contiene elementos correctos sobre el ciclo TDD pero carece de claridad y precisión en varios aspectos. Se le otorgará una nota de 5/10.
**Aspectos positivos:**
- Ident</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</si>
  <si>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</si>
  <si>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 xml:space="preserve">La respuesta del estudiante muestra una comprensión general de la diferencia entre TDD y un enfoque tradicional de testing, pero carece de detalles más precisos y completos. Aquí está la evaluación:
Calificación: </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</si>
  <si>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</si>
  <si>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La respuesta proporcionada tiene elementos correctos pero falta profundizar y estructurar mejor el tema. Aquí te doy una evaluación detallada:
**Calificación: 7/10**
**Aspectos fuertes:**
-</t>
  </si>
  <si>
    <t>Respuesta: 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</si>
  <si>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La respuesta del estudiante contiene algunos elementos correctos pero también hay errores y confusiones. Aquí está la evaluación:
Calificación: 6/10
Explicación:
- **Concepto básico correcto**: La idea de que</t>
  </si>
  <si>
    <t>Respuesta: 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</si>
  <si>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La respuesta proporcionada tiene elementos correctos pero falta profundizar en algunas áreas y estructurar mejor la información. Aquí te doy una calificación y algunos comentarios constructivos:
Calificación: 6/10
Comentarios:
1.</t>
  </si>
  <si>
    <t>Respuesta: 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</si>
  <si>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La respuesta del estudiante contiene elementos correctos pero presenta algunas inexactitudes y falta claridad en algunas partes. Aquí está una evaluación detallada:
### Evaluación:
- **Definición de Cobertura de Código**: La defin</t>
  </si>
  <si>
    <t>Respuesta: 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</si>
  <si>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La respuesta del estudiante aborda algunos puntos importantes pero falta profundizar en la explicación y en la relación con la calidad del diseño y la evolución del sistema. Aquí está la evaluación:
Calificación: 6
**Aspectos</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</si>
  <si>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</si>
  <si>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La respuesta del estudiante aborda correctamente la importancia de validar entradas en el contexto de TDD (Desarrollo Dirigido por Pruebas) y su relación con la robustez del software. Sin embargo, hay algunos puntos que podr</t>
  </si>
  <si>
    <t>Respuesta: Las aserciones en el contexto del software, son muy relevantes para cubrir el codigo y evitar excepciones y errores que provocarian si no son revisados con este metodo asertivo.</t>
  </si>
  <si>
    <t>La respuesta del estudiante toca algunos puntos correctos pero carece de detalles más detallados y precisos. Aquí está una evaluación más detallada:
- **Precisión**: 5/10
  - La respuesta</t>
  </si>
  <si>
    <t>Respuesta: 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</si>
  <si>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La respuesta proporcionada es correcta y aborda correctamente el tema, pero falta un poco más de profundidad y estructura. Aquí te doy una calificación y algunos comentarios constructivos:
Calificación: 7/10
Com</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</si>
  <si>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</si>
  <si>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La respuesta del estudiante proporciona una descripción básica del ciclo TDD, pero carece de detalles importantes y claridad en algunas partes. Aquí está la evaluación:
Calificación: 5/10
Explicación:
-</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</si>
  <si>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</si>
  <si>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La respuesta proporcionada por el estudiante es clara y aborda los puntos principales de la comparación entre el enfoque tradicional de testing y el TDD (Desarrollo Dirigido por Pruebas). Sin embargo, hay algunos</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</si>
  <si>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</si>
  <si>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La respuesta del estudiante aborda dos aspectos importantes de las buenas prácticas en TDD (Desarrollo Dirigido por Pruebas), pero falta una discusión más completa sobre el tema y su impacto en la calidad</t>
  </si>
  <si>
    <t>Respuesta: 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</si>
  <si>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La respuesta del estudiante tiene elementos correctos pero falta profundizar en algunos aspectos clave. Aquí te doy mi evaluación:
Calificación: 6/10
Aspectos correctos:
- Se menciona que MockMvc está</t>
  </si>
  <si>
    <t>Respuesta: *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</si>
  <si>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La respuesta del estudiante aborda tanto las ventajas como las desventajas de TDD (Desarrollo Dirigido por Pruebas), pero falta profundizar un poco más en cada punto. Sin embargo, se mencionan los aspect</t>
  </si>
  <si>
    <t>Respuesta: 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</si>
  <si>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La respuesta del estudiante contiene elementos correctos pero también hay algunas inexactitudes y falta de profundidad. Aquí está la evaluación:
**Nota: 6/10**
**Aspectos positivos:**
- El estudiante define</t>
  </si>
  <si>
    <t>Respuesta: 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</si>
  <si>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La respuesta del estudiante toca algunos puntos importantes pero carece de profundidad y claridad en algunas áreas. Aquí está la evaluación:
Calificación: 6/10
Explicación:
1. **Conceptualización**:</t>
  </si>
  <si>
    <t>Respuesta: Las aserciones en los test son importantes ya que son los que nos dan la confirmación de que los tests están bien hechos y desarrollados y consiguen abarcar todas o la mayoria de los posibles errores de neustros test y codigo de proyecto.</t>
  </si>
  <si>
    <t>La respuesta del estudiante muestra un entendimiento básico de lo que son las aserciones y su importancia, pero falta una descripción más detallada y precisa. Aquí está la evaluación:
Calificación: 6/10</t>
  </si>
  <si>
    <t>Respuesta: 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</si>
  <si>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La respuesta proporcionada por el estudiante tiene un contenido básico pero no aborda completamente la pregunta. El estudiante menciona correctamente algunos frameworks de testing para Java, pero no discute su papel en el desarrollo orientado a pruebas (TDD</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</si>
  <si>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</si>
  <si>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La respuesta del estudiante muestra un entendimiento general del Ciclo TDD y sus componentes, pero hay algunos aspectos que podrían mejorar para una evaluación más completa. Aquí está una evaluación detallada:
- **Explic</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</si>
  <si>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</si>
  <si>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La respuesta del estudiante es buena y muestra una comprensión aceptable del concepto de TDD (Desarrollo Dirigido por Pruebas) en comparación con el enfoque tradicional de testing. Sin embargo, hay algunas</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</si>
  <si>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</si>
  <si>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La respuesta del estudiante aborda algunos aspectos importantes de las buenas prácticas en TDD (Desarrollo Dirigido por Pruebas), pero falta información crucial y hay algunas ideas que podrían ser mejor formuladas. Aquí</t>
  </si>
  <si>
    <t>Respuesta: 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</si>
  <si>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La respuesta del estudiante tiene varios puntos correctos pero también presenta algunas omisiones y simplificaciones que pueden afectar la precisión de la explicación. Aquí está la evaluación:
**Calificación: 7/10**
**</t>
  </si>
  <si>
    <t>Respuesta: 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</si>
  <si>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La respuesta proporcionada aborda tanto las ventajas como las desventajas del TDD (Desarrollo Dirigido por Pruebas), pero hay algunos aspectos que podrían mejorar para ser más completos y precisos. Aún así</t>
  </si>
  <si>
    <t>Respuesta: 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</si>
  <si>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La respuesta del estudiante muestra una comprensión parcial del concepto de cobertura de código y su relevancia en el TDD, pero hay algunos errores y falta de claridad que afectan la precisión de la definición.
Cal</t>
  </si>
  <si>
    <t>Respuesta: 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</si>
  <si>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La respuesta del estudiante aborda correctamente el concepto clave de que los tests deben fallar antes de escribir el código de producción, aunque falta profundizar en algunos aspectos técnicos y de comunicación. Aquí está la evaluación:
**</t>
  </si>
  <si>
    <t>Respuesta: Es muy importante el validar entradas ya que comienzas con una estructura muy robusta y correcta, sino a mitad del proceso se pueden volver los test fragil.</t>
  </si>
  <si>
    <t>La respuesta proporcionada tiene algunos elementos correctos pero carece de detalle y claridad. Aquí está la evaluación:
Calificación: 5/10
Explicación:
- El estudiante reconoce la importancia de validar entr</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</si>
  <si>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</si>
  <si>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La respuesta del estudiante tiene algunos elementos correctos, pero falta profundizar en el tema. Aquí está la evaluación:
Calificación: 6/10
Explicación:
- El estudiante reconoce correctamente que las aserc</t>
  </si>
  <si>
    <t>Respuesta: 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</si>
  <si>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La respuesta proporcionada tiene elementos correctos pero falta profundizar en el tema. Aquí está una evaluación detallada:
- **Completitud**: 4/10
  - La respuesta menciona algunos frameworks de testing en Java</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</si>
  <si>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</si>
  <si>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Tu respuesta muestra un entendimiento básico del Ciclo TDD, pero hay algunas áreas donde podrías mejorar para reflejar una comprensión más completa. Aquí te doy mi evaluación:
Nota: 6/10
**</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</si>
  <si>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</si>
  <si>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La respuesta proporcionada tiene algunos elementos correctos pero carece de detalles importantes para una comparación completa. Aquí está la evaluación:
Calificación: 5/10
Explicación:
- El estudiante ha identificado correctamente que</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</si>
  <si>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</si>
  <si>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La respuesta del estudiante muestra una comprensión general, pero carece de detalles específicos sobre las buenas prácticas del TDD y su impacto en la calidad del software. Aquí está la evaluación:
Nota: 4</t>
  </si>
  <si>
    <t>Respuesta: 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</si>
  <si>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Tu respuesta aborda correctamente algunas de las ventajas y desventajas del TDD (Desarrollo Dirigido por Pruebas), pero hay algunos puntos que podrían ser más detallados o precisos. Aquí te doy una</t>
  </si>
  <si>
    <t>Respuesta: 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</si>
  <si>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La respuesta proporcionada tiene algunos elementos correctos pero falta una definición más precisa y completa del concepto de cobertura de código y su relevancia en el contexto del Desarrollo Dirigido por Pruebas (TDD). Aquí te</t>
  </si>
  <si>
    <t>Respuesta: 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</si>
  <si>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La respuesta del estudiante muestra un entendimiento básico de la importancia de que un test falle antes de escribir código en el contexto de TDD, pero falta profundizar en los aspectos técnicos y de comunicación. La nota asignada</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</si>
  <si>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</si>
  <si>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La respuesta del estudiante muestra un intento de explicar la importancia de validar entradas en el contexto de TDD (Desarrollo Dirigido por Pruebas) y su relación con la robustez del software. Sin embargo, hay</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</si>
  <si>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</si>
  <si>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La respuesta del estudiante contiene algunos elementos correctos pero carece de claridad y profundidad. La evaluación es la siguiente:
Calificación: 5/10
Explicación:
- El concepto básico de aserciones se</t>
  </si>
  <si>
    <t>Respuesta: 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</si>
  <si>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La respuesta del estudiante muestra un esfuerzo por entender el tema, pero hay varios aspectos que se pueden mejorar para una evaluación más precisa. Aquí está la evaluación:
**Calificación: 5/10**
**</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</si>
  <si>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</si>
  <si>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La respuesta del estudiante muestra un buen entendimiento del ciclo TDD y sus pasos básicos, así como de su importancia en el desarrollo de software. Sin embargo, hay algunos detalles que podrían mejorar para obtener una evaluación más alta</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</si>
  <si>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</si>
  <si>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La respuesta proporcionada contiene elementos correctos sobre TDD y un enfoque tradicional de testing, pero también hay algunos aspectos que pueden ser mejorados o precisados. Aquí está la evaluación:
**Evaluación:**
-</t>
  </si>
  <si>
    <t>Respuesta: -El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</si>
  <si>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La respuesta del estudiante aborda varios aspectos importantes de las buenas prácticas en TDD, pero hay algunos puntos que podrían ser más detallados o claros. Aquí está la evaluación:
Calificación: 7</t>
  </si>
  <si>
    <t>Respuesta: MockMvc es una biblioteca de Spring Boot que permite crear tests que prueban peticiones HTTP (GET, POST, PUT...) en tiempo real sin necesidad de levantar un servidor y testean controladores de tipo REST.</t>
  </si>
  <si>
    <t>La respuesta proporcionada tiene algunos errores y falta información importante. Aquí te presento una evaluación detallada:
- **Exactitud**: 4/10
  - La definición de MockMvc es incorrecta. MockMvc no</t>
  </si>
  <si>
    <t>Respuesta: 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</si>
  <si>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La respuesta proporcionada aborda tanto las ventajas como las desventajas de implementar TDD (Desarrollo Dirigido por Pruebas) de manera general, pero hay algunas áreas que podrían mejorar. Aquí está la evaluación</t>
  </si>
  <si>
    <t>Respuesta: 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</si>
  <si>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 xml:space="preserve">La respuesta del estudiante proporciona una definición básica de la cobertura de código y hace referencia a su importancia en el contexto de TDD, pero carece de detalles más profundos y precisos. Aquí está la evaluación:
</t>
  </si>
  <si>
    <t>Respuesta: 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</si>
  <si>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La respuesta del estudiante aborda parcialmente el concepto pero falta una explicación más detallada y completa. Aquí está la calificación y algunas sugerencias:
Calificación: 6/10
Sugerencias:
1</t>
  </si>
  <si>
    <t>Respuesta: Es importante validar entradas en el contexto de TDD puesto que garantiza que el código no devuelva valores erróneos o sin sentido, permitiendo que el código sea eficiente y robusto.</t>
  </si>
  <si>
    <t>La respuesta proporcionada es una buena base pero carece de profundidad y detalles adicionales que podrían mejorar la calidad de la explicación. Aquí tienes una evaluación más detallada:
- **Contenido**: 6/10</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</si>
  <si>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</si>
  <si>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La respuesta del estudiante contiene varios elementos correctos pero también tiene algunas inexactitudes y falta información relevante. Aquí está la evaluación:
**Calificación: 6/10**
**Puntos fuertes:**
- Se</t>
  </si>
  <si>
    <t>Respuesta: 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</si>
  <si>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Nota: 5
La respuesta proporciona información básica sobre los frameworks de testing en Java y su relación con TDD, pero falta una discusión más detallada y completa. Se menciona solo un ejemplo (JUnit5 y JaCo</t>
  </si>
  <si>
    <t>Respuesta: 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</si>
  <si>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La respuesta del estudiante muestra una comprensión básica pero incompleta del ciclo TDD. Se identifican los tres pasos principales (Red-Green-Refactor) y se proporciona un ejemplo simplificado, pero falta profundizar</t>
  </si>
  <si>
    <t>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</si>
  <si>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La respuesta del estudiante presenta algunas ideas correctas pero también hay algunas inexactitudes y falta de profundidad. Aquí está la evaluación:
Calificación: 6/10
Explicación:
- **Inexactitud en la</t>
  </si>
  <si>
    <t>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</si>
  <si>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 xml:space="preserve">La respuesta del estudiante aborda correctamente algunas de las buenas prácticas en TDD y su impacto en la calidad del software, pero falta una descripción más completa y precisa. Aquí está la evaluación:
Calificación: </t>
  </si>
  <si>
    <t>Respuesta: MockMvc es un framework de tests de integración, un test de integración es un test que comprueba la conexión entre diferentes módulos de un proyecto, tests, que tienen características como que se realizan menos que los tests unitarios y son más frágiles que estos.</t>
  </si>
  <si>
    <t>La respuesta proporcionada tiene elementos correctos pero no aborda completamente el tema propuesto. Se menciona correctamente que MockMvc es un framework de tests de integración, pero falta una explicación más detallada sobre su uso específico con APIs REST</t>
  </si>
  <si>
    <t>Respuesta: 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</si>
  <si>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La respuesta del estudiante aborda tanto las ventajas como las desventajas de TDD, pero hay algunos aspectos que podrían mejorar para ser más precisos y completos. Aquí está la evaluación:
Ventajas:
- Se</t>
  </si>
  <si>
    <t>Respuesta: 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</si>
  <si>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La respuesta del estudiante aborda correctamente el concepto de cobertura de código y su relevancia en el contexto de TDD, por lo que se le puede asignar una nota de 8/10. 
**Aspectos positivos</t>
  </si>
  <si>
    <t>Respuesta: 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</si>
  <si>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La respuesta del estudiante toca en parte el tema pero carece de profundidad y no aborda completamente la pregunta. Se le dará una calificación de 5/10.
La respuesta se centra principalmente en cómo el test fall</t>
  </si>
  <si>
    <t>Respuesta: La validación de entradas en los ciclos TDD es importante ya que te encargas de que las entradas existen y evitas que haya algún tipo de inconsistencia de datos.</t>
  </si>
  <si>
    <t xml:space="preserve">La respuesta del estudiante muestra una comprensión básica de la importancia de la validación de entradas en el contexto de TDD, pero carece de detalles más profundos y completos. Aquí hay algunas mejoras sugeridas: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</si>
  <si>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</si>
  <si>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La respuesta del estudiante es clara y precisa, cubre bien el tema de las aserciones en los tests y su importancia. Sin embargo, podría ser un poco más detallada y explicar cómo funcionan exactamente dentro de</t>
  </si>
  <si>
    <t>Respuesta: 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</si>
  <si>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Tu respuesta tiene información correcta pero falta profundizar más en el tema. Te daré una nota de 6/10 y te proporcionaré algunas sugerencias para mejorar:
1. La primera frase es correcta pero podría ser más completa</t>
  </si>
  <si>
    <t>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</si>
  <si>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La respuesta del estudiante proporciona una explicación general del ciclo TDD, pero falta profundizar en algunos aspectos clave y mejorar la claridad. Aquí está la evaluación:
Calificación: 7/10
Explicación</t>
  </si>
  <si>
    <t>Respuesta: El mecanismo TDD se ejecutan pruebas y luego se escribe el código, mientras que el enfoque tradicional se realiza el código y luego se ejecutan los test</t>
  </si>
  <si>
    <t>La respuesta proporcionada tiene un buen punto pero falta una comparación más detallada. Aquí está la evaluación:
Calificación: 6/10
Explicación:
- El estudiante ha identificado correctamente el orden inverso</t>
  </si>
  <si>
    <t>Respuesta: poner nombres simples e intuitivos, seguir el enfoque de las tres AAA y no probar varias funcionalidades en un mismo test, hacer varias que prueben y testeen una por una</t>
  </si>
  <si>
    <t>La respuesta del estudiante aborda algunos aspectos importantes de las buenas prácticas en TDD (Desarrollo Dirigido por Pruebas), pero falta un poco de contexto y profundidad. Aquí está la evaluación:
Cal</t>
  </si>
  <si>
    <t>Respuesta: Permite hacer consultas de tipo API sin necesidad de ejecutar un servidor real</t>
  </si>
  <si>
    <t>La respuesta proporcionada es parcialmente correcta pero falta mucha información importante. Vamos a evaluarla:
1. **Precisión**: 4/10
2. **Complejidad**: 3/10
3</t>
  </si>
  <si>
    <t>Respuesta: 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</si>
  <si>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La respuesta proporcionada tiene varios puntos válidos, pero falta estructura y claridad en algunos aspectos. Aquí está una evaluación detallada:
- **Ventajas (3/5)**: Menciona que obtienes un mejor</t>
  </si>
  <si>
    <t>Respuesta: 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</si>
  <si>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La respuesta del estudiante contiene elementos correctos pero no está completamente precisa ni completa. Se le asigna una nota de 6.
El estudiante menciona correctamente que el cobertura de código proporciona información sobre qué líneas de código están siendo</t>
  </si>
  <si>
    <t>Respuesta: ya que nos permite ir siguiendo una progresión del código y focalizarnos en métodos individuales, es la primera parte del ciclo y tratamos de solucionarlo, una vez solucionado el test pasa y en la última fase perfeccionamos y depuramos el código ya funcional</t>
  </si>
  <si>
    <t>La respuesta proporcionada tiene algunos elementos correctos pero falta profundizar en varios aspectos importantes. Aquí te doy mi evaluación:
Calificación: 6/10
Aspectos positivos:
- Menciona que los tests fall</t>
  </si>
  <si>
    <t>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</si>
  <si>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La respuesta del estudiante aborda correctamente la idea principal de la importancia de validar entradas en el contexto de TDD y su relación con la robustez del software. Sin embargo, la explicación podría ser más detallada y precisa.</t>
  </si>
  <si>
    <t>Respuesta: las aserciones permiten validar que el test haya pasado o no despues de haber declarado las variables con arrange y ejecutarlas con act, y assert valida que el test haya sido pasado con éxito, que es lo que buscamos</t>
  </si>
  <si>
    <t>La respuesta del estudiante contiene algunos elementos correctos pero también tiene algunas inexactitudes y falta de claridad. Vamos a analizarla:
- **Correcto**: La idea general de que las aserciones se usan para validar si</t>
  </si>
  <si>
    <t>Respuesta: Permiten escribir, gestionar y validar código de forma más fácil e intuitiva, por lo que en el caso del TDD nos permite llegar más rápido y sencillo a la solución y pasar de verde a refactor mucho más rápido.</t>
  </si>
  <si>
    <t xml:space="preserve">La respuesta del estudiante toca algunos puntos importantes pero falta una explicación más detallada y completa sobre el papel de los frameworks de testing en Java y su contribución al TDD. Aquí está la evaluación:
Calificación: </t>
  </si>
  <si>
    <t>Respuesta: 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</si>
  <si>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 respuesta del estudiante proporciona un resumen aceptable del ciclo TDD, pero hay algunos aspectos que podrían mejorar para ser más precisos y completos. Aquí está la evaluación:
Calificación: 7/10</t>
  </si>
  <si>
    <t>Respuesta: Las principales ventajas de TDD respecto a un enfoque tradicional de testing en desarrollo software, son que el codigo se reduce, mayor seguridad al refactorizar, codigo mas limpio y mas modulado, menos errores y tambien disminuye el tiempo de debugging.</t>
  </si>
  <si>
    <t>La respuesta del estudiante aborda algunos puntos importantes sobre las ventajas de TDD (Desarrollo Dirigido por Pruebas) frente a un enfoque tradicional de testing, pero falta una comparación más detallada y precisa</t>
  </si>
  <si>
    <t>Respuesta: Desarrollar buenas en TDD es muy importante ya mejora la calidad del software notablemente, en el desarrollo de los tests prima la calidad a la cantidad, tambien es muy importante desarrollar codigo bien estructurado, ya que esto los errores,</t>
  </si>
  <si>
    <t>Nota: 6
La respuesta del estudiante contiene elementos correctos sobre TDD y su impacto en la calidad del software, pero falta una descripción más detallada y precisa de las buenas prácticas específicas de TDD</t>
  </si>
  <si>
    <t>Respuesta: MockMvc es una herramienta que sirve para realizar peticiones HTTP sin levantar un servidor , esto sirve para realizar simulaciones de APIs REST en un entorno controlado.</t>
  </si>
  <si>
    <t>La respuesta proporcionada tiene un buen inicio, pero carece de detalles específicos sobre el uso de MockMvc en el contexto de las aplicaciones Spring y cómo se integra con las pruebas unitarias y de integración. Aquí está la</t>
  </si>
  <si>
    <t>Respuesta: 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</si>
  <si>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La respuesta proporcionada por el estudiante aborda adecuadamente tanto las ventajas como las desventajas de implementar TDD (Desarrollo Dirigido por Pruebas). Sin embargo, hay algunos aspectos que podrían mejorar para</t>
  </si>
  <si>
    <t>Respuesta: 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</si>
  <si>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La respuesta proporcionada por el estudiante contiene elementos correctos pero también hay aspectos que podrían ser más detallados o precisos. Vamos a evaluarla:
### Puntos positivos:
1. **Definición**: La</t>
  </si>
  <si>
    <t>Respuesta: 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</si>
  <si>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La respuesta del estudiante refleja correctamente la idea principal de TDD (Desarrollo Dirigido por Pruebas), pero carece de profundidad en varios aspectos. La evaluación sería:
Calificación: 6/10</t>
  </si>
  <si>
    <t>Respuesta: Validar la entradas de contexto es importante ya que evita conflictos en el codigo y esto hace que el codigo sea mas robusto.</t>
  </si>
  <si>
    <t>La respuesta proporcionada tiene un punto correcto pero falta profundizar en el tema. Vamos a evaluarla:
1- **Compreensión General**: El estudiante comprende la idea básica, por lo que se le puede dar un</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</si>
  <si>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</si>
  <si>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La respuesta del estudiante tiene algunos puntos correctos pero también falta profundidad y claridad en algunas áreas. Aquí está una evaluación más detallada:
- **Precision**: El concepto de aserciones se explica correctamente, aunque</t>
  </si>
  <si>
    <t>Respuesta: Los frameworks en java cumplen un papel fundamental, una de las herramientas utilizadas es JUnit5 ya que son los encargados de ejecutar los test. Son los encargados de estructurar, analizar y ejecutar los test.</t>
  </si>
  <si>
    <t>La respuesta proporcionada tiene elementos correctos pero falta profundidad y contexto. Aquí está la evaluación:
Calificación: 5/10
Explicación:
- El estudiante menciona correctamente que los frameworks de testing en Java son</t>
  </si>
  <si>
    <t>Respuesta: 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</si>
  <si>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La respuesta del estudiante muestra un buen esfuerzo para explicar el ciclo TDD, pero hay algunos aspectos que podrían mejorar para aumentar la precisión y la profundidad de la explicación. Aquí está la evaluación</t>
  </si>
  <si>
    <t>Respuesta: 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</si>
  <si>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La respuesta del estudiante muestra una comprensión básica de las diferencias entre TDD (Desarrollo Dirigido por Pruebas) y un enfoque tradicional de pruebas, pero falta detalle y claridad en algunas áreas.</t>
  </si>
  <si>
    <t>Respuesta: 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</si>
  <si>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La respuesta del estudiante contiene los puntos esenciales de las buenas prácticas en TDD (Desarrollo Dirigido por Pruebas) basadas en el principio FIRST. Sin embargo, faltan algunas explicaciones adicionales</t>
  </si>
  <si>
    <t>Respuesta: MockMvc, es como bien dice el enunciado, una clase de testing dentro de aplicaciones spring, la usamos entre otros para: 
-Simular peticiones http sin levantar un servidor real
-Usar controladores rest de manera aislada
-Verficar respuestas http ( entrada, headers...)</t>
  </si>
  <si>
    <t>La respuesta del estudiante contiene elementos correctos pero falta profundidad y claridad en la explicación. Se le puede dar una nota de 6/10.
Aspectos positivos:
- Menciona que es una clase de testing en</t>
  </si>
  <si>
    <t>Respuesta: 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</si>
  <si>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La respuesta del estudiante aborda tanto las ventajas como las desventajas de implementar TDD de manera adecuada, proporcionando una visión completa del tema. Sin embargo, hay algunas áreas donde se puede mejorar la claridad y precis</t>
  </si>
  <si>
    <t>Respuesta: 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</si>
  <si>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La respuesta del estudiante contiene elementos correctos pero falta una definición más precisa y completa del concepto de cobertura de código y su relevancia en TDD. Aquí está la evaluación:
Nota: 6/10
El</t>
  </si>
  <si>
    <t>Respuesta: 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</si>
  <si>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La respuesta del estudiante muestra un entendimiento básico del concepto de TDD (Desarrollo Dirigido por Pruebas), pero carece de detalles y análisis más profundos. Aquí está la evaluación:
Nota: 4/</t>
  </si>
  <si>
    <t>Respuesta: Porque no puedes escribir codigo a lo loco, al final necesitas ajustarte a unos parametros para que el test pueda pasar por esas lineas que va a comprobar, y que este pueda entenderlo</t>
  </si>
  <si>
    <t xml:space="preserve">La respuesta del estudiante muestra un entendimiento básico pero incompleto de la importancia de validar entradas en el contexto de TDD (Desarrollo Dirigido por Pruebas). Aquí está una evaluación más detallada:
</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</si>
  <si>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</si>
  <si>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La respuesta del estudiante muestra un entendimiento básico de las aserciones y su importancia en los tests, pero falta profundizar en varios aspectos. Aquí está la evaluación:
Calificación: 6
Explicación:
-</t>
  </si>
  <si>
    <t>Respuesta: El ejemplo mas claro es JaCoCo, java code coverage, el cual es una biblioteca gratuita para evaluar coverage en java.
Son fundamentales ya que, sin un framework especifico, algun lengueaje de programacion no podria validar test, y JaCoCo es uno de ellos</t>
  </si>
  <si>
    <t xml:space="preserve">La respuesta del estudiante aborda correctamente un aspecto relevante de los frameworks de testing en Java, pero falta desarrollar más sobre el tema y no menciona otros frameworks importantes. Aquí está la evaluación:
Calificación: 6
</t>
  </si>
  <si>
    <t>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</si>
  <si>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Tu explicación sobre el ciclo TDD es bastante buena y muestra un entendimiento correcto de la metodología. Sin embargo, hay algunos aspectos que podrían mejorar para ser más precisos y detallados.
**Calificación:** 7</t>
  </si>
  <si>
    <t>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</si>
  <si>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La respuesta del estudiante proporciona una comparación general entre TDD (Desarrollo Dirigido por Pruebas) y un enfoque tradicional de testing, destacando algunos de los beneficios del TDD. Sin embargo, 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</si>
</sst>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quot;Google Sans Text&quot;"/>
    </font>
  </fonts>
  <fills count="4">
    <fill>
      <patternFill patternType="none"/>
    </fill>
    <fill>
      <patternFill patternType="lightGray"/>
    </fill>
    <fill>
      <patternFill patternType="solid">
        <fgColor rgb="FFFFFFFF"/>
        <bgColor rgb="FFFFFFFF"/>
      </patternFill>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2" numFmtId="0" xfId="0" applyAlignment="1" applyFont="1">
      <alignment horizontal="right" vertical="bottom"/>
    </xf>
    <xf borderId="0" fillId="3" fontId="2" numFmtId="0" xfId="0" applyAlignment="1" applyFont="1">
      <alignment horizontal="right" readingOrder="0" vertical="bottom"/>
    </xf>
    <xf borderId="0" fillId="3" fontId="2" numFmtId="0" xfId="0" applyAlignment="1" applyFont="1">
      <alignment vertical="bottom"/>
    </xf>
    <xf borderId="0" fillId="0" fontId="1" numFmtId="0" xfId="0" applyFont="1"/>
    <xf borderId="0" fillId="2" fontId="1" numFmtId="0" xfId="0" applyFont="1"/>
    <xf borderId="0" fillId="3" fontId="1" numFmtId="0" xfId="0" applyFont="1"/>
    <xf borderId="0" fillId="3" fontId="1" numFmtId="9" xfId="0" applyAlignment="1" applyFont="1" applyNumberFormat="1">
      <alignment readingOrder="0"/>
    </xf>
    <xf borderId="0" fillId="3" fontId="2" numFmtId="164" xfId="0" applyAlignment="1" applyFont="1" applyNumberFormat="1">
      <alignment horizontal="right" vertical="bottom"/>
    </xf>
    <xf borderId="0" fillId="3" fontId="2" numFmtId="10" xfId="0" applyAlignment="1" applyFont="1" applyNumberFormat="1">
      <alignment horizontal="right" vertical="bottom"/>
    </xf>
    <xf borderId="0" fillId="3" fontId="1" numFmtId="0" xfId="0" applyAlignment="1" applyFont="1">
      <alignment readingOrder="0" shrinkToFit="0" wrapText="1"/>
    </xf>
    <xf borderId="0" fillId="3" fontId="3"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'resultadosQwen2-7b'!$H$1</c:f>
            </c:strRef>
          </c:tx>
          <c:spPr>
            <a:ln cmpd="sng">
              <a:solidFill>
                <a:srgbClr val="4285F4"/>
              </a:solidFill>
            </a:ln>
          </c:spPr>
          <c:marker>
            <c:symbol val="none"/>
          </c:marker>
          <c:val>
            <c:numRef>
              <c:f>'resultadosQwen2-7b'!$H$2:$H$90</c:f>
              <c:numCache/>
            </c:numRef>
          </c:val>
          <c:smooth val="0"/>
        </c:ser>
        <c:axId val="747268931"/>
        <c:axId val="1044013941"/>
      </c:lineChart>
      <c:catAx>
        <c:axId val="747268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4013941"/>
      </c:catAx>
      <c:valAx>
        <c:axId val="1044013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726893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22%</a:t>
            </a:r>
          </a:p>
        </c:rich>
      </c:tx>
      <c:layout>
        <c:manualLayout>
          <c:xMode val="edge"/>
          <c:yMode val="edge"/>
          <c:x val="0.03091666666666667"/>
          <c:y val="0.044609164420485174"/>
        </c:manualLayout>
      </c:layout>
      <c:overlay val="0"/>
    </c:title>
    <c:plotArea>
      <c:layout>
        <c:manualLayout>
          <c:xMode val="edge"/>
          <c:yMode val="edge"/>
          <c:x val="0.03091666666666667"/>
          <c:y val="0.13454627133872415"/>
          <c:w val="0.9381666666666668"/>
          <c:h val="0.8127583108715183"/>
        </c:manualLayout>
      </c:layout>
      <c:doughnut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'resultadosQwen2-7b'!$P$1:$Z$1</c:f>
            </c:strRef>
          </c:cat>
          <c:val>
            <c:numRef>
              <c:f>'resultadosQwen2-7b'!$P$2:$Z$2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809625</xdr:colOff>
      <xdr:row>3</xdr:row>
      <xdr:rowOff>723900</xdr:rowOff>
    </xdr:from>
    <xdr:ext cx="2952750" cy="18288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704850</xdr:colOff>
      <xdr:row>2</xdr:row>
      <xdr:rowOff>285750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36.38"/>
    <col customWidth="1" min="4" max="4" width="58.63"/>
    <col customWidth="1" min="7" max="7" width="15.13"/>
    <col customWidth="1" min="8" max="8" width="20.63"/>
    <col customWidth="1" min="13" max="13" width="14.25"/>
    <col customWidth="1" min="14" max="14" width="22.5"/>
    <col customWidth="1" min="15" max="15" width="21.88"/>
    <col customWidth="1" min="16" max="16" width="20.13"/>
  </cols>
  <sheetData>
    <row r="1">
      <c r="A1" s="1" t="s">
        <v>0</v>
      </c>
      <c r="B1" s="1" t="s">
        <v>1</v>
      </c>
      <c r="C1" s="1" t="s">
        <v>2</v>
      </c>
      <c r="D1" s="1" t="s">
        <v>3</v>
      </c>
      <c r="E1" s="1" t="s">
        <v>4</v>
      </c>
      <c r="F1" s="1" t="s">
        <v>5</v>
      </c>
      <c r="G1" s="1" t="s">
        <v>6</v>
      </c>
      <c r="H1" s="1" t="s">
        <v>7</v>
      </c>
      <c r="I1" s="2" t="s">
        <v>8</v>
      </c>
      <c r="M1" s="3" t="s">
        <v>9</v>
      </c>
      <c r="N1" s="3" t="s">
        <v>10</v>
      </c>
      <c r="O1" s="3" t="s">
        <v>11</v>
      </c>
      <c r="P1" s="3" t="s">
        <v>12</v>
      </c>
      <c r="Q1" s="4">
        <v>1.0</v>
      </c>
      <c r="R1" s="4">
        <v>2.0</v>
      </c>
      <c r="S1" s="4">
        <v>3.0</v>
      </c>
      <c r="T1" s="3">
        <v>4.0</v>
      </c>
      <c r="U1" s="5">
        <v>5.0</v>
      </c>
      <c r="V1" s="4">
        <v>-1.0</v>
      </c>
      <c r="W1" s="4">
        <v>-2.0</v>
      </c>
      <c r="X1" s="4">
        <v>-3.0</v>
      </c>
      <c r="Y1" s="3">
        <v>-4.0</v>
      </c>
      <c r="Z1" s="5">
        <v>-5.0</v>
      </c>
      <c r="AA1" s="6" t="s">
        <v>13</v>
      </c>
    </row>
    <row r="2">
      <c r="A2" s="1">
        <v>0.0</v>
      </c>
      <c r="B2" s="1" t="s">
        <v>14</v>
      </c>
      <c r="C2" s="1" t="s">
        <v>15</v>
      </c>
      <c r="D2" s="1" t="s">
        <v>16</v>
      </c>
      <c r="E2" s="1">
        <v>9.0</v>
      </c>
      <c r="F2" s="7">
        <v>72.0</v>
      </c>
      <c r="G2" s="1">
        <v>6.0</v>
      </c>
      <c r="H2" s="8">
        <f t="shared" ref="H2:H3" si="2">ABS(E2-G2)</f>
        <v>3</v>
      </c>
      <c r="I2" s="7">
        <f t="shared" ref="I2:I3" si="3">E2-G2</f>
        <v>3</v>
      </c>
      <c r="M2" s="9">
        <f>MAX(H1:H90)</f>
        <v>5</v>
      </c>
      <c r="N2" s="9">
        <f t="shared" ref="N2:O2" si="1">AVERAGE(H1:H90)</f>
        <v>1.444444444</v>
      </c>
      <c r="O2" s="9">
        <f t="shared" si="1"/>
        <v>0.4666666667</v>
      </c>
      <c r="P2" s="10">
        <f>COUNTIF(I2:I101, 0) / COUNT(I2:I101)
</f>
        <v>0.22</v>
      </c>
      <c r="Q2" s="11">
        <f>COUNTIF(I2:I72, 1) / COUNT(I2:I72)</f>
        <v>0.2368421053</v>
      </c>
      <c r="R2" s="12">
        <f>COUNTIF(I2:I72, 2) / COUNT(I2:I72)</f>
        <v>0.07894736842</v>
      </c>
      <c r="S2" s="12">
        <f>COUNTIF(I2:I72, 3) / COUNT(I2:I72)</f>
        <v>0.1052631579</v>
      </c>
      <c r="T2" s="9">
        <f>COUNTIF(I2:I72, 4) / COUNT(I2:I72)</f>
        <v>0</v>
      </c>
      <c r="U2" s="12">
        <f>COUNTIF(I2:I72, 5) / COUNT(I2:I72)</f>
        <v>0.05263157895</v>
      </c>
      <c r="V2" s="12">
        <f>COUNTIF(I2:I72, -1) / COUNT(I2:I72)</f>
        <v>0.1578947368</v>
      </c>
      <c r="W2" s="12">
        <f>COUNTIF(I2:I72, -2) / COUNT(I2:I72)</f>
        <v>0.1052631579</v>
      </c>
      <c r="X2" s="12">
        <f>COUNTIF(I2:I72, -3) / COUNT(I2:I72)</f>
        <v>0.02631578947</v>
      </c>
      <c r="Y2" s="12">
        <f>COUNTIF(H2:H72, -4) / COUNT(H2:H72)</f>
        <v>0</v>
      </c>
      <c r="Z2" s="12">
        <f>COUNTIF(I2:I72, -5) / COUNT(I2:I72)</f>
        <v>0</v>
      </c>
      <c r="AA2" s="12">
        <f>COUNTIF(H:H, "&lt;=1") / COUNT(H:H)</f>
        <v>0.5882352941</v>
      </c>
    </row>
    <row r="3">
      <c r="A3" s="1">
        <v>1.0</v>
      </c>
      <c r="B3" s="1" t="s">
        <v>17</v>
      </c>
      <c r="C3" s="1" t="s">
        <v>18</v>
      </c>
      <c r="D3" s="1" t="s">
        <v>19</v>
      </c>
      <c r="E3" s="1">
        <v>7.0</v>
      </c>
      <c r="F3" s="7">
        <v>38.0</v>
      </c>
      <c r="G3" s="1">
        <v>6.0</v>
      </c>
      <c r="H3" s="8">
        <f t="shared" si="2"/>
        <v>1</v>
      </c>
      <c r="I3" s="7">
        <f t="shared" si="3"/>
        <v>1</v>
      </c>
      <c r="M3" s="13" t="s">
        <v>20</v>
      </c>
      <c r="N3" s="13" t="s">
        <v>21</v>
      </c>
      <c r="O3" s="14" t="s">
        <v>22</v>
      </c>
      <c r="P3" s="14" t="s">
        <v>23</v>
      </c>
    </row>
    <row r="4">
      <c r="A4" s="1">
        <v>2.0</v>
      </c>
      <c r="B4" s="1" t="s">
        <v>24</v>
      </c>
      <c r="C4" s="1" t="s">
        <v>25</v>
      </c>
      <c r="D4" s="1" t="s">
        <v>26</v>
      </c>
      <c r="E4" s="1">
        <v>6.0</v>
      </c>
      <c r="F4" s="7">
        <v>41.0</v>
      </c>
      <c r="G4" s="1" t="s">
        <v>27</v>
      </c>
      <c r="H4" s="8"/>
      <c r="M4" s="15"/>
      <c r="N4" s="15"/>
    </row>
    <row r="5">
      <c r="A5" s="1">
        <v>3.0</v>
      </c>
      <c r="B5" s="1" t="s">
        <v>28</v>
      </c>
      <c r="C5" s="1" t="s">
        <v>29</v>
      </c>
      <c r="D5" s="1" t="s">
        <v>30</v>
      </c>
      <c r="E5" s="1">
        <v>3.0</v>
      </c>
      <c r="F5" s="7">
        <v>45.0</v>
      </c>
      <c r="G5" s="1">
        <v>5.0</v>
      </c>
      <c r="H5" s="8">
        <f>ABS(E5-G5)</f>
        <v>2</v>
      </c>
      <c r="I5" s="7">
        <f>E5-G5</f>
        <v>-2</v>
      </c>
    </row>
    <row r="6">
      <c r="A6" s="1">
        <v>4.0</v>
      </c>
      <c r="B6" s="1" t="s">
        <v>31</v>
      </c>
      <c r="C6" s="1" t="s">
        <v>32</v>
      </c>
      <c r="D6" s="1" t="s">
        <v>33</v>
      </c>
      <c r="E6" s="1">
        <v>3.0</v>
      </c>
      <c r="F6" s="7">
        <v>40.0</v>
      </c>
      <c r="G6" s="1" t="s">
        <v>27</v>
      </c>
      <c r="H6" s="8"/>
    </row>
    <row r="7">
      <c r="A7" s="1">
        <v>5.0</v>
      </c>
      <c r="B7" s="1" t="s">
        <v>34</v>
      </c>
      <c r="C7" s="1" t="s">
        <v>35</v>
      </c>
      <c r="D7" s="1" t="s">
        <v>36</v>
      </c>
      <c r="E7" s="1">
        <v>8.0</v>
      </c>
      <c r="F7" s="7">
        <v>36.0</v>
      </c>
      <c r="G7" s="1" t="s">
        <v>27</v>
      </c>
      <c r="H7" s="8"/>
    </row>
    <row r="8">
      <c r="A8" s="1">
        <v>6.0</v>
      </c>
      <c r="B8" s="1" t="s">
        <v>37</v>
      </c>
      <c r="C8" s="1" t="s">
        <v>38</v>
      </c>
      <c r="D8" s="1" t="s">
        <v>39</v>
      </c>
      <c r="E8" s="1">
        <v>5.0</v>
      </c>
      <c r="F8" s="7">
        <v>37.0</v>
      </c>
      <c r="G8" s="1">
        <v>5.0</v>
      </c>
      <c r="H8" s="8">
        <f>ABS(E8-G8)</f>
        <v>0</v>
      </c>
      <c r="I8" s="7">
        <f>E8-G8</f>
        <v>0</v>
      </c>
    </row>
    <row r="9">
      <c r="A9" s="1">
        <v>7.0</v>
      </c>
      <c r="B9" s="1" t="s">
        <v>40</v>
      </c>
      <c r="C9" s="1" t="s">
        <v>41</v>
      </c>
      <c r="D9" s="1" t="s">
        <v>42</v>
      </c>
      <c r="E9" s="1">
        <v>7.0</v>
      </c>
      <c r="F9" s="7">
        <v>36.0</v>
      </c>
      <c r="G9" s="1" t="s">
        <v>27</v>
      </c>
      <c r="H9" s="8"/>
    </row>
    <row r="10">
      <c r="A10" s="1">
        <v>8.0</v>
      </c>
      <c r="B10" s="1" t="s">
        <v>43</v>
      </c>
      <c r="C10" s="1" t="s">
        <v>44</v>
      </c>
      <c r="D10" s="1" t="s">
        <v>45</v>
      </c>
      <c r="E10" s="1">
        <v>4.0</v>
      </c>
      <c r="F10" s="7">
        <v>35.0</v>
      </c>
      <c r="G10" s="1">
        <v>6.0</v>
      </c>
      <c r="H10" s="8">
        <f>ABS(E10-G10)</f>
        <v>2</v>
      </c>
      <c r="I10" s="7">
        <f>E10-G10</f>
        <v>-2</v>
      </c>
    </row>
    <row r="11">
      <c r="A11" s="1">
        <v>9.0</v>
      </c>
      <c r="B11" s="1" t="s">
        <v>46</v>
      </c>
      <c r="C11" s="1" t="s">
        <v>47</v>
      </c>
      <c r="D11" s="1" t="s">
        <v>48</v>
      </c>
      <c r="E11" s="1">
        <v>2.0</v>
      </c>
      <c r="F11" s="7">
        <v>36.0</v>
      </c>
      <c r="G11" s="1" t="s">
        <v>27</v>
      </c>
      <c r="H11" s="8"/>
    </row>
    <row r="12">
      <c r="A12" s="1">
        <v>10.0</v>
      </c>
      <c r="B12" s="1" t="s">
        <v>49</v>
      </c>
      <c r="C12" s="1" t="s">
        <v>15</v>
      </c>
      <c r="D12" s="1" t="s">
        <v>50</v>
      </c>
      <c r="E12" s="1">
        <v>8.0</v>
      </c>
      <c r="F12" s="7">
        <v>36.0</v>
      </c>
      <c r="G12" s="1">
        <v>5.0</v>
      </c>
      <c r="H12" s="8">
        <f>ABS(E12-G12)</f>
        <v>3</v>
      </c>
      <c r="I12" s="7">
        <f>E12-G12</f>
        <v>3</v>
      </c>
    </row>
    <row r="13">
      <c r="A13" s="1">
        <v>11.0</v>
      </c>
      <c r="B13" s="1" t="s">
        <v>51</v>
      </c>
      <c r="C13" s="1" t="s">
        <v>18</v>
      </c>
      <c r="D13" s="1" t="s">
        <v>52</v>
      </c>
      <c r="E13" s="1">
        <v>6.0</v>
      </c>
      <c r="F13" s="7">
        <v>36.0</v>
      </c>
      <c r="G13" s="1" t="s">
        <v>27</v>
      </c>
      <c r="H13" s="8"/>
    </row>
    <row r="14">
      <c r="A14" s="1">
        <v>12.0</v>
      </c>
      <c r="B14" s="1" t="s">
        <v>53</v>
      </c>
      <c r="C14" s="1" t="s">
        <v>25</v>
      </c>
      <c r="D14" s="1" t="s">
        <v>54</v>
      </c>
      <c r="E14" s="1">
        <v>8.0</v>
      </c>
      <c r="F14" s="7">
        <v>36.0</v>
      </c>
      <c r="G14" s="1">
        <v>7.0</v>
      </c>
      <c r="H14" s="8">
        <f t="shared" ref="H14:H16" si="4">ABS(E14-G14)</f>
        <v>1</v>
      </c>
      <c r="I14" s="7">
        <f t="shared" ref="I14:I16" si="5">E14-G14</f>
        <v>1</v>
      </c>
    </row>
    <row r="15">
      <c r="A15" s="1">
        <v>13.0</v>
      </c>
      <c r="B15" s="1" t="s">
        <v>55</v>
      </c>
      <c r="C15" s="1" t="s">
        <v>29</v>
      </c>
      <c r="D15" s="1" t="s">
        <v>56</v>
      </c>
      <c r="E15" s="1">
        <v>7.0</v>
      </c>
      <c r="F15" s="7">
        <v>36.0</v>
      </c>
      <c r="G15" s="1">
        <v>6.0</v>
      </c>
      <c r="H15" s="8">
        <f t="shared" si="4"/>
        <v>1</v>
      </c>
      <c r="I15" s="7">
        <f t="shared" si="5"/>
        <v>1</v>
      </c>
    </row>
    <row r="16">
      <c r="A16" s="1">
        <v>14.0</v>
      </c>
      <c r="B16" s="1" t="s">
        <v>57</v>
      </c>
      <c r="C16" s="1" t="s">
        <v>32</v>
      </c>
      <c r="D16" s="1" t="s">
        <v>58</v>
      </c>
      <c r="E16" s="1">
        <v>5.0</v>
      </c>
      <c r="F16" s="7">
        <v>36.0</v>
      </c>
      <c r="G16" s="1">
        <v>6.0</v>
      </c>
      <c r="H16" s="8">
        <f t="shared" si="4"/>
        <v>1</v>
      </c>
      <c r="I16" s="7">
        <f t="shared" si="5"/>
        <v>-1</v>
      </c>
    </row>
    <row r="17">
      <c r="A17" s="1">
        <v>15.0</v>
      </c>
      <c r="B17" s="1" t="s">
        <v>59</v>
      </c>
      <c r="C17" s="1" t="s">
        <v>35</v>
      </c>
      <c r="D17" s="1" t="s">
        <v>60</v>
      </c>
      <c r="E17" s="1">
        <v>8.0</v>
      </c>
      <c r="F17" s="7">
        <v>36.0</v>
      </c>
      <c r="G17" s="1" t="s">
        <v>27</v>
      </c>
      <c r="H17" s="8"/>
    </row>
    <row r="18">
      <c r="A18" s="1">
        <v>16.0</v>
      </c>
      <c r="B18" s="1" t="s">
        <v>61</v>
      </c>
      <c r="C18" s="1" t="s">
        <v>38</v>
      </c>
      <c r="D18" s="1" t="s">
        <v>62</v>
      </c>
      <c r="E18" s="1">
        <v>6.0</v>
      </c>
      <c r="F18" s="7">
        <v>36.0</v>
      </c>
      <c r="G18" s="1">
        <v>6.0</v>
      </c>
      <c r="H18" s="8">
        <f>ABS(E18-G18)</f>
        <v>0</v>
      </c>
      <c r="I18" s="7">
        <f>E18-G18</f>
        <v>0</v>
      </c>
    </row>
    <row r="19">
      <c r="A19" s="1">
        <v>17.0</v>
      </c>
      <c r="B19" s="1" t="s">
        <v>63</v>
      </c>
      <c r="C19" s="1" t="s">
        <v>41</v>
      </c>
      <c r="D19" s="1" t="s">
        <v>64</v>
      </c>
      <c r="E19" s="1">
        <v>7.0</v>
      </c>
      <c r="F19" s="7">
        <v>36.0</v>
      </c>
      <c r="G19" s="1" t="s">
        <v>27</v>
      </c>
      <c r="H19" s="8"/>
    </row>
    <row r="20">
      <c r="A20" s="1">
        <v>18.0</v>
      </c>
      <c r="B20" s="1" t="s">
        <v>65</v>
      </c>
      <c r="C20" s="1" t="s">
        <v>44</v>
      </c>
      <c r="D20" s="1" t="s">
        <v>66</v>
      </c>
      <c r="E20" s="1">
        <v>2.0</v>
      </c>
      <c r="F20" s="7">
        <v>35.0</v>
      </c>
      <c r="G20" s="1">
        <v>5.0</v>
      </c>
      <c r="H20" s="8">
        <f t="shared" ref="H20:H22" si="6">ABS(E20-G20)</f>
        <v>3</v>
      </c>
      <c r="I20" s="7">
        <f t="shared" ref="I20:I22" si="7">E20-G20</f>
        <v>-3</v>
      </c>
    </row>
    <row r="21">
      <c r="A21" s="1">
        <v>19.0</v>
      </c>
      <c r="B21" s="1" t="s">
        <v>67</v>
      </c>
      <c r="C21" s="1" t="s">
        <v>47</v>
      </c>
      <c r="D21" s="1" t="s">
        <v>68</v>
      </c>
      <c r="E21" s="1">
        <v>6.0</v>
      </c>
      <c r="F21" s="7">
        <v>35.0</v>
      </c>
      <c r="G21" s="1">
        <v>7.0</v>
      </c>
      <c r="H21" s="8">
        <f t="shared" si="6"/>
        <v>1</v>
      </c>
      <c r="I21" s="7">
        <f t="shared" si="7"/>
        <v>-1</v>
      </c>
    </row>
    <row r="22">
      <c r="A22" s="1">
        <v>20.0</v>
      </c>
      <c r="B22" s="1" t="s">
        <v>69</v>
      </c>
      <c r="C22" s="1" t="s">
        <v>15</v>
      </c>
      <c r="D22" s="1" t="s">
        <v>70</v>
      </c>
      <c r="E22" s="1">
        <v>10.0</v>
      </c>
      <c r="F22" s="7">
        <v>36.0</v>
      </c>
      <c r="G22" s="1">
        <v>5.0</v>
      </c>
      <c r="H22" s="8">
        <f t="shared" si="6"/>
        <v>5</v>
      </c>
      <c r="I22" s="7">
        <f t="shared" si="7"/>
        <v>5</v>
      </c>
    </row>
    <row r="23">
      <c r="A23" s="1">
        <v>21.0</v>
      </c>
      <c r="B23" s="1" t="s">
        <v>71</v>
      </c>
      <c r="C23" s="1" t="s">
        <v>18</v>
      </c>
      <c r="D23" s="1" t="s">
        <v>72</v>
      </c>
      <c r="E23" s="1">
        <v>9.0</v>
      </c>
      <c r="F23" s="7">
        <v>36.0</v>
      </c>
      <c r="G23" s="1" t="s">
        <v>27</v>
      </c>
      <c r="H23" s="8"/>
    </row>
    <row r="24">
      <c r="A24" s="1">
        <v>22.0</v>
      </c>
      <c r="B24" s="1" t="s">
        <v>73</v>
      </c>
      <c r="C24" s="1" t="s">
        <v>25</v>
      </c>
      <c r="D24" s="1" t="s">
        <v>74</v>
      </c>
      <c r="E24" s="1">
        <v>6.0</v>
      </c>
      <c r="F24" s="7">
        <v>36.0</v>
      </c>
      <c r="G24" s="1" t="s">
        <v>27</v>
      </c>
      <c r="H24" s="8"/>
    </row>
    <row r="25">
      <c r="A25" s="1">
        <v>23.0</v>
      </c>
      <c r="B25" s="1" t="s">
        <v>75</v>
      </c>
      <c r="C25" s="1" t="s">
        <v>29</v>
      </c>
      <c r="D25" s="1" t="s">
        <v>76</v>
      </c>
      <c r="E25" s="1">
        <v>8.0</v>
      </c>
      <c r="F25" s="7">
        <v>36.0</v>
      </c>
      <c r="G25" s="1">
        <v>6.0</v>
      </c>
      <c r="H25" s="8">
        <f>ABS(E25-G25)</f>
        <v>2</v>
      </c>
      <c r="I25" s="7">
        <f>E25-G25</f>
        <v>2</v>
      </c>
    </row>
    <row r="26">
      <c r="A26" s="1">
        <v>24.0</v>
      </c>
      <c r="B26" s="1" t="s">
        <v>77</v>
      </c>
      <c r="C26" s="1" t="s">
        <v>32</v>
      </c>
      <c r="D26" s="1" t="s">
        <v>78</v>
      </c>
      <c r="E26" s="1">
        <v>7.0</v>
      </c>
      <c r="F26" s="7">
        <v>35.0</v>
      </c>
      <c r="G26" s="1" t="s">
        <v>27</v>
      </c>
      <c r="H26" s="8"/>
    </row>
    <row r="27">
      <c r="A27" s="1">
        <v>25.0</v>
      </c>
      <c r="B27" s="1" t="s">
        <v>79</v>
      </c>
      <c r="C27" s="1" t="s">
        <v>35</v>
      </c>
      <c r="D27" s="1" t="s">
        <v>80</v>
      </c>
      <c r="E27" s="1">
        <v>8.0</v>
      </c>
      <c r="F27" s="7">
        <v>36.0</v>
      </c>
      <c r="G27" s="1">
        <v>6.0</v>
      </c>
      <c r="H27" s="8">
        <f t="shared" ref="H27:H29" si="8">ABS(E27-G27)</f>
        <v>2</v>
      </c>
      <c r="I27" s="7">
        <f t="shared" ref="I27:I29" si="9">E27-G27</f>
        <v>2</v>
      </c>
    </row>
    <row r="28">
      <c r="A28" s="1">
        <v>26.0</v>
      </c>
      <c r="B28" s="1" t="s">
        <v>81</v>
      </c>
      <c r="C28" s="1" t="s">
        <v>38</v>
      </c>
      <c r="D28" s="1" t="s">
        <v>82</v>
      </c>
      <c r="E28" s="1">
        <v>6.0</v>
      </c>
      <c r="F28" s="7">
        <v>36.0</v>
      </c>
      <c r="G28" s="1">
        <v>6.0</v>
      </c>
      <c r="H28" s="8">
        <f t="shared" si="8"/>
        <v>0</v>
      </c>
      <c r="I28" s="7">
        <f t="shared" si="9"/>
        <v>0</v>
      </c>
    </row>
    <row r="29">
      <c r="A29" s="1">
        <v>27.0</v>
      </c>
      <c r="B29" s="1" t="s">
        <v>83</v>
      </c>
      <c r="C29" s="1" t="s">
        <v>44</v>
      </c>
      <c r="D29" s="1" t="s">
        <v>84</v>
      </c>
      <c r="E29" s="1">
        <v>5.0</v>
      </c>
      <c r="F29" s="7">
        <v>36.0</v>
      </c>
      <c r="G29" s="1">
        <v>6.0</v>
      </c>
      <c r="H29" s="8">
        <f t="shared" si="8"/>
        <v>1</v>
      </c>
      <c r="I29" s="7">
        <f t="shared" si="9"/>
        <v>-1</v>
      </c>
    </row>
    <row r="30">
      <c r="A30" s="1">
        <v>28.0</v>
      </c>
      <c r="B30" s="1" t="s">
        <v>85</v>
      </c>
      <c r="C30" s="1" t="s">
        <v>47</v>
      </c>
      <c r="D30" s="1" t="s">
        <v>86</v>
      </c>
      <c r="E30" s="1">
        <v>6.0</v>
      </c>
      <c r="F30" s="7">
        <v>35.0</v>
      </c>
      <c r="G30" s="1" t="s">
        <v>27</v>
      </c>
      <c r="H30" s="8"/>
    </row>
    <row r="31">
      <c r="A31" s="1">
        <v>29.0</v>
      </c>
      <c r="B31" s="1" t="s">
        <v>87</v>
      </c>
      <c r="C31" s="1" t="s">
        <v>15</v>
      </c>
      <c r="D31" s="1" t="s">
        <v>88</v>
      </c>
      <c r="E31" s="1">
        <v>10.0</v>
      </c>
      <c r="F31" s="7">
        <v>36.0</v>
      </c>
      <c r="G31" s="1" t="s">
        <v>27</v>
      </c>
      <c r="H31" s="8"/>
    </row>
    <row r="32">
      <c r="A32" s="1">
        <v>30.0</v>
      </c>
      <c r="B32" s="1" t="s">
        <v>89</v>
      </c>
      <c r="C32" s="1" t="s">
        <v>18</v>
      </c>
      <c r="D32" s="1" t="s">
        <v>90</v>
      </c>
      <c r="E32" s="1">
        <v>8.0</v>
      </c>
      <c r="F32" s="7">
        <v>35.0</v>
      </c>
      <c r="G32" s="1" t="s">
        <v>27</v>
      </c>
      <c r="H32" s="8"/>
    </row>
    <row r="33">
      <c r="A33" s="1">
        <v>31.0</v>
      </c>
      <c r="B33" s="1" t="s">
        <v>91</v>
      </c>
      <c r="C33" s="1" t="s">
        <v>25</v>
      </c>
      <c r="D33" s="1" t="s">
        <v>92</v>
      </c>
      <c r="E33" s="1">
        <v>6.0</v>
      </c>
      <c r="F33" s="7">
        <v>36.0</v>
      </c>
      <c r="G33" s="1" t="s">
        <v>27</v>
      </c>
      <c r="H33" s="8"/>
    </row>
    <row r="34">
      <c r="A34" s="1">
        <v>32.0</v>
      </c>
      <c r="B34" s="1" t="s">
        <v>93</v>
      </c>
      <c r="C34" s="1" t="s">
        <v>29</v>
      </c>
      <c r="D34" s="1" t="s">
        <v>94</v>
      </c>
      <c r="E34" s="1">
        <v>8.0</v>
      </c>
      <c r="F34" s="7">
        <v>35.0</v>
      </c>
      <c r="G34" s="1">
        <v>7.0</v>
      </c>
      <c r="H34" s="8">
        <f>ABS(E34-G34)</f>
        <v>1</v>
      </c>
      <c r="I34" s="7">
        <f>E34-G34</f>
        <v>1</v>
      </c>
    </row>
    <row r="35">
      <c r="A35" s="1">
        <v>33.0</v>
      </c>
      <c r="B35" s="1" t="s">
        <v>95</v>
      </c>
      <c r="C35" s="1" t="s">
        <v>32</v>
      </c>
      <c r="D35" s="1" t="s">
        <v>96</v>
      </c>
      <c r="E35" s="1">
        <v>9.0</v>
      </c>
      <c r="F35" s="7">
        <v>36.0</v>
      </c>
      <c r="G35" s="1" t="s">
        <v>27</v>
      </c>
      <c r="H35" s="8"/>
    </row>
    <row r="36">
      <c r="A36" s="1">
        <v>34.0</v>
      </c>
      <c r="B36" s="1" t="s">
        <v>97</v>
      </c>
      <c r="C36" s="1" t="s">
        <v>35</v>
      </c>
      <c r="D36" s="1" t="s">
        <v>98</v>
      </c>
      <c r="E36" s="1">
        <v>4.0</v>
      </c>
      <c r="F36" s="7">
        <v>35.0</v>
      </c>
      <c r="G36" s="1" t="s">
        <v>27</v>
      </c>
      <c r="H36" s="8"/>
    </row>
    <row r="37">
      <c r="A37" s="1">
        <v>35.0</v>
      </c>
      <c r="B37" s="1" t="s">
        <v>99</v>
      </c>
      <c r="C37" s="1" t="s">
        <v>38</v>
      </c>
      <c r="D37" s="1" t="s">
        <v>100</v>
      </c>
      <c r="E37" s="1">
        <v>6.0</v>
      </c>
      <c r="F37" s="7">
        <v>36.0</v>
      </c>
      <c r="G37" s="1" t="s">
        <v>27</v>
      </c>
      <c r="H37" s="8"/>
    </row>
    <row r="38">
      <c r="A38" s="1">
        <v>36.0</v>
      </c>
      <c r="B38" s="1" t="s">
        <v>101</v>
      </c>
      <c r="C38" s="1" t="s">
        <v>41</v>
      </c>
      <c r="D38" s="1" t="s">
        <v>102</v>
      </c>
      <c r="E38" s="1">
        <v>3.0</v>
      </c>
      <c r="F38" s="7">
        <v>34.0</v>
      </c>
      <c r="G38" s="1">
        <v>5.0</v>
      </c>
      <c r="H38" s="8">
        <f t="shared" ref="H38:H43" si="10">ABS(E38-G38)</f>
        <v>2</v>
      </c>
      <c r="I38" s="7">
        <f t="shared" ref="I38:I43" si="11">E38-G38</f>
        <v>-2</v>
      </c>
    </row>
    <row r="39">
      <c r="A39" s="1">
        <v>37.0</v>
      </c>
      <c r="B39" s="1" t="s">
        <v>103</v>
      </c>
      <c r="C39" s="1" t="s">
        <v>44</v>
      </c>
      <c r="D39" s="1" t="s">
        <v>104</v>
      </c>
      <c r="E39" s="1">
        <v>4.0</v>
      </c>
      <c r="F39" s="7">
        <v>35.0</v>
      </c>
      <c r="G39" s="1">
        <v>6.0</v>
      </c>
      <c r="H39" s="8">
        <f t="shared" si="10"/>
        <v>2</v>
      </c>
      <c r="I39" s="7">
        <f t="shared" si="11"/>
        <v>-2</v>
      </c>
    </row>
    <row r="40">
      <c r="A40" s="1">
        <v>38.0</v>
      </c>
      <c r="B40" s="1" t="s">
        <v>105</v>
      </c>
      <c r="C40" s="1" t="s">
        <v>47</v>
      </c>
      <c r="D40" s="1" t="s">
        <v>106</v>
      </c>
      <c r="E40" s="1">
        <v>7.0</v>
      </c>
      <c r="F40" s="7">
        <v>35.0</v>
      </c>
      <c r="G40" s="1">
        <v>4.0</v>
      </c>
      <c r="H40" s="8">
        <f t="shared" si="10"/>
        <v>3</v>
      </c>
      <c r="I40" s="7">
        <f t="shared" si="11"/>
        <v>3</v>
      </c>
    </row>
    <row r="41">
      <c r="A41" s="1">
        <v>39.0</v>
      </c>
      <c r="B41" s="1" t="s">
        <v>107</v>
      </c>
      <c r="C41" s="1" t="s">
        <v>15</v>
      </c>
      <c r="D41" s="1" t="s">
        <v>108</v>
      </c>
      <c r="E41" s="1">
        <v>9.0</v>
      </c>
      <c r="F41" s="7">
        <v>36.0</v>
      </c>
      <c r="G41" s="1">
        <v>6.0</v>
      </c>
      <c r="H41" s="8">
        <f t="shared" si="10"/>
        <v>3</v>
      </c>
      <c r="I41" s="7">
        <f t="shared" si="11"/>
        <v>3</v>
      </c>
    </row>
    <row r="42">
      <c r="A42" s="1">
        <v>40.0</v>
      </c>
      <c r="B42" s="1" t="s">
        <v>109</v>
      </c>
      <c r="C42" s="1" t="s">
        <v>18</v>
      </c>
      <c r="D42" s="1" t="s">
        <v>110</v>
      </c>
      <c r="E42" s="1">
        <v>6.0</v>
      </c>
      <c r="F42" s="7">
        <v>35.0</v>
      </c>
      <c r="G42" s="1">
        <v>5.0</v>
      </c>
      <c r="H42" s="8">
        <f t="shared" si="10"/>
        <v>1</v>
      </c>
      <c r="I42" s="7">
        <f t="shared" si="11"/>
        <v>1</v>
      </c>
    </row>
    <row r="43">
      <c r="A43" s="1">
        <v>41.0</v>
      </c>
      <c r="B43" s="1" t="s">
        <v>111</v>
      </c>
      <c r="C43" s="1" t="s">
        <v>25</v>
      </c>
      <c r="D43" s="1" t="s">
        <v>112</v>
      </c>
      <c r="E43" s="1">
        <v>3.0</v>
      </c>
      <c r="F43" s="7">
        <v>35.0</v>
      </c>
      <c r="G43" s="1">
        <v>4.0</v>
      </c>
      <c r="H43" s="8">
        <f t="shared" si="10"/>
        <v>1</v>
      </c>
      <c r="I43" s="7">
        <f t="shared" si="11"/>
        <v>-1</v>
      </c>
    </row>
    <row r="44">
      <c r="A44" s="1">
        <v>42.0</v>
      </c>
      <c r="B44" s="1" t="s">
        <v>113</v>
      </c>
      <c r="C44" s="1" t="s">
        <v>32</v>
      </c>
      <c r="D44" s="1" t="s">
        <v>114</v>
      </c>
      <c r="E44" s="1">
        <v>8.0</v>
      </c>
      <c r="F44" s="7">
        <v>35.0</v>
      </c>
      <c r="G44" s="1" t="s">
        <v>27</v>
      </c>
      <c r="H44" s="8"/>
    </row>
    <row r="45">
      <c r="A45" s="1">
        <v>43.0</v>
      </c>
      <c r="B45" s="1" t="s">
        <v>115</v>
      </c>
      <c r="C45" s="1" t="s">
        <v>35</v>
      </c>
      <c r="D45" s="1" t="s">
        <v>116</v>
      </c>
      <c r="E45" s="1">
        <v>5.0</v>
      </c>
      <c r="F45" s="7">
        <v>36.0</v>
      </c>
      <c r="G45" s="1" t="s">
        <v>27</v>
      </c>
      <c r="H45" s="8"/>
    </row>
    <row r="46">
      <c r="A46" s="1">
        <v>44.0</v>
      </c>
      <c r="B46" s="1" t="s">
        <v>117</v>
      </c>
      <c r="C46" s="1" t="s">
        <v>38</v>
      </c>
      <c r="D46" s="1" t="s">
        <v>118</v>
      </c>
      <c r="E46" s="1">
        <v>7.0</v>
      </c>
      <c r="F46" s="7">
        <v>37.0</v>
      </c>
      <c r="G46" s="1" t="s">
        <v>27</v>
      </c>
      <c r="H46" s="8"/>
    </row>
    <row r="47">
      <c r="A47" s="1">
        <v>45.0</v>
      </c>
      <c r="B47" s="1" t="s">
        <v>119</v>
      </c>
      <c r="C47" s="1" t="s">
        <v>41</v>
      </c>
      <c r="D47" s="1" t="s">
        <v>120</v>
      </c>
      <c r="E47" s="1">
        <v>6.0</v>
      </c>
      <c r="F47" s="7">
        <v>36.0</v>
      </c>
      <c r="G47" s="1" t="s">
        <v>27</v>
      </c>
      <c r="H47" s="8"/>
    </row>
    <row r="48">
      <c r="A48" s="1">
        <v>46.0</v>
      </c>
      <c r="B48" s="1" t="s">
        <v>121</v>
      </c>
      <c r="C48" s="1" t="s">
        <v>44</v>
      </c>
      <c r="D48" s="1" t="s">
        <v>122</v>
      </c>
      <c r="E48" s="1">
        <v>6.0</v>
      </c>
      <c r="F48" s="7">
        <v>35.0</v>
      </c>
      <c r="G48" s="1">
        <v>5.0</v>
      </c>
      <c r="H48" s="8">
        <f t="shared" ref="H48:H49" si="12">ABS(E48-G48)</f>
        <v>1</v>
      </c>
      <c r="I48" s="7">
        <f t="shared" ref="I48:I49" si="13">E48-G48</f>
        <v>1</v>
      </c>
    </row>
    <row r="49">
      <c r="A49" s="1">
        <v>47.0</v>
      </c>
      <c r="B49" s="1" t="s">
        <v>123</v>
      </c>
      <c r="C49" s="1" t="s">
        <v>47</v>
      </c>
      <c r="D49" s="1" t="s">
        <v>124</v>
      </c>
      <c r="E49" s="1">
        <v>6.0</v>
      </c>
      <c r="F49" s="7">
        <v>36.0</v>
      </c>
      <c r="G49" s="1">
        <v>5.0</v>
      </c>
      <c r="H49" s="8">
        <f t="shared" si="12"/>
        <v>1</v>
      </c>
      <c r="I49" s="7">
        <f t="shared" si="13"/>
        <v>1</v>
      </c>
    </row>
    <row r="50">
      <c r="A50" s="1">
        <v>48.0</v>
      </c>
      <c r="B50" s="1" t="s">
        <v>125</v>
      </c>
      <c r="C50" s="1" t="s">
        <v>15</v>
      </c>
      <c r="D50" s="1" t="s">
        <v>126</v>
      </c>
      <c r="E50" s="1">
        <v>10.0</v>
      </c>
      <c r="F50" s="7">
        <v>36.0</v>
      </c>
      <c r="G50" s="1" t="s">
        <v>27</v>
      </c>
      <c r="H50" s="8"/>
    </row>
    <row r="51">
      <c r="A51" s="1">
        <v>49.0</v>
      </c>
      <c r="B51" s="1" t="s">
        <v>127</v>
      </c>
      <c r="C51" s="1" t="s">
        <v>18</v>
      </c>
      <c r="D51" s="1" t="s">
        <v>128</v>
      </c>
      <c r="E51" s="1">
        <v>10.0</v>
      </c>
      <c r="F51" s="7">
        <v>36.0</v>
      </c>
      <c r="G51" s="1" t="s">
        <v>27</v>
      </c>
      <c r="H51" s="8"/>
    </row>
    <row r="52">
      <c r="A52" s="1">
        <v>50.0</v>
      </c>
      <c r="B52" s="1" t="s">
        <v>129</v>
      </c>
      <c r="C52" s="1" t="s">
        <v>25</v>
      </c>
      <c r="D52" s="1" t="s">
        <v>130</v>
      </c>
      <c r="E52" s="1">
        <v>9.0</v>
      </c>
      <c r="F52" s="7">
        <v>36.0</v>
      </c>
      <c r="G52" s="1">
        <v>7.0</v>
      </c>
      <c r="H52" s="8">
        <f t="shared" ref="H52:H53" si="14">ABS(E52-G52)</f>
        <v>2</v>
      </c>
      <c r="I52" s="7">
        <f t="shared" ref="I52:I53" si="15">E52-G52</f>
        <v>2</v>
      </c>
    </row>
    <row r="53">
      <c r="A53" s="1">
        <v>51.0</v>
      </c>
      <c r="B53" s="1" t="s">
        <v>131</v>
      </c>
      <c r="C53" s="1" t="s">
        <v>29</v>
      </c>
      <c r="D53" s="1" t="s">
        <v>132</v>
      </c>
      <c r="E53" s="1">
        <v>9.0</v>
      </c>
      <c r="F53" s="7">
        <v>35.0</v>
      </c>
      <c r="G53" s="1">
        <v>4.0</v>
      </c>
      <c r="H53" s="8">
        <f t="shared" si="14"/>
        <v>5</v>
      </c>
      <c r="I53" s="7">
        <f t="shared" si="15"/>
        <v>5</v>
      </c>
    </row>
    <row r="54">
      <c r="A54" s="1">
        <v>52.0</v>
      </c>
      <c r="B54" s="1" t="s">
        <v>133</v>
      </c>
      <c r="C54" s="1" t="s">
        <v>32</v>
      </c>
      <c r="D54" s="1" t="s">
        <v>134</v>
      </c>
      <c r="E54" s="1">
        <v>8.0</v>
      </c>
      <c r="F54" s="7">
        <v>35.0</v>
      </c>
      <c r="G54" s="1" t="s">
        <v>27</v>
      </c>
      <c r="H54" s="8"/>
    </row>
    <row r="55">
      <c r="A55" s="1">
        <v>53.0</v>
      </c>
      <c r="B55" s="1" t="s">
        <v>135</v>
      </c>
      <c r="C55" s="1" t="s">
        <v>35</v>
      </c>
      <c r="D55" s="1" t="s">
        <v>136</v>
      </c>
      <c r="E55" s="1">
        <v>8.0</v>
      </c>
      <c r="F55" s="7">
        <v>35.0</v>
      </c>
      <c r="G55" s="1" t="s">
        <v>27</v>
      </c>
      <c r="H55" s="8"/>
    </row>
    <row r="56">
      <c r="A56" s="1">
        <v>54.0</v>
      </c>
      <c r="B56" s="1" t="s">
        <v>137</v>
      </c>
      <c r="C56" s="1" t="s">
        <v>38</v>
      </c>
      <c r="D56" s="1" t="s">
        <v>138</v>
      </c>
      <c r="E56" s="1">
        <v>6.0</v>
      </c>
      <c r="F56" s="7">
        <v>37.0</v>
      </c>
      <c r="G56" s="1">
        <v>6.0</v>
      </c>
      <c r="H56" s="8">
        <f t="shared" ref="H56:H59" si="16">ABS(E56-G56)</f>
        <v>0</v>
      </c>
      <c r="I56" s="7">
        <f t="shared" ref="I56:I59" si="17">E56-G56</f>
        <v>0</v>
      </c>
    </row>
    <row r="57">
      <c r="A57" s="1">
        <v>55.0</v>
      </c>
      <c r="B57" s="1" t="s">
        <v>139</v>
      </c>
      <c r="C57" s="1" t="s">
        <v>41</v>
      </c>
      <c r="D57" s="1" t="s">
        <v>140</v>
      </c>
      <c r="E57" s="1">
        <v>5.0</v>
      </c>
      <c r="F57" s="7">
        <v>37.0</v>
      </c>
      <c r="G57" s="1">
        <v>6.0</v>
      </c>
      <c r="H57" s="8">
        <f t="shared" si="16"/>
        <v>1</v>
      </c>
      <c r="I57" s="7">
        <f t="shared" si="17"/>
        <v>-1</v>
      </c>
    </row>
    <row r="58">
      <c r="A58" s="1">
        <v>56.0</v>
      </c>
      <c r="B58" s="1" t="s">
        <v>141</v>
      </c>
      <c r="C58" s="1" t="s">
        <v>44</v>
      </c>
      <c r="D58" s="1" t="s">
        <v>142</v>
      </c>
      <c r="E58" s="1">
        <v>6.0</v>
      </c>
      <c r="F58" s="7">
        <v>37.0</v>
      </c>
      <c r="G58" s="1">
        <v>6.0</v>
      </c>
      <c r="H58" s="8">
        <f t="shared" si="16"/>
        <v>0</v>
      </c>
      <c r="I58" s="7">
        <f t="shared" si="17"/>
        <v>0</v>
      </c>
    </row>
    <row r="59">
      <c r="A59" s="1">
        <v>57.0</v>
      </c>
      <c r="B59" s="1" t="s">
        <v>143</v>
      </c>
      <c r="C59" s="1" t="s">
        <v>47</v>
      </c>
      <c r="D59" s="1" t="s">
        <v>144</v>
      </c>
      <c r="E59" s="1">
        <v>4.0</v>
      </c>
      <c r="F59" s="7">
        <v>37.0</v>
      </c>
      <c r="G59" s="1">
        <v>5.0</v>
      </c>
      <c r="H59" s="8">
        <f t="shared" si="16"/>
        <v>1</v>
      </c>
      <c r="I59" s="7">
        <f t="shared" si="17"/>
        <v>-1</v>
      </c>
    </row>
    <row r="60">
      <c r="A60" s="1">
        <v>58.0</v>
      </c>
      <c r="B60" s="1" t="s">
        <v>145</v>
      </c>
      <c r="C60" s="1" t="s">
        <v>15</v>
      </c>
      <c r="D60" s="1" t="s">
        <v>146</v>
      </c>
      <c r="E60" s="1">
        <v>5.0</v>
      </c>
      <c r="F60" s="7">
        <v>36.0</v>
      </c>
      <c r="G60" s="1" t="s">
        <v>27</v>
      </c>
      <c r="H60" s="8"/>
    </row>
    <row r="61">
      <c r="A61" s="1">
        <v>59.0</v>
      </c>
      <c r="B61" s="1" t="s">
        <v>147</v>
      </c>
      <c r="C61" s="1" t="s">
        <v>18</v>
      </c>
      <c r="D61" s="1" t="s">
        <v>148</v>
      </c>
      <c r="E61" s="1">
        <v>7.0</v>
      </c>
      <c r="F61" s="7">
        <v>35.0</v>
      </c>
      <c r="G61" s="1">
        <v>6.0</v>
      </c>
      <c r="H61" s="8">
        <f>ABS(E61-G61)</f>
        <v>1</v>
      </c>
      <c r="I61" s="7">
        <f>E61-G61</f>
        <v>1</v>
      </c>
    </row>
    <row r="62">
      <c r="A62" s="1">
        <v>60.0</v>
      </c>
      <c r="B62" s="1" t="s">
        <v>149</v>
      </c>
      <c r="C62" s="1" t="s">
        <v>25</v>
      </c>
      <c r="D62" s="1" t="s">
        <v>150</v>
      </c>
      <c r="E62" s="1">
        <v>6.0</v>
      </c>
      <c r="F62" s="7">
        <v>37.0</v>
      </c>
      <c r="G62" s="1" t="s">
        <v>27</v>
      </c>
      <c r="H62" s="8"/>
    </row>
    <row r="63">
      <c r="A63" s="1">
        <v>61.0</v>
      </c>
      <c r="B63" s="1" t="s">
        <v>151</v>
      </c>
      <c r="C63" s="1" t="s">
        <v>29</v>
      </c>
      <c r="D63" s="1" t="s">
        <v>152</v>
      </c>
      <c r="E63" s="1">
        <v>2.0</v>
      </c>
      <c r="F63" s="7">
        <v>36.0</v>
      </c>
      <c r="G63" s="1" t="s">
        <v>27</v>
      </c>
      <c r="H63" s="8"/>
    </row>
    <row r="64">
      <c r="A64" s="1">
        <v>62.0</v>
      </c>
      <c r="B64" s="1" t="s">
        <v>153</v>
      </c>
      <c r="C64" s="1" t="s">
        <v>32</v>
      </c>
      <c r="D64" s="1" t="s">
        <v>154</v>
      </c>
      <c r="E64" s="1">
        <v>7.0</v>
      </c>
      <c r="F64" s="7">
        <v>36.0</v>
      </c>
      <c r="G64" s="1" t="s">
        <v>27</v>
      </c>
      <c r="H64" s="8"/>
    </row>
    <row r="65">
      <c r="A65" s="1">
        <v>63.0</v>
      </c>
      <c r="B65" s="1" t="s">
        <v>155</v>
      </c>
      <c r="C65" s="1" t="s">
        <v>35</v>
      </c>
      <c r="D65" s="1" t="s">
        <v>156</v>
      </c>
      <c r="E65" s="1">
        <v>8.0</v>
      </c>
      <c r="F65" s="7">
        <v>36.0</v>
      </c>
      <c r="G65" s="1">
        <v>8.0</v>
      </c>
      <c r="H65" s="8">
        <f t="shared" ref="H65:H66" si="18">ABS(E65-G65)</f>
        <v>0</v>
      </c>
      <c r="I65" s="7">
        <f t="shared" ref="I65:I66" si="19">E65-G65</f>
        <v>0</v>
      </c>
    </row>
    <row r="66">
      <c r="A66" s="1">
        <v>64.0</v>
      </c>
      <c r="B66" s="1" t="s">
        <v>157</v>
      </c>
      <c r="C66" s="1" t="s">
        <v>38</v>
      </c>
      <c r="D66" s="1" t="s">
        <v>158</v>
      </c>
      <c r="E66" s="1">
        <v>5.0</v>
      </c>
      <c r="F66" s="7">
        <v>36.0</v>
      </c>
      <c r="G66" s="1">
        <v>5.0</v>
      </c>
      <c r="H66" s="8">
        <f t="shared" si="18"/>
        <v>0</v>
      </c>
      <c r="I66" s="7">
        <f t="shared" si="19"/>
        <v>0</v>
      </c>
    </row>
    <row r="67">
      <c r="A67" s="1">
        <v>65.0</v>
      </c>
      <c r="B67" s="1" t="s">
        <v>159</v>
      </c>
      <c r="C67" s="1" t="s">
        <v>41</v>
      </c>
      <c r="D67" s="1" t="s">
        <v>160</v>
      </c>
      <c r="E67" s="1">
        <v>4.0</v>
      </c>
      <c r="F67" s="7">
        <v>35.0</v>
      </c>
      <c r="G67" s="1" t="s">
        <v>27</v>
      </c>
      <c r="H67" s="8"/>
    </row>
    <row r="68">
      <c r="A68" s="1">
        <v>66.0</v>
      </c>
      <c r="B68" s="1" t="s">
        <v>161</v>
      </c>
      <c r="C68" s="1" t="s">
        <v>44</v>
      </c>
      <c r="D68" s="1" t="s">
        <v>162</v>
      </c>
      <c r="E68" s="1">
        <v>7.0</v>
      </c>
      <c r="F68" s="7">
        <v>36.0</v>
      </c>
      <c r="G68" s="1" t="s">
        <v>27</v>
      </c>
      <c r="H68" s="8"/>
    </row>
    <row r="69">
      <c r="A69" s="1">
        <v>67.0</v>
      </c>
      <c r="B69" s="1" t="s">
        <v>163</v>
      </c>
      <c r="C69" s="1" t="s">
        <v>47</v>
      </c>
      <c r="D69" s="1" t="s">
        <v>164</v>
      </c>
      <c r="E69" s="1">
        <v>6.0</v>
      </c>
      <c r="F69" s="7">
        <v>36.0</v>
      </c>
      <c r="G69" s="1">
        <v>6.0</v>
      </c>
      <c r="H69" s="8">
        <f t="shared" ref="H69:H71" si="20">ABS(E69-G69)</f>
        <v>0</v>
      </c>
      <c r="I69" s="7">
        <f t="shared" ref="I69:I71" si="21">E69-G69</f>
        <v>0</v>
      </c>
    </row>
    <row r="70">
      <c r="A70" s="1">
        <v>68.0</v>
      </c>
      <c r="B70" s="1" t="s">
        <v>165</v>
      </c>
      <c r="C70" s="1" t="s">
        <v>15</v>
      </c>
      <c r="D70" s="1" t="s">
        <v>166</v>
      </c>
      <c r="E70" s="1">
        <v>8.0</v>
      </c>
      <c r="F70" s="7">
        <v>37.0</v>
      </c>
      <c r="G70" s="1">
        <v>7.0</v>
      </c>
      <c r="H70" s="8">
        <f t="shared" si="20"/>
        <v>1</v>
      </c>
      <c r="I70" s="7">
        <f t="shared" si="21"/>
        <v>1</v>
      </c>
    </row>
    <row r="71">
      <c r="A71" s="1">
        <v>69.0</v>
      </c>
      <c r="B71" s="1" t="s">
        <v>167</v>
      </c>
      <c r="C71" s="1" t="s">
        <v>18</v>
      </c>
      <c r="D71" s="1" t="s">
        <v>168</v>
      </c>
      <c r="E71" s="1">
        <v>6.0</v>
      </c>
      <c r="F71" s="7">
        <v>36.0</v>
      </c>
      <c r="G71" s="1">
        <v>6.0</v>
      </c>
      <c r="H71" s="8">
        <f t="shared" si="20"/>
        <v>0</v>
      </c>
      <c r="I71" s="7">
        <f t="shared" si="21"/>
        <v>0</v>
      </c>
    </row>
    <row r="72">
      <c r="A72" s="1">
        <v>70.0</v>
      </c>
      <c r="B72" s="1" t="s">
        <v>169</v>
      </c>
      <c r="C72" s="1" t="s">
        <v>25</v>
      </c>
      <c r="D72" s="1" t="s">
        <v>170</v>
      </c>
      <c r="E72" s="1">
        <v>6.0</v>
      </c>
      <c r="F72" s="7">
        <v>35.0</v>
      </c>
      <c r="G72" s="1" t="s">
        <v>27</v>
      </c>
      <c r="H72" s="8"/>
    </row>
    <row r="73">
      <c r="A73" s="1">
        <v>71.0</v>
      </c>
      <c r="B73" s="1" t="s">
        <v>171</v>
      </c>
      <c r="C73" s="1" t="s">
        <v>29</v>
      </c>
      <c r="D73" s="1" t="s">
        <v>172</v>
      </c>
      <c r="E73" s="1">
        <v>5.0</v>
      </c>
      <c r="F73" s="7">
        <v>36.0</v>
      </c>
      <c r="G73" s="1">
        <v>4.0</v>
      </c>
      <c r="H73" s="8">
        <f t="shared" ref="H73:H74" si="22">ABS(E73-G73)</f>
        <v>1</v>
      </c>
      <c r="I73" s="7">
        <f t="shared" ref="I73:I74" si="23">E73-G73</f>
        <v>1</v>
      </c>
    </row>
    <row r="74">
      <c r="A74" s="1">
        <v>72.0</v>
      </c>
      <c r="B74" s="1" t="s">
        <v>173</v>
      </c>
      <c r="C74" s="1" t="s">
        <v>32</v>
      </c>
      <c r="D74" s="1" t="s">
        <v>174</v>
      </c>
      <c r="E74" s="1">
        <v>7.0</v>
      </c>
      <c r="F74" s="7">
        <v>37.0</v>
      </c>
      <c r="G74" s="1">
        <v>6.0</v>
      </c>
      <c r="H74" s="8">
        <f t="shared" si="22"/>
        <v>1</v>
      </c>
      <c r="I74" s="7">
        <f t="shared" si="23"/>
        <v>1</v>
      </c>
    </row>
    <row r="75">
      <c r="A75" s="1">
        <v>73.0</v>
      </c>
      <c r="B75" s="1" t="s">
        <v>175</v>
      </c>
      <c r="C75" s="1" t="s">
        <v>35</v>
      </c>
      <c r="D75" s="1" t="s">
        <v>176</v>
      </c>
      <c r="E75" s="1">
        <v>5.0</v>
      </c>
      <c r="F75" s="7">
        <v>36.0</v>
      </c>
      <c r="G75" s="1" t="s">
        <v>27</v>
      </c>
      <c r="H75" s="8"/>
    </row>
    <row r="76">
      <c r="A76" s="1">
        <v>74.0</v>
      </c>
      <c r="B76" s="1" t="s">
        <v>177</v>
      </c>
      <c r="C76" s="1" t="s">
        <v>38</v>
      </c>
      <c r="D76" s="1" t="s">
        <v>178</v>
      </c>
      <c r="E76" s="1">
        <v>4.0</v>
      </c>
      <c r="F76" s="7">
        <v>35.0</v>
      </c>
      <c r="G76" s="1">
        <v>6.0</v>
      </c>
      <c r="H76" s="8">
        <f>ABS(E76-G76)</f>
        <v>2</v>
      </c>
      <c r="I76" s="7">
        <f>E76-G76</f>
        <v>-2</v>
      </c>
    </row>
    <row r="77">
      <c r="A77" s="1">
        <v>75.0</v>
      </c>
      <c r="B77" s="1" t="s">
        <v>179</v>
      </c>
      <c r="C77" s="1" t="s">
        <v>41</v>
      </c>
      <c r="D77" s="1" t="s">
        <v>180</v>
      </c>
      <c r="E77" s="1">
        <v>5.0</v>
      </c>
      <c r="F77" s="7">
        <v>35.0</v>
      </c>
      <c r="G77" s="1" t="s">
        <v>27</v>
      </c>
      <c r="H77" s="8"/>
    </row>
    <row r="78">
      <c r="A78" s="1">
        <v>76.0</v>
      </c>
      <c r="B78" s="1" t="s">
        <v>181</v>
      </c>
      <c r="C78" s="1" t="s">
        <v>44</v>
      </c>
      <c r="D78" s="1" t="s">
        <v>182</v>
      </c>
      <c r="E78" s="1">
        <v>5.0</v>
      </c>
      <c r="F78" s="7">
        <v>36.0</v>
      </c>
      <c r="G78" s="1" t="s">
        <v>27</v>
      </c>
      <c r="H78" s="8"/>
    </row>
    <row r="79">
      <c r="A79" s="1">
        <v>77.0</v>
      </c>
      <c r="B79" s="1" t="s">
        <v>183</v>
      </c>
      <c r="C79" s="1" t="s">
        <v>47</v>
      </c>
      <c r="D79" s="1" t="s">
        <v>184</v>
      </c>
      <c r="E79" s="1">
        <v>5.0</v>
      </c>
      <c r="F79" s="7">
        <v>36.0</v>
      </c>
      <c r="G79" s="1" t="s">
        <v>27</v>
      </c>
      <c r="H79" s="8"/>
    </row>
    <row r="80">
      <c r="A80" s="1">
        <v>78.0</v>
      </c>
      <c r="B80" s="1" t="s">
        <v>185</v>
      </c>
      <c r="C80" s="1" t="s">
        <v>15</v>
      </c>
      <c r="D80" s="1" t="s">
        <v>186</v>
      </c>
      <c r="E80" s="1">
        <v>10.0</v>
      </c>
      <c r="F80" s="7">
        <v>37.0</v>
      </c>
      <c r="G80" s="1">
        <v>7.0</v>
      </c>
      <c r="H80" s="8">
        <f>ABS(E80-G80)</f>
        <v>3</v>
      </c>
      <c r="I80" s="7">
        <f>E80-G80</f>
        <v>3</v>
      </c>
    </row>
    <row r="81">
      <c r="A81" s="1">
        <v>79.0</v>
      </c>
      <c r="B81" s="1" t="s">
        <v>187</v>
      </c>
      <c r="C81" s="1" t="s">
        <v>18</v>
      </c>
      <c r="D81" s="1" t="s">
        <v>188</v>
      </c>
      <c r="E81" s="1">
        <v>4.0</v>
      </c>
      <c r="F81" s="7">
        <v>36.0</v>
      </c>
      <c r="G81" s="1" t="s">
        <v>27</v>
      </c>
      <c r="H81" s="8"/>
    </row>
    <row r="82">
      <c r="A82" s="1">
        <v>80.0</v>
      </c>
      <c r="B82" s="1" t="s">
        <v>189</v>
      </c>
      <c r="C82" s="1" t="s">
        <v>25</v>
      </c>
      <c r="D82" s="1" t="s">
        <v>190</v>
      </c>
      <c r="E82" s="1">
        <v>3.0</v>
      </c>
      <c r="F82" s="7">
        <v>35.0</v>
      </c>
      <c r="G82" s="1">
        <v>6.0</v>
      </c>
      <c r="H82" s="8">
        <f>ABS(E82-G82)</f>
        <v>3</v>
      </c>
      <c r="I82" s="7">
        <f>E82-G82</f>
        <v>-3</v>
      </c>
    </row>
    <row r="83">
      <c r="A83" s="1">
        <v>81.0</v>
      </c>
      <c r="B83" s="1" t="s">
        <v>191</v>
      </c>
      <c r="C83" s="1" t="s">
        <v>29</v>
      </c>
      <c r="D83" s="1" t="s">
        <v>192</v>
      </c>
      <c r="E83" s="1">
        <v>9.0</v>
      </c>
      <c r="F83" s="7">
        <v>35.0</v>
      </c>
      <c r="G83" s="1" t="s">
        <v>27</v>
      </c>
      <c r="H83" s="8"/>
    </row>
    <row r="84">
      <c r="A84" s="1">
        <v>82.0</v>
      </c>
      <c r="B84" s="1" t="s">
        <v>193</v>
      </c>
      <c r="C84" s="1" t="s">
        <v>32</v>
      </c>
      <c r="D84" s="1" t="s">
        <v>194</v>
      </c>
      <c r="E84" s="1">
        <v>9.0</v>
      </c>
      <c r="F84" s="7">
        <v>36.0</v>
      </c>
      <c r="G84" s="1" t="s">
        <v>27</v>
      </c>
      <c r="H84" s="8"/>
    </row>
    <row r="85">
      <c r="A85" s="1">
        <v>83.0</v>
      </c>
      <c r="B85" s="1" t="s">
        <v>195</v>
      </c>
      <c r="C85" s="1" t="s">
        <v>35</v>
      </c>
      <c r="D85" s="1" t="s">
        <v>196</v>
      </c>
      <c r="E85" s="1">
        <v>4.0</v>
      </c>
      <c r="F85" s="7">
        <v>36.0</v>
      </c>
      <c r="G85" s="1" t="s">
        <v>27</v>
      </c>
      <c r="H85" s="8"/>
    </row>
    <row r="86">
      <c r="A86" s="1">
        <v>84.0</v>
      </c>
      <c r="B86" s="1" t="s">
        <v>197</v>
      </c>
      <c r="C86" s="1" t="s">
        <v>38</v>
      </c>
      <c r="D86" s="1" t="s">
        <v>198</v>
      </c>
      <c r="E86" s="1">
        <v>6.0</v>
      </c>
      <c r="F86" s="7">
        <v>36.0</v>
      </c>
      <c r="G86" s="1">
        <v>6.0</v>
      </c>
      <c r="H86" s="8">
        <f>ABS(E86-G86)</f>
        <v>0</v>
      </c>
      <c r="I86" s="7">
        <f>E86-G86</f>
        <v>0</v>
      </c>
    </row>
    <row r="87">
      <c r="A87" s="1">
        <v>85.0</v>
      </c>
      <c r="B87" s="1" t="s">
        <v>199</v>
      </c>
      <c r="C87" s="1" t="s">
        <v>41</v>
      </c>
      <c r="D87" s="1" t="s">
        <v>200</v>
      </c>
      <c r="E87" s="1">
        <v>4.0</v>
      </c>
      <c r="F87" s="7">
        <v>35.0</v>
      </c>
      <c r="G87" s="1" t="s">
        <v>27</v>
      </c>
      <c r="H87" s="8"/>
    </row>
    <row r="88">
      <c r="A88" s="1">
        <v>86.0</v>
      </c>
      <c r="B88" s="1" t="s">
        <v>201</v>
      </c>
      <c r="C88" s="1" t="s">
        <v>44</v>
      </c>
      <c r="D88" s="1" t="s">
        <v>202</v>
      </c>
      <c r="E88" s="1">
        <v>7.0</v>
      </c>
      <c r="F88" s="7">
        <v>35.0</v>
      </c>
      <c r="G88" s="1" t="s">
        <v>27</v>
      </c>
      <c r="H88" s="8"/>
    </row>
    <row r="89">
      <c r="A89" s="1">
        <v>87.0</v>
      </c>
      <c r="B89" s="1" t="s">
        <v>203</v>
      </c>
      <c r="C89" s="1" t="s">
        <v>47</v>
      </c>
      <c r="D89" s="1" t="s">
        <v>204</v>
      </c>
      <c r="E89" s="1">
        <v>6.0</v>
      </c>
      <c r="F89" s="7">
        <v>35.0</v>
      </c>
      <c r="G89" s="1">
        <v>5.0</v>
      </c>
      <c r="H89" s="8">
        <f>ABS(E89-G89)</f>
        <v>1</v>
      </c>
      <c r="I89" s="7">
        <f>E89-G89</f>
        <v>1</v>
      </c>
    </row>
    <row r="90">
      <c r="A90" s="1">
        <v>88.0</v>
      </c>
      <c r="B90" s="1" t="s">
        <v>205</v>
      </c>
      <c r="C90" s="1" t="s">
        <v>15</v>
      </c>
      <c r="D90" s="1" t="s">
        <v>206</v>
      </c>
      <c r="E90" s="1">
        <v>9.0</v>
      </c>
      <c r="F90" s="7">
        <v>36.0</v>
      </c>
      <c r="G90" s="1" t="s">
        <v>27</v>
      </c>
      <c r="H90" s="8"/>
    </row>
    <row r="91">
      <c r="A91" s="1">
        <v>89.0</v>
      </c>
      <c r="B91" s="1" t="s">
        <v>207</v>
      </c>
      <c r="C91" s="1" t="s">
        <v>18</v>
      </c>
      <c r="D91" s="1" t="s">
        <v>208</v>
      </c>
      <c r="E91" s="1">
        <v>10.0</v>
      </c>
      <c r="F91" s="7">
        <v>36.0</v>
      </c>
      <c r="G91" s="1" t="s">
        <v>27</v>
      </c>
      <c r="H91" s="8"/>
    </row>
    <row r="92">
      <c r="A92" s="1">
        <v>90.0</v>
      </c>
      <c r="B92" s="1" t="s">
        <v>209</v>
      </c>
      <c r="C92" s="1" t="s">
        <v>25</v>
      </c>
      <c r="D92" s="1" t="s">
        <v>210</v>
      </c>
      <c r="E92" s="1">
        <v>8.0</v>
      </c>
      <c r="F92" s="7">
        <v>35.0</v>
      </c>
      <c r="G92" s="1" t="s">
        <v>27</v>
      </c>
      <c r="H92" s="8"/>
    </row>
    <row r="93">
      <c r="A93" s="1">
        <v>91.0</v>
      </c>
      <c r="B93" s="1" t="s">
        <v>211</v>
      </c>
      <c r="C93" s="1" t="s">
        <v>29</v>
      </c>
      <c r="D93" s="1" t="s">
        <v>212</v>
      </c>
      <c r="E93" s="1">
        <v>9.0</v>
      </c>
      <c r="F93" s="7">
        <v>35.0</v>
      </c>
      <c r="G93" s="1">
        <v>6.0</v>
      </c>
      <c r="H93" s="8">
        <f>ABS(E93-G93)</f>
        <v>3</v>
      </c>
      <c r="I93" s="7">
        <f>E93-G93</f>
        <v>3</v>
      </c>
    </row>
    <row r="94">
      <c r="A94" s="1">
        <v>92.0</v>
      </c>
      <c r="B94" s="1" t="s">
        <v>213</v>
      </c>
      <c r="C94" s="1" t="s">
        <v>32</v>
      </c>
      <c r="D94" s="1" t="s">
        <v>214</v>
      </c>
      <c r="E94" s="1">
        <v>9.0</v>
      </c>
      <c r="F94" s="7">
        <v>37.0</v>
      </c>
      <c r="G94" s="1" t="s">
        <v>27</v>
      </c>
      <c r="H94" s="8"/>
    </row>
    <row r="95">
      <c r="A95" s="1">
        <v>93.0</v>
      </c>
      <c r="B95" s="1" t="s">
        <v>215</v>
      </c>
      <c r="C95" s="1" t="s">
        <v>35</v>
      </c>
      <c r="D95" s="1" t="s">
        <v>216</v>
      </c>
      <c r="E95" s="1">
        <v>8.0</v>
      </c>
      <c r="F95" s="7">
        <v>36.0</v>
      </c>
      <c r="G95" s="1">
        <v>6.0</v>
      </c>
      <c r="H95" s="8">
        <f t="shared" ref="H95:H96" si="24">ABS(E95-G95)</f>
        <v>2</v>
      </c>
      <c r="I95" s="7">
        <f t="shared" ref="I95:I96" si="25">E95-G95</f>
        <v>2</v>
      </c>
    </row>
    <row r="96">
      <c r="A96" s="1">
        <v>94.0</v>
      </c>
      <c r="B96" s="1" t="s">
        <v>217</v>
      </c>
      <c r="C96" s="1" t="s">
        <v>38</v>
      </c>
      <c r="D96" s="1" t="s">
        <v>218</v>
      </c>
      <c r="E96" s="1">
        <v>6.0</v>
      </c>
      <c r="F96" s="7">
        <v>36.0</v>
      </c>
      <c r="G96" s="1">
        <v>4.0</v>
      </c>
      <c r="H96" s="8">
        <f t="shared" si="24"/>
        <v>2</v>
      </c>
      <c r="I96" s="7">
        <f t="shared" si="25"/>
        <v>2</v>
      </c>
    </row>
    <row r="97">
      <c r="A97" s="1">
        <v>95.0</v>
      </c>
      <c r="B97" s="1" t="s">
        <v>219</v>
      </c>
      <c r="C97" s="1" t="s">
        <v>41</v>
      </c>
      <c r="D97" s="1" t="s">
        <v>220</v>
      </c>
      <c r="E97" s="1">
        <v>3.0</v>
      </c>
      <c r="F97" s="7">
        <v>35.0</v>
      </c>
      <c r="G97" s="1" t="s">
        <v>27</v>
      </c>
      <c r="H97" s="8"/>
    </row>
    <row r="98">
      <c r="A98" s="1">
        <v>96.0</v>
      </c>
      <c r="B98" s="1" t="s">
        <v>221</v>
      </c>
      <c r="C98" s="1" t="s">
        <v>44</v>
      </c>
      <c r="D98" s="1" t="s">
        <v>222</v>
      </c>
      <c r="E98" s="1">
        <v>6.0</v>
      </c>
      <c r="F98" s="7">
        <v>35.0</v>
      </c>
      <c r="G98" s="1">
        <v>6.0</v>
      </c>
      <c r="H98" s="8">
        <f t="shared" ref="H98:H99" si="26">ABS(E98-G98)</f>
        <v>0</v>
      </c>
      <c r="I98" s="7">
        <f t="shared" ref="I98:I99" si="27">E98-G98</f>
        <v>0</v>
      </c>
    </row>
    <row r="99">
      <c r="A99" s="1">
        <v>97.0</v>
      </c>
      <c r="B99" s="1" t="s">
        <v>223</v>
      </c>
      <c r="C99" s="1" t="s">
        <v>47</v>
      </c>
      <c r="D99" s="1" t="s">
        <v>224</v>
      </c>
      <c r="E99" s="1">
        <v>2.0</v>
      </c>
      <c r="F99" s="7">
        <v>35.0</v>
      </c>
      <c r="G99" s="1">
        <v>6.0</v>
      </c>
      <c r="H99" s="8">
        <f t="shared" si="26"/>
        <v>4</v>
      </c>
      <c r="I99" s="7">
        <f t="shared" si="27"/>
        <v>-4</v>
      </c>
    </row>
    <row r="100">
      <c r="A100" s="1">
        <v>98.0</v>
      </c>
      <c r="B100" s="1" t="s">
        <v>225</v>
      </c>
      <c r="C100" s="1" t="s">
        <v>15</v>
      </c>
      <c r="D100" s="1" t="s">
        <v>226</v>
      </c>
      <c r="E100" s="1">
        <v>7.0</v>
      </c>
      <c r="F100" s="7">
        <v>36.0</v>
      </c>
      <c r="G100" s="1" t="s">
        <v>27</v>
      </c>
      <c r="H100" s="8"/>
    </row>
    <row r="101">
      <c r="A101" s="1">
        <v>99.0</v>
      </c>
      <c r="B101" s="1" t="s">
        <v>227</v>
      </c>
      <c r="C101" s="1" t="s">
        <v>18</v>
      </c>
      <c r="D101" s="1" t="s">
        <v>228</v>
      </c>
      <c r="E101" s="1">
        <v>6.0</v>
      </c>
      <c r="F101" s="7">
        <v>36.0</v>
      </c>
      <c r="G101" s="1" t="s">
        <v>27</v>
      </c>
      <c r="H101" s="8"/>
    </row>
    <row r="102">
      <c r="F102" s="7">
        <f>AVERAGE(F2:F101)</f>
        <v>36.33</v>
      </c>
      <c r="H102" s="8">
        <f>ABS(E102-G102)</f>
        <v>0</v>
      </c>
      <c r="I102" s="7">
        <f>E102-G102</f>
        <v>0</v>
      </c>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