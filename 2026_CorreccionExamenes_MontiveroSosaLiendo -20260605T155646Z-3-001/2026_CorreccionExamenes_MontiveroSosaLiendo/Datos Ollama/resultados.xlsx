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 sheetId="1" r:id="rId5"/>
  </sheets>
  <definedNames/>
  <calcPr/>
</workbook>
</file>

<file path=xl/sharedStrings.xml><?xml version="1.0" encoding="utf-8"?>
<sst xmlns="http://schemas.openxmlformats.org/spreadsheetml/2006/main" count="866" uniqueCount="365">
  <si>
    <t>step</t>
  </si>
  <si>
    <t>entrada</t>
  </si>
  <si>
    <t>contexto</t>
  </si>
  <si>
    <t>salida</t>
  </si>
  <si>
    <t>esperado</t>
  </si>
  <si>
    <t>tiempo</t>
  </si>
  <si>
    <t>nota</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</si>
  <si>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</si>
  <si>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</si>
  <si>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</si>
  <si>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</si>
  <si>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</si>
  <si>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</si>
  <si>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</si>
  <si>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</si>
  <si>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['Eres un profesor experto en evaluación académica. Tu tarea es corregir respuestas de estudiantes comparándolas con ejemplos de correcciones reales.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Además, proporciona una breve justificación de la nota indicando los conceptos correctamente mencionados, los errores detectados y los conceptos importantes que faltan. ', 'Ejemplos de corrección: Respuesta del estudiante: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devuelve una función es lo mismo que se esperaba según la lógica definida del software. También pueden utilizarse para comprobar que el resultado de un método no es nulo o para verificar condiciones verdaderas o falsas mediante distintas aserciones. Son importantes porque constituyen el mecanismo que permite comprobar automáticamente que el código se comporta según lo esperado. Evaluación: Nota: 9 Justificación: La respuesta explica correctamente qué son las aserciones, cómo se utilizan dentro de los tests y por qué son importantes para verificar el comportamiento del software. Además, proporciona ejemplos concretos de uso, como la comparación de valores, la comprobación de valores nulos y la validación de condiciones booleanas. Aunque la explicación es sólida y técnicamente correcta, podría ampliarse mencionando otros tipos de aserciones, como la verificación de excepciones o su papel dentro de metodologías de desarrollo guiado por pruebas. Por ello, no alcanza la puntuación máxima. Respuesta del estudiante: Las assertions se pueden usar en los test para validar y comparar objetos o valores. Esto es importante porque, si una aserción falla, el test también falla. Esto ayuda a detectar errores en el código y a comprender mejor el comportamiento del programa. Evaluación: Nota: 6 Justificación: La respuesta identifica correctamente que las aserciones sirven para comparar valores u objetos y que un fallo en una aserción provoca el fallo del test. Sin embargo, la explicación es breve y superficial. No desarrolla adecuadamente cómo las aserciones verifican que el comportamiento real del código coincida con el esperado ni aporta ejemplos concretos de uso. La comprensión básica es correcta, pero faltan detalles relevantes para una evaluación más alta. Respuesta del estudiante: Se pueden utilizar por ejemplo cuando un campo no puede ser nulo, poniendo @NotNull para evitar campos vacíos y generar un error cuando no se cumple la condición. Evaluación: Nota: 2 Justificación: La respuesta confunde las aserciones utilizadas en pruebas de software con mecanismos de validación de datos, como la anotación @NotNull. Aunque menciona la comprobación de restricciones, no explica qué son las aserciones, cómo se utilizan dentro de los tests ni cuál es su función para verificar resultados esperados. La relación con el concepto evaluado es muy limitada, por lo que la calificación es baja.', 'Pregunta: Describe cómo se pueden utilizar las aserciones en los tests y por qué son importantes.']</t>
  </si>
  <si>
    <t>Evaluación: Nota: 4
Justificación: La respuesta identifica correctamente que las aserciones se utilizan en los tests, pero su explicación es confusa y no precisa</t>
  </si>
  <si>
    <t>Respuesta: Las aserciones en el contexto del software, son muy relevantes para cubrir el codigo y evitar excepciones y errores que provocarian si no son revisados con este metodo asertivo.</t>
  </si>
  <si>
    <t>Evaluación: Nota: 4
Justificación: La respuesta identifica correctamente que las aserciones son relevantes en el contexto del software, pero no desarrolla adecuadamente cómo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</si>
  <si>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</si>
  <si>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identifica correctamente que las aserciones son importantes en los tests, pero no desarrolla adecuadamente su función y benef</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</si>
  <si>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</si>
  <si>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7
Justificación: La respuesta muestra una comprensión básica de las aserciones y su función en los tests. Se menciona que las as</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</si>
  <si>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</si>
  <si>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Nota: 4
Justificación: La respuesta identifica parcialmente el concepto de aserciones en pruebas de software, pero su explicación es confusa</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</si>
  <si>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</si>
  <si>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7
Justificación: La respuesta proporciona una definición correcta de las aserciones y explica cómo funcionan en los tests. También menciona</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</si>
  <si>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</si>
  <si>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8
Justificación: La respuesta proporciona una descripción clara de cómo se pueden utilizar las aserciones en los tests, específicamente en la ar</t>
  </si>
  <si>
    <t>Respuesta: las aserciones permiten validar que el test haya pasado o no despues de haber declarado las variables con arrange y ejecutarlas con act, y assert valida que el test haya sido pasado con éxito, que es lo que buscamos</t>
  </si>
  <si>
    <t>Evaluación: Nota: 8
Justificación: La respuesta identifica correctamente el papel de las aserciones en los tests, mencionando el ciclo de arrange, act y assert</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</si>
  <si>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</si>
  <si>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4
Justificación: La respuesta identifica correctamente que las aserciones se utilizan para comparar el resultado obtenido con el resultado esperado y que</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</si>
  <si>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</si>
  <si>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5
Justificación: La respuesta explica de manera básica qué son las aserciones y su función en los tests. Identifica correctamente que las as</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</si>
  <si>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</si>
  <si>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7
Justificación: La respuesta identifica correctamente la función de las aserciones en los tests, que es verificar si una condición es verdadera.</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</si>
  <si>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</si>
  <si>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7
Justificación: La respuesta identifica correctamente que las aserciones se pueden utilizar en los tests para validar y comparar objetos o valores. También exp</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</si>
  <si>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</si>
  <si>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8
Justificación: La respuesta describe de manera clara cómo se pueden utilizar las aserciones en los tests, mencionando ejemplos concret</t>
  </si>
  <si>
    <t>Respuesta: Los assert sirven para comprobar lo que devuelve o hacen las funciones, son unos de los pilares para poder hacer los test en el TDD.</t>
  </si>
  <si>
    <t>Evaluación: Nota: 5
Justificación: La respuesta identifica correctamente que las aserciones se utilizan para comprobar el comportamiento de las funciones y que son fundament</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</si>
  <si>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</si>
  <si>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identifica correctamente que las aserciones en los tests se utilizan para comparar resultados y menciona la idea de introdu</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</si>
  <si>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</si>
  <si>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4
Justificación: La respuesta identifica correctamente que las aserciones se pueden utilizar en los tests, pero no explica con claridad cómo se utiliz</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</si>
  <si>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</si>
  <si>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7
Justificación: La respuesta demuestra una comprensión básica de cómo se pueden utilizar las aserciones en los tests y su importancia.</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</si>
  <si>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</si>
  <si>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8
Justificación: La respuesta proporciona una definición clara de las aserciones como comparaciones entre valores introducidos y deseados.</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</si>
  <si>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</si>
  <si>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8
Justificación: La respuesta proporciona una visión general clara de cómo se pueden utilizar las aserciones en los tests, mencionando específ</t>
  </si>
  <si>
    <t>Respuesta: Las podemos usar en diferentes modos:
* Para clases.
* Para integraciones.
* Para tets.</t>
  </si>
  <si>
    <t>Evaluación: Nota: 1
Justificación: La respuesta proporciona tres opciones generales sobre cómo se pueden utilizar las aserciones, pero no ofrece una explicación clara ni</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</si>
  <si>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</si>
  <si>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8
Justificación: La respuesta explica correctamente qué son las aserciones y cómo se utilizan en los tests para verificar el comportamiento del código fu</t>
  </si>
  <si>
    <t>Respuesta: Se utilizan en los tests para comprobar trozos pequeños de codigo, y tienen importancia ya que validan el código, aportando seguridad al software.</t>
  </si>
  <si>
    <t>Evaluación: Nota: 5
Justificación: La respuesta identifica correctamente que las aserciones se utilizan en los tests, pero su explicación es muy limitada y no</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</si>
  <si>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</si>
  <si>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7
Justificación: La respuesta explica correctamente que las aserciones se utilizan en los tests para comprobar pequeños trozos de código,</t>
  </si>
  <si>
    <t>Respuesta: assert.equals sirve para introducir valores en los parámetros a la hora de hacer tests</t>
  </si>
  <si>
    <t>Evaluación: Nota: 1
Justificación: La respuesta es incorrecta y confusa. "assert.equals" no es una forma de introducir valores en los parámetros a</t>
  </si>
  <si>
    <t>Respuesta: .</t>
  </si>
  <si>
    <t>Evaluación: Nota: 0
Justificación: La respuesta está vacía y no proporciona ninguna información sobre cómo se pueden utilizar las aserciones en los tests ni su importancia</t>
  </si>
  <si>
    <t>Respuesta: Las assertions sirven para realizar comprobaciones entre los resultados obtenidos en el test y los resultados esperados. Estas se utilizan en la parte final de los test, después de la parte de desarrollo.</t>
  </si>
  <si>
    <t>Evaluación: Nota: 4
Justificación: La respuesta identifica correctamente que las aserciones se utilizan para realizar comprobaciones entre los resultados obtenidos en el test y</t>
  </si>
  <si>
    <t>Respuesta: Las aserciones sirven para evaluar concretamente un valor esperado del test ya sea en una comparación de valores, de referencias, booleanas, etc...</t>
  </si>
  <si>
    <t>Evaluación: Nota: 7
Justificación: La respuesta identifica correctamente que las aserciones se utilizan para evaluar valores esperados en los tests. También menciona diferentes</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</si>
  <si>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</si>
  <si>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7
Justificación: La respuesta identifica correctamente varios tipos de aserciones, como la AssertionEquals, y describe su estructura básica. También menc</t>
  </si>
  <si>
    <t>Respuesta: Las aserciones son verificaciones de las validaciones de entrada. Un ejemplo podría ser assertionNotNull(actual) / assertionNull(actual) que nos sirve para conocer si el valor de entrada (actual) es nulo o no.</t>
  </si>
  <si>
    <t>Evaluación: Nota: 4
Justificación: La respuesta identifica parcialmente la función de las aserciones, al mencionar que se utilizan para verificar las valid</t>
  </si>
  <si>
    <t>Respuesta: Las aserciones se utilizan para estructurar y validar la forma en al que los tests se realizan. Esto hace que sean mas fiables y que tenga mayor cobertura.</t>
  </si>
  <si>
    <t>Evaluación: Nota: 4
Justificación: La respuesta identifica que las aserciones se utilizan en los tests, pero no proporciona una explicación clara de cómo</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</si>
  <si>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</si>
  <si>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8
Justificación: La respuesta explica correctamente el propósito de las aserciones en los tests, que es comprobar el funcionamiento correcto</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</si>
  <si>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</si>
  <si>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identifica correctamente que las aserciones son declaraciones dentro de los tests que validan el código, lo que muestra una</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</si>
  <si>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</si>
  <si>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muestra una comprensión básica de las aserciones en los tests y su importancia. La explicación es cl</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</si>
  <si>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</si>
  <si>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9
Justificación: La respuesta explica de manera clara y concisa cómo se pueden utilizar las aserciones en los tests, destacando su función</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</si>
  <si>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</si>
  <si>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Nota: 8
Justificación: La respuesta menciona correctamente algunas de las aserciones que se pueden utilizar en los tests, como `assertEquals`, `assertTrue`</t>
  </si>
  <si>
    <t>Respuesta: Los assertions se pueden utilizar para los test como una declaración para verificar una condición y si la condición es falsa, el test fallará. Es importante por que ayuda a minimizar el código de los tests.</t>
  </si>
  <si>
    <t>Evaluación: Nota: 4
Justificación: La respuesta identifica correctamente que las aserciones se pueden utilizar en los tests para verificar condiciones y que un fallo en la cond</t>
  </si>
  <si>
    <t>Respuesta: Las aserciones son importantes ya que validad los resultados de los tests, al fin y al cabo son los encargados de decir si un test pasa o no. Se utilizan al final del test</t>
  </si>
  <si>
    <t>Evaluación: Nota: 5
Justificación: La respuesta identifica correctamente que las aserciones son importantes para validar los resultados de los tests, pero no explica con claridad</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</si>
  <si>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</si>
  <si>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describe de manera correcta cómo se pueden utilizar las aserciones en los tests, es decir, como una verificación ráp</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</si>
  <si>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</si>
  <si>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7
Justificación: La respuesta explica correctamente que las aserciones se utilizan para comprobar si una condición se cumple o es verd</t>
  </si>
  <si>
    <t>Respuesta: Son importantes porque se pueden usar para distintas situaciones, ya sea para ver si funcionan, para ver si son iguales, para eliminar o añadir mas.</t>
  </si>
  <si>
    <t>Evaluación: Nota: 4
Justificación: La respuesta muestra una comprensión básica de las aserciones y su utilidad en los tests, pero es demasiado v</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</si>
  <si>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</si>
  <si>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Evaluación: Nota: 8
Justificación: La respuesta proporciona una visión general clara de cómo se pueden utilizar las aserciones en los tests y destaca su import</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</si>
  <si>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</si>
  <si>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8
Justificación: La respuesta explica correctamente la importancia de las aserciones en los tests y menciona varios ejemplos de cómo se pueden</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</si>
  <si>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</si>
  <si>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4
Justificación:
La respuesta identifica correctamente que las aserciones se pueden utilizar para comprobar la validez de los datos introducidos y que</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</si>
  <si>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</si>
  <si>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7
Justificación: La respuesta explica correctamente que las aserciones son condiciones que se utilizan para verificar algo y que en caso de que no se</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</si>
  <si>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</si>
  <si>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identifica correctamente que las aserciones se pueden utilizar para anticiparse a posibles errores y evitar que el código falle</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</si>
  <si>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</si>
  <si>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8
Justificación: La respuesta explica correctamente cómo se pueden utilizar las aserciones en los tests, siguiendo la estructura AAA (Arrange-</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</si>
  <si>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</si>
  <si>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identifica correctamente que las aserciones en los tests se utilizan para validar los datos dentro del código. Sin embargo,</t>
  </si>
  <si>
    <t>Respuesta: Las aserciones en los test sirven para que el codigo no influya en los datos, es decir, para que el codigo no pueda cambiar o eliminar cualquier tipo de dato que estamos verificando con los tests</t>
  </si>
  <si>
    <t>Evaluación: Nota: 4
Justificación: La respuesta identifica que las aserciones se utilizan en los tests, pero no explica correctamente su función. En lugar de</t>
  </si>
  <si>
    <t>Respuesta: Se pueden utilizar por ejemplo cuando un campo no puede ser nulo, poniendo @NOTNULL para evitar campos que no se rellenen y sean obligatorios, saltando el error correspondiente para solucionarlo.</t>
  </si>
  <si>
    <t>Evaluación: Nota: 2
Justificación: La respuesta confunde nuevamente las aserciones utilizadas en pruebas de software con mecanismos de validación de</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</si>
  <si>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</si>
  <si>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7
Justificación: La respuesta identifica correctamente que las aserciones se pueden utilizar en los tests para comparar valores, datos o resultados. También proporcion</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</si>
  <si>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</si>
  <si>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Nota: 7
Justificación: La respuesta explica correctamente que las aserciones se pueden utilizar para comprobar el funcionamiento de un programa y verificar que devuelve</t>
  </si>
  <si>
    <t>Respuesta: Las aserciones son comprobadores de datos que devueven valores de tipo bool (verdadero o falso) en los tests. Su importancia esta en que al utilizar las aserciones, ayudan a el desarrollo de codigo limpio y seguro.</t>
  </si>
  <si>
    <t>Evaluación: Nota: 4
Justificación: La respuesta identifica correctamente que las aserciones devuelven valores booleanos (verdadero o falso) en los tests</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</si>
  <si>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</si>
  <si>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Nota: 8
Justificación: La respuesta explica correctamente la función de las aserciones en los tests, enfocándose en la verificación de la verdad</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</si>
  <si>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</si>
  <si>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Nota: 4
Justificación: La respuesta identifica correctamente que las aserciones se utilizan para verificar condiciones verdaderas o falsas en los tests. También</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</si>
  <si>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</si>
  <si>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Nota: 4
Justificación: La respuesta identifica correctamente que las aserciones se utilizan para comprobar la validez de variables o datos, y que</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</si>
  <si>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</si>
  <si>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Nota: 8
Justificación: La respuesta explica correctamente qué son las aserciones y cómo se utilizan en los tests, mencionando la comprobación</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</si>
  <si>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</si>
  <si>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Nota: 4
Justificación: La respuesta identifica correctamente que las aserciones se utilizan en los tests y que son importantes para verificar que el código se comport</t>
  </si>
  <si>
    <t>Respuesta: No lo se :(</t>
  </si>
  <si>
    <t>Evaluación: Nota: 0
Justificación: La respuesta es completamente vacía y no proporciona ninguna información sobre cómo se pueden utilizar las aserciones en los tests ni por qué</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</si>
  <si>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</si>
  <si>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Nota: 4
Justificación: La respuesta identifica correctamente que las aserciones se utilizan para validar datos, pero se centra en ejemplos de valid</t>
  </si>
  <si>
    <t>Respuesta: Las aserciones de los test sirven para comprobar que el programa funciona de la manera esperada por el programador. Es una verificación del programa que funciona correctamente.</t>
  </si>
  <si>
    <t>Evaluación: Nota: 4
Justificación: La respuesta identifica correctamente que las aserciones en los tests se utilizan para verificar que el programa funciona de la manera esperada</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</si>
  <si>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</si>
  <si>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Nota: 4
Justificación: La respuesta identifica correctamente que las aserciones se pueden declarar antes del test y menciona un ejemplo de anotación (@</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</si>
  <si>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</si>
  <si>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Nota: 8
Justificación: La respuesta explica correctamente qué son las aserciones y cómo se utilizan dentro de los tests para comprobar el correcto</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</si>
  <si>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</si>
  <si>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Nota: 4
Justificación: La respuesta identifica correctamente que las aserciones se pueden utilizar en los tests para validar datos y menciona algunos tipos de aserc</t>
  </si>
  <si>
    <t>Respuesta: Son importantes porque permiten un mayor control a la hora de hacer el testing, y permite el uso de una mayor cantidad de datos, permitiendo que el test sea más viable al cubrir mayor cantidad de datos .</t>
  </si>
  <si>
    <t>Evaluación: Nota: 4
Justificación: La respuesta menciona que las aserciones son importantes para el testing, pero no explica claramente cómo se utilizan en</t>
  </si>
  <si>
    <t>Respuesta: No
se
la
respuesta</t>
  </si>
  <si>
    <t>Evaluación: Nota: 0
Justificación: La respuesta es vacía y no proporciona ninguna información sobre cómo se pueden utilizar las aserciones en los tests ni por qué son</t>
  </si>
  <si>
    <t>Respuesta: NO SE</t>
  </si>
  <si>
    <t>Evaluación:
Nota: 0
Justificación: La respuesta "NO SE" indica que el estudiante no tiene idea sobre cómo se pueden utilizar las aserciones en los tests ni su</t>
  </si>
  <si>
    <t>Respuesta: Con la libreria Jakarta puedes usar aserciones en los test de forma sencilla ya que te añade las funciones como por ejemplo assertequals, son importantes ya que te permiten agilizar y cubrir mejor ciertas cosas a testear.</t>
  </si>
  <si>
    <t>Evaluación: Nota: 5
Justificación: La respuesta menciona correctamente la utilización de aserciones en los tests mediante la librería Jakarta, específicamente la función `</t>
  </si>
  <si>
    <t>Respuesta: Las aserciones se pueden utilizar para comprobar las salidas de los test en función de las entradas. Esto es muy importante para comprobar si la salida tiene sentido teniendo en cuenta las entradas del test.</t>
  </si>
  <si>
    <t>Evaluación: Nota: 5
Justificación: La respuesta identifica correctamente que las aserciones se pueden utilizar para comprobar las salidas de los test en función de las</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</si>
  <si>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</si>
  <si>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Nota: 8
Justificación: La respuesta proporciona una descripción clara de cómo se pueden utilizar las aserciones en los tests para validar la salida de una</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</si>
  <si>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</si>
  <si>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Nota: 8
Justificación: La respuesta reconoce correctamente la importancia de las aserciones en los tests y explica que permiten asertar la valide</t>
  </si>
  <si>
    <t>Respuesta: digo lo mismo que en la anterior pregunta</t>
  </si>
  <si>
    <t>Evaluación: Nota: 6 Justificación: La respuesta es idéntica a la que se presentó en la anterior pregunta, por lo que se evalúa con la misma cal</t>
  </si>
  <si>
    <t>Evaluación: Nota: 4
Justificación: La respuesta intenta explicar cómo se utilizan las aserciones en los tests, pero su enfoque es incorrecto.</t>
  </si>
  <si>
    <t>Evaluación: Nota: 5
Justificación: La respuesta identifica correctamente que las aserciones son relevantes en el contexto del software, pero la explicación es vaga y</t>
  </si>
  <si>
    <t>Evaluación: Nota: 4
Justificación: La respuesta identifica correctamente que las aserciones son importantes en los tests, ya que proporcionan una forma de confirmar que los</t>
  </si>
  <si>
    <t>Evaluación: Nota: 7
Justificación: La respuesta identifica correctamente que las aserciones se utilizan en los tests para validar la corrección de las funcionalidades.</t>
  </si>
  <si>
    <t>Evaluación: Nota: 4
Justificación: La respuesta identifica parcialmente el concepto de aserciones en los tests, mencionando que pueden devolver un resultado</t>
  </si>
  <si>
    <t>Evaluación: Nota: 4
Justificación: La respuesta identifica correctamente que las aserciones son validaciones que se activan cuando se cumple una condición y que el</t>
  </si>
  <si>
    <t>Evaluación: Nota: 8
Justificación: La respuesta explica correctamente cómo se pueden utilizar las aserciones en los tests, específicamente en la etapa de Assert de la</t>
  </si>
  <si>
    <t>Evaluación: Nota: 8
Justificación: La respuesta describe correctamente el papel de las aserciones en los tests, mencionando las fases de "arrange" y</t>
  </si>
  <si>
    <t>Evaluación: Nota: 4
Justificación: La respuesta proporciona una definición básica de las aserciones como validaciones que comprueban si una afirmación es correct</t>
  </si>
  <si>
    <t>Evaluación: Nota: 7
Justificación: La respuesta identifica correctamente la función principal de las aserciones en los tests, que es comprobar si una condición es</t>
  </si>
  <si>
    <t>Evaluación: Nota: 8
Justificación: La respuesta explica correctamente cómo se pueden utilizar las aserciones en los tests para validar y comparar objetos o valores. También dest</t>
  </si>
  <si>
    <t>Evaluación: Nota: 8
Justificación: La respuesta muestra una buena comprensión de las aserciones en los tests y su importancia en el desarrollo de pruebas.</t>
  </si>
  <si>
    <t>Evaluación: Nota: 7
Justificación: La respuesta identifica correctamente que las aserciones se utilizan para comprobar el comportamiento de las funciones y que son fundament</t>
  </si>
  <si>
    <t>Evaluación: Nota: 7
Justificación: La respuesta identifica correctamente que las aserciones en los tests se utilizan para comparar un resultado esperado con un resultado actual</t>
  </si>
  <si>
    <t>Evaluación: Nota: 5
Justificación: La respuesta intenta explicar cómo se pueden utilizar las aserciones en los tests, pero no lo hace de manera clara y</t>
  </si>
  <si>
    <t>Evaluación: Nota: 7
Justificación: La respuesta explica correctamente que las aserciones se pueden utilizar como pequeños tests para validar soluciones concretas de las funciones</t>
  </si>
  <si>
    <t>Evaluación: Nota: 8
Justificación: La respuesta proporciona una comprensión básica de qué son las aserciones y su función en los tests unitarios. Exp</t>
  </si>
  <si>
    <t>Evaluación: Nota: 8
Justificación: La respuesta explica correctamente cómo se pueden utilizar las aserciones en los tests, mencionando la detección de excepciones</t>
  </si>
  <si>
    <t>Evaluación: Nota: 1
Justificación: La respuesta no proporciona una explicación clara y detallada sobre cómo se pueden utilizar las aserciones en los tests y</t>
  </si>
  <si>
    <t>Evaluación: Nota: 8
Justificación: La respuesta proporciona una definición clara de las aserciones y explica su uso dentro del contexto de testing en el desarrollo</t>
  </si>
  <si>
    <t>Evaluación: Nota: 4
Justificación: La respuesta identifica correctamente que las aserciones se utilizan en los tests, pero la explicación es muy superficial y no desarroll</t>
  </si>
  <si>
    <t>Evaluación: Nota: 8
Justificación: La respuesta explica correctamente cómo se pueden utilizar las aserciones en los tests, mencionando la comprobación de pequeños</t>
  </si>
  <si>
    <t>Evaluación: Nota: 3 Justificación:
La respuesta menciona que `assert.equals` se utiliza para introducir valores en los parámetros a la hora de hacer tests, pero</t>
  </si>
  <si>
    <t>Evaluación: Nota: 0
Justificación: La respuesta está vacía, lo que indica que el estudiante no ha proporcionado ninguna información sobre cómo se pueden utilizar las aserc</t>
  </si>
  <si>
    <t>Evaluación: Nota: 4
Justificación: La respuesta identifica correctamente que las aserciones se utilizan para comparar resultados obtenidos en el test con resultados esperados.</t>
  </si>
  <si>
    <t>Evaluación: Nota: 7
Justificación: La respuesta identifica correctamente que las aserciones se utilizan para evaluar un valor esperado en los tests. Además, menc</t>
  </si>
  <si>
    <t>Evaluación: Nota: 8
Justificación: La respuesta identifica correctamente que existen varios tipos de aserciones y menciona uno de ellos, AssertionEquals. Sin embargo,</t>
  </si>
  <si>
    <t>Evaluación: Nota: 5
Justificación: La respuesta identifica correctamente que las aserciones se utilizan para verificar la validez de la entrada, lo que es un concept</t>
  </si>
  <si>
    <t>Evaluación: Nota: 4
Justificación: La respuesta identifica correctamente que las aserciones se utilizan en los tests, pero no desarrolla adecuadamente cómo se utiliz</t>
  </si>
  <si>
    <t>Evaluación: Nota: 4
Justificación: La respuesta identifica correctamente que las aserciones son declaraciones dentro de los tests que validan el código, lo que es un</t>
  </si>
  <si>
    <t>Evaluación: Nota: 8
Justificación: La respuesta explica correctamente que las aserciones en los tests se utilizan para especificar el valor que se espera obtener en el</t>
  </si>
  <si>
    <t>Evaluación: Nota: 8
Justificación: La respuesta explica correctamente cómo se pueden utilizar las aserciones en los tests, mencionando ejemplos concretos de</t>
  </si>
  <si>
    <t>Evaluación: Nota: 7
Justificación: La respuesta identifica correctamente algunos métodos de aserción que se pueden utilizar en los tests, como asserEquals, assertTrue</t>
  </si>
  <si>
    <t>Evaluación: Nota: 4
Justificación: La respuesta identifica correctamente que las aserciones se pueden utilizar en los tests para verificar condiciones y que un fallo en una as</t>
  </si>
  <si>
    <t>Evaluación: Nota: 4
Justificación: La respuesta identifica correctamente que las aserciones son importantes para validar los resultados de los tests, pero la explicación es muy breve</t>
  </si>
  <si>
    <t>Evaluación: Nota: 8
Justificación: La respuesta explica correctamente cómo se pueden utilizar las aserciones en los tests para verificar el comportamiento de los métodos, como</t>
  </si>
  <si>
    <t>Evaluación: Nota: 7
Justificación: La respuesta explica correctamente que las aserciones se utilizan para comprobar si una condición se cumple o no,</t>
  </si>
  <si>
    <t>Evaluación: Nota: 3
Justificación: La respuesta menciona que las aserciones son importantes, pero no proporciona una explicación clara y concisa sobre cómo se</t>
  </si>
  <si>
    <t>Evaluación: Nota: 8
Justificación: La respuesta proporciona una buena comprensión de las aserciones y su función en el testing. Explica correctamente que las as</t>
  </si>
  <si>
    <t>Evaluación: Nota: 8
Justificación: La respuesta identifica correctamente la importancia de las aserciones en los tests y menciona varios ejemplos de cómo se pueden</t>
  </si>
  <si>
    <t>Evaluación: Nota: 4
Justificación: La respuesta identifica correctamente que las aserciones se utilizan para comprobar la validez de los datos introducidos y</t>
  </si>
  <si>
    <t>Evaluación: Nota: 5
Justificación: La respuesta intenta explicar qué son las aserciones y cómo se utilizan en los tests, pero hay algunas confusiones y</t>
  </si>
  <si>
    <t>Evaluación: Nota: 4
Justificación: La respuesta identifica correctamente que las aserciones se pueden utilizar para comprobar la validez de los datos introducidos por</t>
  </si>
  <si>
    <t>Evaluación: Nota: 8
Justificación: La respuesta proporciona una buena comprensión de cómo se pueden utilizar las aserciones en los tests, siguiendo la estruct</t>
  </si>
  <si>
    <t>Evaluación: Nota: 7
Justificación: La respuesta identifica correctamente que las aserciones en los tests se utilizan para validar los datos dentro del código y que su objetivo</t>
  </si>
  <si>
    <t>Evaluación: Nota: 4
Justificación: La respuesta identifica correctamente que las aserciones se utilizan en los tests, pero no desarrolla adecuadamente su función y</t>
  </si>
  <si>
    <t>Evaluación: Nota: 2
Justificación: La respuesta sigue confundiendo las aserciones con mecanismos de validación de datos, como la anotación @</t>
  </si>
  <si>
    <t>Evaluación: Nota: 8
Justificación: La respuesta explica correctamente cómo se pueden utilizar las aserciones en los tests, mencionando la comparación de valores, datos</t>
  </si>
  <si>
    <t>Evaluación: Nota: 8
Justificación: La respuesta explica correctamente cómo se pueden utilizar las aserciones en los tests, es decir, para comprobar que un programa</t>
  </si>
  <si>
    <t>Evaluación: Nota: 8
Justificación: La respuesta muestra una buena comprensión de las aserciones y cómo se utilizan en los tests. Explica correctamente la diferencia</t>
  </si>
  <si>
    <t>Evaluación: Nota: 3
Justificación: La respuesta identifica correctamente que las aserciones se utilizan para verificar condiciones, pero no desarrolla adecuadamente cómo se utiliz</t>
  </si>
  <si>
    <t>Evaluación: Nota: 4
Justificación: La respuesta identifica correctamente que las aserciones se utilizan para comprobar la validez de una variable o dato y que</t>
  </si>
  <si>
    <t>Evaluación: Nota: 8
Justificación: La respuesta explica correctamente qué son las aserciones y cómo se utilizan en los tests. Describe que las aserciones compr</t>
  </si>
  <si>
    <t>Evaluación: Nota: 4
Justificación: La respuesta identifica correctamente que las aserciones son fundamentales en los tests y que su función es asegurar que el código se</t>
  </si>
  <si>
    <t>Evaluación: Nota: 4
Justificación: La respuesta identifica correctamente que las aserciones se utilizan para validar datos, pero su comprensión es limitada y conf</t>
  </si>
  <si>
    <t>Evaluación: Nota: 4
Justificación: La respuesta identifica correctamente que las aserciones de los tests se utilizan para comprobar que el programa funciona de la manera</t>
  </si>
  <si>
    <t>Evaluación: Nota: 4
Justificación: La respuesta menciona correctamente la declaración de aserciones antes del test, aunque confunde la anotación @NotNull con una as</t>
  </si>
  <si>
    <t>Evaluación: Nota: 8
Justificación: La respuesta proporciona una explicación detallada de cómo se pueden utilizar las aserciones en los tests, incluyendo ej</t>
  </si>
  <si>
    <t>Evaluación: Nota: 4
Justificación: La respuesta identifica correctamente que las aserciones son importantes en el testing, pero no desarrolla adecuadamente cómo se pueden utilizar</t>
  </si>
  <si>
    <t>Evaluación: Nota: 0
Justificación: La respuesta es muy breve y no proporciona ninguna información sobre cómo se pueden utilizar las aserciones en los tests ni por qué son</t>
  </si>
  <si>
    <t>Evaluación: Nota: 4
Justificación: La respuesta menciona la librería Jakarta y algunas funciones de aserción, como `assertequals`, lo que sugiere que</t>
  </si>
  <si>
    <t>Evaluación: Nota: 4
Justificación: La respuesta identifica correctamente que las aserciones se pueden utilizar para comprobar las salidas de los test en función de las</t>
  </si>
  <si>
    <t>Evaluación: Nota: 8
Justificación: La respuesta explica correctamente cómo se pueden utilizar las aserciones en los tests para validar la salida de una función en función de los</t>
  </si>
  <si>
    <t>Evaluación: Nota: 7
Justificación: La respuesta reconoce correctamente la importancia de las aserciones en los tests, mencionando que son vitales y fundamentales</t>
  </si>
  <si>
    <t>Evaluación: Nota: 6 Justificación: La respuesta es similar a la que se proporcionó en la anterior pregunta, aunque no se aportan nuevos ejemplos ni se desarroll</t>
  </si>
  <si>
    <t>['Eres un profesor experto en evaluación académica. Tu tarea es corregir respuestas de estudiantes comparándolas con ejemplos de correcciones reales. Asigna una calificación numérica entre 0 y 10, donde 0 representa una respuesta completamente incorrecta o vacía y 10 una respuesta completamente correcta y completa. Analiza la precisión conceptual, la completitud de la respuesta, el uso correcto de la terminología y la claridad de la explicación. Además, proporciona una breve justificación de la nota indicando los conceptos correctamente mencionados, los errores detectados y los conceptos importantes que faltan. ',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 'Pregunta: Describe cómo se pueden utilizar las aserciones en los tests y por qué son importantes.']</t>
  </si>
  <si>
    <t>Calificación: 6/10
Justificación:
* Precisión conceptual: La respuesta tiene una buena idea general de cómo se utilizan las aserciones en los tests, pero no es muy</t>
  </si>
  <si>
    <t>Calificación: 4/10
Justificación:
- Conceptos correctamente mencionados: 
  * Las aserciones son relevantes para el software.
  * Las aserciones ayud</t>
  </si>
  <si>
    <t>Calificación: 6/10
Justificación:
- Conceptos correctamente mencionados: La respuesta menciona que las aserciones son importantes para confirmar que los tests están bien hechos</t>
  </si>
  <si>
    <t>Calificación: 7/10
Justificación:
* Precisión conceptual: La respuesta tiene un buen enfoque en el concepto de aserciones como herramientas de test, pero no</t>
  </si>
  <si>
    <t>**Calificación:** 4/10
**Justificación:**
*   **Precisión conceptual:** La respuesta no aborda con precisión el concepto de aserciones en testing. La</t>
  </si>
  <si>
    <t>Calificación: 6/10
Justificación:
* La respuesta demuestra una comprensión básica de las aserciones y su propósito en los tests.
* Se menciona correctamente</t>
  </si>
  <si>
    <t>Calificación: 7/10
Justificación:
* Conceptos correctamente mencionados:
 + Las aserciones se utilizan en la arquitectura AAA (Arrange, Act, Assert</t>
  </si>
  <si>
    <t>Calificación: 6/10
Justificación:
- Conceptos correctamente mencionados: La respuesta menciona que las aserciones permiten validar que el test haya pasado o no, lo</t>
  </si>
  <si>
    <t>Calificación: 6/10
Justificación:
- Conceptos correctamente mencionados: La respuesta menciona que las aserciones miden el resultado obtenido respecto al resultado esperado,</t>
  </si>
  <si>
    <t>**Calificación: 6/10**
**Justificación:**
* **Precisión conceptual:** La respuesta menciona que las aserciones son validaciones que comprueban si una afirmación</t>
  </si>
  <si>
    <t>Calificación: 7/10
Justificación:
- Conceptos correctamente mencionados: 
  - La función principal de las aserciones en los tests es verificar si una condición es</t>
  </si>
  <si>
    <t>Calificación: 7/10
Justificación:
- Conceptos correctamente mencionados: 
  - Las aserciones se pueden utilizar en los tests para validar y comparar objetos o valores</t>
  </si>
  <si>
    <t>**Calificación: 8/10**
La respuesta proporcionada muestra una buena comprensión de las aserciones en los tests y su importancia en el desarrollo de pruebas. A continu</t>
  </si>
  <si>
    <t>Calificación: 6/10
Justificación:
* Conceptos correctamente mencionados:
 + Las aserciones se utilizan para comprobar el comportamiento del código.
 + Las as</t>
  </si>
  <si>
    <t>Calificación: 6/10
Justificación:
* Conceptos correctamente mencionados: La respuesta menciona que las aserciones se utilizan para comparar resultados y mejorar el código o</t>
  </si>
  <si>
    <t>Calificación: 6/10
Justificación:
* Conceptos correctamente mencionados:
 + Las aserciones se utilizan en los tests para asegurar que el código se ejecute correctamente</t>
  </si>
  <si>
    <t>Calificación: 7/10
Justificación:
* Precisión conceptual: La respuesta muestra una buena comprensión del concepto de aserciones en pruebas, pero no es del todo</t>
  </si>
  <si>
    <t>Calificación: 8/10
Justificación:
- Conceptos correctamente mencionados:
 + Las aserciones se utilizan para comparar un valor introducido con uno deseado.
 +</t>
  </si>
  <si>
    <t>Calificación: 7/10
Justificación:
* La respuesta menciona correctamente el uso de las aserciones en los tests para verificar entradas inválidas y excepciones, como la</t>
  </si>
  <si>
    <t>Calificación: 2/10
Justificación:
- La respuesta menciona diferentes modos en los que se pueden utilizar las aserciones, pero no proporciona una explicación clara o</t>
  </si>
  <si>
    <t>Calificación: 8/10
Justificación:
- La respuesta define correctamente las aserciones como declaraciones que verifican si una condición se cumple o no, lo que es</t>
  </si>
  <si>
    <t>Calificación: 6/10
Justificación:
- Conceptos correctamente mencionados: La respuesta menciona que las aserciones se utilizan en los tests y que tienen importancia,</t>
  </si>
  <si>
    <t>Calificación: 7/10
Justificación:
- Conceptos correctamente mencionados: 
  * Las aserciones se utilizan en los tests.
  * Las aserciones compr</t>
  </si>
  <si>
    <t>Calificación: 2/10
Justificación:
* La respuesta menciona que `assert.equals` se utiliza para introducir valores en los parámetros, lo que es incorrecto. Las</t>
  </si>
  <si>
    <t>Calificación: 0/10
Justificación:
* La respuesta está vacía y no proporciona ninguna información sobre cómo se pueden utilizar las aserciones en los tests o por qué son importantes</t>
  </si>
  <si>
    <t>Calificación: 6/10
Justificación:
- Conceptos correctamente mencionados: La respuesta menciona que las aserciones se utilizan para realizar comprobaciones entre los resultados obten</t>
  </si>
  <si>
    <t>Calificación: 6/10
Justificación:
* Conceptos correctamente mencionados: Las aserciones se utilizan para evaluar valores esperados en los tests, y se menciona</t>
  </si>
  <si>
    <t>Calificación: 6/10
Justificación:
- Conceptos correctamente mencionados:
 + Existen varios tipos de aserciones en los tests.
 + La respuesta menciona específicamente Assertion</t>
  </si>
  <si>
    <t>Calificación: 6/10
Justificación:
- Conceptos correctamente mencionados: La respuesta menciona que las aserciones son verificaciones de validaciones de entrada, lo que es</t>
  </si>
  <si>
    <t>Calificación: 4/10
Justificación:
- Conceptos correctamente mencionados: La respuesta menciona que las aserciones se utilizan para estructurar y validar los tests, lo</t>
  </si>
  <si>
    <t>Calificación: 8/10
Justificación:
- Precisión conceptual: 9/10. La respuesta describe correctamente el propósito de las aserciones en los tests y menciona diferentes</t>
  </si>
  <si>
    <t>Calificación: 6/10
Justificación:
- Conceptos correctamente mencionados: 
  - La definición de una aserción como una declaración dentro de los test.
  -</t>
  </si>
  <si>
    <t>Calificación: 8/10
Justificación:
* La respuesta muestra una comprensión básica de las aserciones en los tests y su propósito.
* Se menciona la import</t>
  </si>
  <si>
    <t xml:space="preserve">Calificación: 8/10
Justificación:
- Conceptos correctamente mencionados: 
  - Las aserciones se utilizan en los tests para comprobar escenarios.
 </t>
  </si>
  <si>
    <t>Calificación: 6/10
Justificación:
- La respuesta menciona algunas aserciones comunes como `assertequals`, `asserttrue` y `assertfalse`, lo que muestra una</t>
  </si>
  <si>
    <t>Calificación: 4/10
Justificación:
* Conceptos correctamente mencionados: 
 + Las aserciones se pueden utilizar para verificar una condición.
 + Si la condición es</t>
  </si>
  <si>
    <t>Calificación: 6/10
Justificación:
* La respuesta menciona que las aserciones son importantes para validar los resultados de los tests, lo que es correcto.
* Sin embargo</t>
  </si>
  <si>
    <t>Calificación: 6/10
Justificación:
* Conceptos correctamente mencionados: El uso de aserciones para verificar el comportamiento de métodos y asegurar que producen los</t>
  </si>
  <si>
    <t>Calificación: 7/10
Justificación:
- **Precisión conceptual**: La respuesta capta correctamente el concepto de las aserciones y su propósito en los tests, aunque no</t>
  </si>
  <si>
    <t>Calificación: 4/10
Justificación:
- Conceptos correctamente mencionados: La respuesta menciona que las aserciones se pueden utilizar para distintas situaciones, lo que es</t>
  </si>
  <si>
    <t>Calificación: 8/10
Justificación:
- **Precisión conceptual**: La respuesta describe correctamente el propósito de las aserciones en el testing, enfatizando su importancia en</t>
  </si>
  <si>
    <t>Calificación: 6/10
Justificación:
- Conceptos correctamente mencionados: La respuesta menciona que las aserciones tienen distintos usos dentro del código y enumera algunos</t>
  </si>
  <si>
    <t>Calificación: 7/10
La respuesta proporciona una visión general de cómo se pueden utilizar las aserciones en los tests, mencionando la posibilidad de comprobar que</t>
  </si>
  <si>
    <t>Calificación: 6/10
Justificación:
- Conceptos correctamente mencionados:
 + Las aserciones son condiciones que se utilizan para verificar algo.
 + Las aserciones se</t>
  </si>
  <si>
    <t>Calificación: 4/10
Justificación:
* Conceptos correctamente mencionados: La respuesta menciona que las aserciones se pueden utilizar para anticiparse a posibles errores y evitar</t>
  </si>
  <si>
    <t>**Calificación: 7/10**
**Justificación:**
La respuesta proporcionada muestra una buena comprensión de la importancia de las aserciones en los tests y su implementación</t>
  </si>
  <si>
    <t>Calificación: 6/10
Justificación:
- Conceptos correctamente mencionados:
 + Las aserciones se utilizan para validar datos en el código.
 + El desarrollo seguro y libre</t>
  </si>
  <si>
    <t>Calificación: 4/10
Justificación:
* La respuesta menciona que las aserciones en los tests sirven para que el código no influya en los datos, lo que es</t>
  </si>
  <si>
    <t>Calificación: 4/10
Justificación:
- Conceptos correctamente mencionados: 
  - Utilidad de las aserciones en los tests
  - Importancia de las as</t>
  </si>
  <si>
    <t>Calificación: 6/10
Justificación:
* Conceptos correctamente mencionados:
 + Las aserciones se pueden utilizar en los tests para comparar valores, datos o resultados.
 +</t>
  </si>
  <si>
    <t>Calificación: 7/10
La respuesta proporcionada muestra una comprensión básica de las aserciones en los tests y su importancia. Sin embargo, hay algunos conceptos importantes</t>
  </si>
  <si>
    <t>Calificación: 6/10
Justificación:
- Conceptos correctamente mencionados:
 + Las aserciones son comprobadores de datos.
 + Devuelven valores de tipo bool (</t>
  </si>
  <si>
    <t>Calificación: 7/10
Justificación:
* Precisión conceptual: La respuesta muestra una buena comprensión del concepto de aserciones y su propósito en los tests. Sin</t>
  </si>
  <si>
    <t>Calificación: 4/10
Justificación:
- Conceptos correctamente mencionados: La respuesta menciona que las aserciones se utilizan para verificar condiciones y que su objetivo es aseg</t>
  </si>
  <si>
    <t>Calificación: 6/10
Justificación:
* La respuesta menciona el concepto de aserciones y su propósito en los tests, lo que es correcto.
* La respuesta</t>
  </si>
  <si>
    <t>Calificación: 7/10
Justificación:
- Conceptos correctamente mencionados: 
  - La definición de aserciones como declaraciones que comprueban si una condición</t>
  </si>
  <si>
    <t>Calificación: 6/10
Justificación:
- Conceptos correctamente mencionados: 
  - La respuesta menciona que las aserciones son importantes y que son el motor básico</t>
  </si>
  <si>
    <t>Calificación: 0
Justificación: La respuesta es completamente vacía y no muestra ningún esfuerzo por abordar la pregunta. No se mencionan conceptos relacionados con</t>
  </si>
  <si>
    <t>Calificación: 6/10
Justificación:
- Conceptos correctamente mencionados: La respuesta menciona que las aserciones se utilizan para validar datos y condiciones, lo que es</t>
  </si>
  <si>
    <t>Calificación: 6/10
Justificación:
* Conceptos correctamente mencionados: La respuesta menciona que las aserciones se utilizan para comprobar que el programa funciona de</t>
  </si>
  <si>
    <t>Calificación: 4/10
Justificación:
* Conceptos correctamente mencionados: La respuesta menciona que las aserciones se declaran antes del test y que sirven para com</t>
  </si>
  <si>
    <t>Calificación: 8/10
Justificación:
- Conceptos correctamente mencionados:
 + Los asserts o aserciones se utilizan para comprobar la validez de un dato o</t>
  </si>
  <si>
    <t>Calificación: 6/10
Justificación:
* Conceptos correctamente mencionados: La respuesta menciona que las aserciones se pueden utilizar para validar los datos en los tests y que</t>
  </si>
  <si>
    <t>Calificación: 6/10
Justificación:
- Conceptos correctamente mencionados: 
  - Las aserciones son importantes en los tests.
  - Las aserciones permiten</t>
  </si>
  <si>
    <t>Calificación: 2/10
Justificación:
* La respuesta es extremadamente breve y no proporciona ninguna información relevante sobre el uso de aserciones en los tests.
* No se</t>
  </si>
  <si>
    <t>Calificación: 0/10
Justificación:
- La respuesta es vacía y no proporciona ninguna información sobre cómo utilizar las aserciones en los tests o su importancia.
- No</t>
  </si>
  <si>
    <t>Calificación: 6/10
Justificación:
* Conceptos correctamente mencionados: La respuesta menciona que las aserciones se pueden utilizar en los tests, lo que es correcto</t>
  </si>
  <si>
    <t>Calificación: 6/10
Justificación:
- Conceptos correctamente mencionados: La respuesta menciona la utilidad de las aserciones para comprobar las salidas de los</t>
  </si>
  <si>
    <t>Calificación: 8/10
La respuesta proporcionada muestra una buena comprensión de las aserciones y su importancia en los tests. La explicación es clara y concisa</t>
  </si>
  <si>
    <t>Calificación: 6/10
Justificación:
- La respuesta menciona que las aserciones son vitales y importantes en los tests, lo que es correcto. Las aserciones</t>
  </si>
  <si>
    <t>Calificación: 0
Justificación: La respuesta es idéntica a la pregunta anterior, lo que indica una falta de comprensión del concepto de aserciones en testing y</t>
  </si>
  <si>
    <t>Calificación: 6/10
Justificación:
- Conceptos correctamente mencionados: La respuesta menciona que las aserciones se utilizan para ejecutar los tests y validar su funcion</t>
  </si>
  <si>
    <t>Calificación: 4/10
Justificación:
- Conceptos correctamente mencionados: La respuesta menciona que las aserciones son relevantes para cubrir el código y evitar errores,</t>
  </si>
  <si>
    <t>Calificación: 6/10
Justificación:
* Conceptos correctamente mencionados: La respuesta menciona que las aserciones son importantes en los tests y que su objetivo es confirmar</t>
  </si>
  <si>
    <t>**Calificación:** 6/10
**Justificación:**
* **Precisión conceptual:** La respuesta tiene una buena comprensión del concepto de aserciones, pero no es completamente</t>
  </si>
  <si>
    <t>Calificación: 4/10
Justificación:
- Conceptos correctamente mencionados: La respuesta menciona que las aserciones se refieren a si el test funciona correctamente o no,</t>
  </si>
  <si>
    <t>**Calificación:** 6/10
**Justificación:**
*   **Precisión conceptual:** La respuesta muestra una buena comprensión del concepto de aserciones y su función en</t>
  </si>
  <si>
    <t>Calificación: 8/10
Justificación:
- **Precisión conceptual**: La respuesta muestra una buena comprensión de las aserciones en el contexto de los tests y su importancia</t>
  </si>
  <si>
    <t>Calificación: 6/10
Justificación:
* Conceptos correctamente mencionados: La respuesta menciona el concepto de aserciones en el contexto de los tests, y su función</t>
  </si>
  <si>
    <t>Calificación: 6/10
Justificación:
* Precisión conceptual: La respuesta menciona correctamente que las aserciones miden el resultado obtenido respecto al resultado esperado, lo que</t>
  </si>
  <si>
    <t>Calificación: 6/10
Justificación:
- Conceptos correctamente mencionados: Las aserciones se utilizan para validar si una afirmación es correcta, y su importancia</t>
  </si>
  <si>
    <t>Calificación: 7/10
Justificación:
* Precisión conceptual: La respuesta captura el concepto básico de las aserciones en los tests, pero no profundiza en detalles</t>
  </si>
  <si>
    <t>Calificación: 7/10
Justificación:
- Conceptos correctamente mencionados: La respuesta menciona que las aserciones se pueden utilizar en los tests para validar y comparar objetos</t>
  </si>
  <si>
    <t>Calificación: 8/10
Justificación:
* Conceptos correctamente mencionados: 
 + La importancia de las aserciones en los tests.
 + La capacidad de especificar el</t>
  </si>
  <si>
    <t>Calificación: 6/10
Justificación:
* Conceptos correctamente mencionados: 
 + Los assert se utilizan para comprobar lo que devuelve o hace una función.
 + Las</t>
  </si>
  <si>
    <t>Calificación: 6/10
Justificación:
- Conceptos correctamente mencionados: La respuesta menciona que las aserciones se utilizan para comparar resultados y mejorar el código o</t>
  </si>
  <si>
    <t>Calificación: 4/10
Justificación:
- **Precisión conceptual**: La respuesta no es completamente precisa en cuanto a la utilización de las aserciones en los tests. La idea</t>
  </si>
  <si>
    <t>Calificación: 7/10
Justificación:
* Precisión conceptual: La respuesta muestra una buena comprensión del concepto de aserciones y su uso en los tests. La idea</t>
  </si>
  <si>
    <t>Calificación: 8/10
Justificación:
- Conceptos correctamente mencionados: 
  - Las aserciones se utilizan para comparar un valor introducido con uno deseado</t>
  </si>
  <si>
    <t>Calificación: 7/10
Justificación:
* Conceptos correctamente mencionados:
 + Utilidad de las aserciones en los tests para detectar errores.
 + Ejemplo de exce</t>
  </si>
  <si>
    <t>Calificación: 4/10
Justificación:
* La respuesta menciona algunos modos en los que se pueden utilizar las aserciones, pero no son exhaustivos. Las aserciones</t>
  </si>
  <si>
    <t>Calificación: 7/10
Justificación:
- La respuesta define correctamente las aserciones como declaraciones que verifican si una condición se cumple o no, lo que es</t>
  </si>
  <si>
    <t>Calificación: 6/10
Justificación:
* Conceptos correctamente mencionados:
 + Las aserciones se utilizan en los tests para comprobar el código.
 + Las as</t>
  </si>
  <si>
    <t>Calificación: 7/10
Justificación:
* Conceptos correctamente mencionados:
 + Las aserciones se utilizan en los tests para comprobar pequeños trozos de código</t>
  </si>
  <si>
    <t>Calificación: 2/10
Justificación:
- Conceptos correctamente mencionados: El concepto de aserciones en los tests y su importancia en el desarrollo de software.
-</t>
  </si>
  <si>
    <t>Calificación: 0
Justificación: La respuesta es vacía y no proporciona ninguna información sobre cómo utilizar las aserciones en los tests ni su importancia. No hay conceptos correctamente</t>
  </si>
  <si>
    <t>Calificación: 6/10
Justificación:
* Conceptos correctamente mencionados: La respuesta menciona que las aserciones se utilizan para realizar comprobaciones entre los resultados obten</t>
  </si>
  <si>
    <t>Calificación: 6/10
Justificación:
* La respuesta menciona que las aserciones se utilizan para evaluar un valor esperado, lo cual es correcto.
* También</t>
  </si>
  <si>
    <t>Calificación: 6/10
Justificación:
- La respuesta menciona que hay varios tipos de aserciones, lo cual es correcto. Sin embargo, no se menciona explíc</t>
  </si>
  <si>
    <t>Calificación: 6/10
Justificación:
- Conceptos correctamente mencionados: 
  - Las aserciones se utilizan para verificar la validez de la entrada.
  -</t>
  </si>
  <si>
    <t>Calificación: 4/10
Justificación:
* Conceptos correctamente mencionados: La respuesta menciona que las aserciones se utilizan para estructurar y validar la forma en que</t>
  </si>
  <si>
    <t>Calificación: 7/10
Justificación:
- Precisión conceptual: La respuesta muestra una buena comprensión de la función de las aserciones en los tests, enfocándose</t>
  </si>
  <si>
    <t>Calificación: 6/10
Justificación:
* Conceptos correctamente mencionados:
 + Las aserciones se refieren a declaraciones dentro de los tests.
 + Las aserciones</t>
  </si>
  <si>
    <t>Calificación: 7/10
Justificación:
* Conceptos correctamente mencionados:
 + Las aserciones se utilizan en los tests para especificar el valor esperado.
 + Las</t>
  </si>
  <si>
    <t>Calificación: 8/10
Justificación:
- **Precisión conceptual**: La respuesta capta correctamente el concepto de aserciones en los tests, enfatizando su papel en la</t>
  </si>
  <si>
    <t>Calificación: 6/10
Justificación:
* La respuesta menciona algunos conceptos básicos sobre aserciones, como `assertequals`, `asserttrue` y `assertfalse`,</t>
  </si>
  <si>
    <t>Calificación: 4/10
Justificación:
* Conceptos correctamente mencionados: La respuesta menciona que las aserciones se pueden utilizar para verificar una condición y que si la</t>
  </si>
  <si>
    <t>Calificación: 7/10
Justificación:
- Conceptos correctamente mencionados: 
  - Las aserciones validan los resultados de los tests.
  - Las aserciones</t>
  </si>
  <si>
    <t>Calificación: 7/10
Justificación:
* Precisión conceptual: La respuesta tiene un buen concepto general sobre las aserciones y su uso en los tests. Entiende que</t>
  </si>
  <si>
    <t xml:space="preserve">Calificación: 8/10
Justificación:
* Conceptos correctamente mencionados: 
 + Las aserciones permiten comprobar si una condición se cumple o no.
</t>
  </si>
  <si>
    <t>Calificación: 2/10
Justificación:
- La respuesta no muestra una comprensión clara de las aserciones y su propósito en los tests. Aunque menciona que</t>
  </si>
  <si>
    <t>Calificación: 8/10
Justificación:
- **Precisión conceptual**: La respuesta demuestra una buena comprensión de las aserciones en el testing y su propósito. Se</t>
  </si>
  <si>
    <t>Calificación: 7/10
Justificación:
- Conceptos correctamente mencionados:
 + Las aserciones tienen distintos usos dentro del código.
 + Existen diferentes tipos de as</t>
  </si>
  <si>
    <t>Calificación: 6/10
Justificación:
- La respuesta menciona que las aserciones se utilizan para comprobar si los datos introducidos son correctos y devuel</t>
  </si>
  <si>
    <t>Calificación: 6/10
Justificación:
* La respuesta demuestra una comprensión básica de las aserciones y su función en los tests. Se menciona que las as</t>
  </si>
  <si>
    <t>Calificación: 4/10
Justificación:
* Conceptos correctamente mencionados:
 + Utilidad de las aserciones para anticiparse a posibles errores.
 + Uso del oper</t>
  </si>
  <si>
    <t>**Calificación: 7/10**
**Justificación:**
*   **Precisión conceptual:** La respuesta muestra una buena comprensión del concepto de aserciones en pruebas unit</t>
  </si>
  <si>
    <t>Calificación: 6/10
Justificación:
- Conceptos correctamente mencionados: La respuesta menciona que las aserciones se utilizan para validar los datos dentro del código, lo</t>
  </si>
  <si>
    <t>Calificación: 4/10
Justificación:
* Conceptos correctamente mencionados: La respuesta menciona que las aserciones se utilizan en los tests, lo que es correcto</t>
  </si>
  <si>
    <t>Calificación: 4/10
Justificación:
- Conceptos correctamente mencionados: La respuesta menciona la importancia de evitar campos nulos y la utilidad de las aserciones</t>
  </si>
  <si>
    <t>Calificación: 7/10
Justificación:
- Conceptos correctamente mencionados: 
  - Las aserciones se pueden utilizar en los tests para comparar valores, datos o resultados</t>
  </si>
  <si>
    <t>Calificación: 7/10
Justificación:
- Conceptos correctamente mencionados: La respuesta menciona que las aserciones permiten comprobar que un programa funciona de la manera</t>
  </si>
  <si>
    <t>Calificación: 6/10
Justificación:
* Conceptos correctamente mencionados: 
 + Las aserciones devuelven valores de tipo bool (verdadero o falso)</t>
  </si>
  <si>
    <t>Calificación: 7/10
Justificación:
* Conceptos correctamente mencionados:
 + Las aserciones verifican si una condición es verdadera.
 + El uso de `</t>
  </si>
  <si>
    <t>Calificación: 4/10
Justificación:
* Precisión conceptual: La respuesta tiene algunos conceptos correctos, como la idea de que las aserciones se usan para verificar condiciones</t>
  </si>
  <si>
    <t xml:space="preserve">**Calificación:** 6/10
**Justificación:**
*   La respuesta muestra una comprensión básica de las aserciones y su propósito en los tests.
*  </t>
  </si>
  <si>
    <t>Calificación: 8/10
Justificación:
* La respuesta es clara y concisa, y destaca la importancia de las aserciones en los tests.
* Describe correctamente el</t>
  </si>
  <si>
    <t>**Calificación:** 6/10
**Justificación:**
*   **Precisión conceptual:** La respuesta tiene algunos conceptos correctos, como la existencia de diferentes tipos de aserc</t>
  </si>
  <si>
    <t>Calificación: 0
Justificación:
* La respuesta es completamente vacía y no muestra ningún intento de abordar la pregunta.
* No hay conceptos correctamente mencionados.
*</t>
  </si>
  <si>
    <t>Calificación: 6/10
Justificación:
- Conceptos correctamente mencionados: La respuesta menciona que las aserciones son condiciones para validar datos, lo cual es correcto.</t>
  </si>
  <si>
    <t>Calificación: 4/10
Justificación:
* Conceptos correctamente mencionados: La respuesta menciona que las aserciones se utilizan para comprobar que el programa funciona de</t>
  </si>
  <si>
    <t>Calificación: 4/10
Justificación:
- Conceptos correctamente mencionados: La respuesta menciona que las aserciones se declaran junto antes del test y que sirven para</t>
  </si>
  <si>
    <t>Calificación: 8/10
Justificación:
* Conceptos correctamente mencionados:
 + Los asserts o aserciones son métodos que permiten comprobar la validez de un</t>
  </si>
  <si>
    <t>Calificación: 6/10
Justificación:
* Precisión conceptual: La respuesta tiene algunos conceptos básicos correctos, como la utilización de aserciones para validar datos y la</t>
  </si>
  <si>
    <t>Calificación: 4/10
Justificación:
* La respuesta menciona que las aserciones son importantes, pero no explica con claridad por qué son importantes. Se limita a</t>
  </si>
  <si>
    <t>Calificación: 0
Justificación:
* La respuesta es muy breve y no proporciona información relevante sobre cómo se pueden utilizar las aserciones en los tests.
* No hay conceptos</t>
  </si>
  <si>
    <t>Calificación: 0/10
Justificación:
* La respuesta "NO SE" indica que el estudiante no tiene conocimiento sobre el tema, lo que es un indicio de que no</t>
  </si>
  <si>
    <t>Calificación: 6/10
Justificación:
- Conceptos correctamente mencionados: La respuesta menciona la utilización de aserciones en los tests y la importancia de utilizar una</t>
  </si>
  <si>
    <t>Calificación: 4/10
Justificación:
* Conceptos correctamente mencionados: La respuesta menciona que las aserciones se pueden utilizar para comprobar las salidas de los</t>
  </si>
  <si>
    <t>Calificación: 8/10
Justificación:
- Conceptos correctamente mencionados: La respuesta menciona correctamente el propósito de las aserciones en los tests, es decir, validar</t>
  </si>
  <si>
    <t>Calificación: 6/10
Justificación:
- Conceptos correctamente mencionados: La respuesta reconoce la importancia de las aserciones en los tests y menciona específicamente la</t>
  </si>
  <si>
    <t>Calificación: 0
Justificación:
* La respuesta es idéntica a la pregunta anterior, lo que sugiere que no se ha leído o comprendido el enunciado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</si>
</sst>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b/>
      <color theme="1"/>
      <name val="Arial"/>
    </font>
    <font>
      <color theme="1"/>
      <name val="Arial"/>
    </font>
  </fonts>
  <fills count="4">
    <fill>
      <patternFill patternType="none"/>
    </fill>
    <fill>
      <patternFill patternType="lightGray"/>
    </fill>
    <fill>
      <patternFill patternType="solid">
        <fgColor rgb="FFFFE599"/>
        <bgColor rgb="FFFFE599"/>
      </patternFill>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0" fillId="0" fontId="2" numFmtId="0" xfId="0" applyAlignment="1" applyFont="1">
      <alignment vertical="bottom"/>
    </xf>
    <xf borderId="0" fillId="0" fontId="3" numFmtId="0" xfId="0" applyAlignment="1" applyFont="1">
      <alignment vertical="bottom"/>
    </xf>
    <xf borderId="0" fillId="2" fontId="3" numFmtId="0" xfId="0" applyAlignment="1" applyFill="1" applyFont="1">
      <alignment vertical="bottom"/>
    </xf>
    <xf borderId="0" fillId="2" fontId="3" numFmtId="0" xfId="0" applyAlignment="1" applyFont="1">
      <alignment horizontal="right" vertical="bottom"/>
    </xf>
    <xf borderId="0" fillId="0" fontId="1" numFmtId="3" xfId="0" applyAlignment="1" applyFont="1" applyNumberFormat="1">
      <alignment readingOrder="0"/>
    </xf>
    <xf borderId="0" fillId="0" fontId="3" numFmtId="0" xfId="0" applyAlignment="1" applyFont="1">
      <alignment horizontal="right" vertical="bottom"/>
    </xf>
    <xf borderId="0" fillId="2" fontId="3" numFmtId="2" xfId="0" applyAlignment="1" applyFont="1" applyNumberFormat="1">
      <alignment horizontal="right" vertical="bottom"/>
    </xf>
    <xf borderId="0" fillId="2" fontId="3" numFmtId="9" xfId="0" applyAlignment="1" applyFont="1" applyNumberFormat="1">
      <alignment horizontal="right" vertical="bottom"/>
    </xf>
    <xf borderId="0" fillId="2" fontId="3" numFmtId="164" xfId="0" applyAlignment="1" applyFont="1" applyNumberFormat="1">
      <alignment horizontal="right" vertical="bottom"/>
    </xf>
    <xf borderId="0" fillId="2" fontId="3" numFmtId="10" xfId="0" applyAlignment="1" applyFont="1" applyNumberFormat="1">
      <alignment horizontal="right" vertical="bottom"/>
    </xf>
    <xf borderId="0" fillId="3" fontId="1" numFmtId="0" xfId="0" applyFill="1" applyFont="1"/>
    <xf borderId="0" fillId="3" fontId="1" numFmtId="2" xfId="0" applyFont="1" applyNumberFormat="1"/>
    <xf borderId="0" fillId="3" fontId="1" numFmtId="9" xfId="0" applyFont="1" applyNumberFormat="1"/>
    <xf borderId="0" fillId="3" fontId="1" numFmtId="164" xfId="0" applyFont="1" applyNumberFormat="1"/>
    <xf borderId="0" fillId="3" fontId="1" numFmtId="10" xfId="0" applyFont="1" applyNumberFormat="1"/>
    <xf borderId="0" fillId="3" fontId="3" numFmtId="0" xfId="0" applyAlignment="1" applyFont="1">
      <alignment vertical="bottom"/>
    </xf>
    <xf borderId="0" fillId="3" fontId="3" numFmtId="0" xfId="0" applyAlignment="1" applyFont="1">
      <alignment horizontal="right" vertical="bottom"/>
    </xf>
    <xf borderId="0" fillId="3" fontId="3" numFmtId="2" xfId="0" applyAlignment="1" applyFont="1" applyNumberFormat="1">
      <alignment horizontal="right" vertical="bottom"/>
    </xf>
    <xf borderId="0" fillId="3" fontId="3" numFmtId="9" xfId="0" applyAlignment="1" applyFont="1" applyNumberFormat="1">
      <alignment horizontal="right" vertical="bottom"/>
    </xf>
    <xf borderId="0" fillId="3" fontId="3" numFmtId="164" xfId="0" applyAlignment="1" applyFont="1" applyNumberFormat="1">
      <alignment horizontal="right" vertical="bottom"/>
    </xf>
    <xf borderId="0" fillId="3" fontId="3"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resultados!$A$3:$A$73</c:f>
            </c:strRef>
          </c:cat>
          <c:val>
            <c:numRef>
              <c:f>resultados!$I$3:$I$73</c:f>
              <c:numCache/>
            </c:numRef>
          </c:val>
          <c:smooth val="0"/>
        </c:ser>
        <c:axId val="1534397569"/>
        <c:axId val="867078568"/>
      </c:lineChart>
      <c:catAx>
        <c:axId val="15343975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67078568"/>
      </c:catAx>
      <c:valAx>
        <c:axId val="8670785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439756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cat>
            <c:strRef>
              <c:f>resultados!$A$74:$A$142</c:f>
            </c:strRef>
          </c:cat>
          <c:val>
            <c:numRef>
              <c:f>resultados!$I$74:$I$143</c:f>
              <c:numCache/>
            </c:numRef>
          </c:val>
          <c:smooth val="0"/>
        </c:ser>
        <c:axId val="150793570"/>
        <c:axId val="736181972"/>
      </c:lineChart>
      <c:catAx>
        <c:axId val="1507935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36181972"/>
      </c:catAx>
      <c:valAx>
        <c:axId val="7361819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79357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628650</xdr:colOff>
      <xdr:row>10</xdr:row>
      <xdr:rowOff>152400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438150</xdr:colOff>
      <xdr:row>11</xdr:row>
      <xdr:rowOff>457200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5"/>
    <col customWidth="1" min="3" max="3" width="18.38"/>
    <col customWidth="1" min="4" max="4" width="79.88"/>
  </cols>
  <sheetData>
    <row r="1">
      <c r="A1" s="1" t="s">
        <v>0</v>
      </c>
      <c r="B1" s="1" t="s">
        <v>1</v>
      </c>
      <c r="C1" s="1" t="s">
        <v>2</v>
      </c>
      <c r="D1" s="1" t="s">
        <v>3</v>
      </c>
      <c r="E1" s="1" t="s">
        <v>4</v>
      </c>
      <c r="F1" s="2" t="s">
        <v>5</v>
      </c>
      <c r="G1" s="1" t="s">
        <v>6</v>
      </c>
      <c r="H1" s="3" t="s">
        <v>7</v>
      </c>
      <c r="I1" s="3" t="s">
        <v>8</v>
      </c>
      <c r="J1" s="4"/>
      <c r="K1" s="4"/>
      <c r="L1" s="4"/>
      <c r="M1" s="5" t="s">
        <v>9</v>
      </c>
      <c r="N1" s="5" t="s">
        <v>10</v>
      </c>
      <c r="O1" s="5" t="s">
        <v>11</v>
      </c>
      <c r="P1" s="5" t="s">
        <v>12</v>
      </c>
      <c r="Q1" s="6">
        <v>1.0</v>
      </c>
      <c r="R1" s="6">
        <v>2.0</v>
      </c>
      <c r="S1" s="6">
        <v>3.0</v>
      </c>
      <c r="T1" s="6">
        <v>4.0</v>
      </c>
      <c r="U1" s="6">
        <v>5.0</v>
      </c>
      <c r="V1" s="6">
        <v>-1.0</v>
      </c>
      <c r="W1" s="6">
        <v>-2.0</v>
      </c>
      <c r="X1" s="6">
        <v>-3.0</v>
      </c>
      <c r="Y1" s="6">
        <v>-4.0</v>
      </c>
      <c r="Z1" s="6">
        <v>-5.0</v>
      </c>
      <c r="AA1" s="5" t="s">
        <v>13</v>
      </c>
    </row>
    <row r="2">
      <c r="A2" s="1">
        <v>0.0</v>
      </c>
      <c r="B2" s="1" t="s">
        <v>14</v>
      </c>
      <c r="C2" s="1" t="s">
        <v>15</v>
      </c>
      <c r="D2" s="1" t="s">
        <v>16</v>
      </c>
      <c r="E2" s="1">
        <v>4.0</v>
      </c>
      <c r="F2" s="7">
        <v>1.22266101837158E15</v>
      </c>
      <c r="G2" s="1">
        <v>4.0</v>
      </c>
      <c r="H2" s="8">
        <f t="shared" ref="H2:H285" si="2">ABS(I2)</f>
        <v>0</v>
      </c>
      <c r="I2" s="8">
        <f t="shared" ref="I2:I285" si="3">E2-G2</f>
        <v>0</v>
      </c>
      <c r="J2" s="4"/>
      <c r="K2" s="4"/>
      <c r="L2" s="4"/>
      <c r="M2" s="6">
        <f>MAX(H1:H73)</f>
        <v>6</v>
      </c>
      <c r="N2" s="9">
        <f t="shared" ref="N2:O2" si="1">AVERAGE(H1:H73)</f>
        <v>1.180555556</v>
      </c>
      <c r="O2" s="9">
        <f t="shared" si="1"/>
        <v>-0.2083333333</v>
      </c>
      <c r="P2" s="10">
        <f>COUNTIF(I2:I73, 0) / COUNT(I2:I73)
</f>
        <v>0.2916666667</v>
      </c>
      <c r="Q2" s="11">
        <f>COUNTIF(I2:I73, 1) / COUNT(I2:I73)</f>
        <v>0.2083333333</v>
      </c>
      <c r="R2" s="12">
        <f>COUNTIF(I2:I73, 2) / COUNT(I2:I73)</f>
        <v>0.06944444444</v>
      </c>
      <c r="S2" s="12">
        <f>COUNTIF(I2:I73, 3) / COUNT(I2:I73)</f>
        <v>0.02777777778</v>
      </c>
      <c r="T2" s="12">
        <f>COUNTIF(I2:I73, 4) / COUNT(I2:I73)</f>
        <v>0.01388888889</v>
      </c>
      <c r="U2" s="12">
        <f>COUNTIF(I2:I73, 5) / COUNT(I2:I73)</f>
        <v>0</v>
      </c>
      <c r="V2" s="12">
        <f>COUNTIF(I2:I73, -1) / COUNT(I2:I73)</f>
        <v>0.2222222222</v>
      </c>
      <c r="W2" s="12">
        <f>COUNTIF(I2:I73, -2) / COUNT(I2:I73)</f>
        <v>0.06944444444</v>
      </c>
      <c r="X2" s="12">
        <f>COUNTIF(I2:I73, -3) / COUNT(I2:I73)</f>
        <v>0.08333333333</v>
      </c>
      <c r="Y2" s="12">
        <f>COUNTIF(H2:H73, -4) / COUNT(H2:H73)</f>
        <v>0</v>
      </c>
      <c r="Z2" s="12">
        <f>COUNTIF(I2:I73, -5) / COUNT(I2:I73)</f>
        <v>0</v>
      </c>
      <c r="AA2" s="12">
        <f>COUNTIF(H2:H73, "&lt;=1") / COUNT(H2:H73)</f>
        <v>0.7222222222</v>
      </c>
    </row>
    <row r="3">
      <c r="A3" s="1">
        <v>1.0</v>
      </c>
      <c r="B3" s="1" t="s">
        <v>17</v>
      </c>
      <c r="C3" s="1" t="s">
        <v>15</v>
      </c>
      <c r="D3" s="1" t="s">
        <v>18</v>
      </c>
      <c r="E3" s="1">
        <v>2.0</v>
      </c>
      <c r="F3" s="7">
        <v>1.07563436031341E16</v>
      </c>
      <c r="G3" s="1">
        <v>4.0</v>
      </c>
      <c r="H3" s="8">
        <f t="shared" si="2"/>
        <v>2</v>
      </c>
      <c r="I3" s="8">
        <f t="shared" si="3"/>
        <v>-2</v>
      </c>
    </row>
    <row r="4">
      <c r="A4" s="1">
        <v>2.0</v>
      </c>
      <c r="B4" s="1" t="s">
        <v>19</v>
      </c>
      <c r="C4" s="1" t="s">
        <v>15</v>
      </c>
      <c r="D4" s="1" t="s">
        <v>20</v>
      </c>
      <c r="E4" s="1">
        <v>5.0</v>
      </c>
      <c r="F4" s="7">
        <v>1.05803976058959E16</v>
      </c>
      <c r="G4" s="1">
        <v>4.0</v>
      </c>
      <c r="H4" s="8">
        <f t="shared" si="2"/>
        <v>1</v>
      </c>
      <c r="I4" s="8">
        <f t="shared" si="3"/>
        <v>1</v>
      </c>
      <c r="M4" s="13"/>
      <c r="N4" s="13"/>
      <c r="O4" s="13"/>
      <c r="P4" s="13"/>
      <c r="Q4" s="13"/>
      <c r="R4" s="13"/>
      <c r="S4" s="13"/>
      <c r="T4" s="13"/>
      <c r="U4" s="13"/>
      <c r="V4" s="13"/>
      <c r="W4" s="13"/>
      <c r="X4" s="13"/>
      <c r="Y4" s="13"/>
      <c r="Z4" s="13"/>
      <c r="AA4" s="13"/>
    </row>
    <row r="5">
      <c r="A5" s="1">
        <v>3.0</v>
      </c>
      <c r="B5" s="1" t="s">
        <v>21</v>
      </c>
      <c r="C5" s="1" t="s">
        <v>15</v>
      </c>
      <c r="D5" s="1" t="s">
        <v>22</v>
      </c>
      <c r="E5" s="1">
        <v>4.0</v>
      </c>
      <c r="F5" s="7">
        <v>1.08687770366668E15</v>
      </c>
      <c r="G5" s="1">
        <v>7.0</v>
      </c>
      <c r="H5" s="8">
        <f t="shared" si="2"/>
        <v>3</v>
      </c>
      <c r="I5" s="8">
        <f t="shared" si="3"/>
        <v>-3</v>
      </c>
      <c r="M5" s="13"/>
      <c r="N5" s="14"/>
      <c r="O5" s="14"/>
      <c r="P5" s="15"/>
      <c r="Q5" s="16"/>
      <c r="R5" s="17"/>
      <c r="S5" s="17"/>
      <c r="T5" s="17"/>
      <c r="U5" s="17"/>
      <c r="V5" s="17"/>
      <c r="W5" s="17"/>
      <c r="X5" s="17"/>
      <c r="Y5" s="17"/>
      <c r="Z5" s="17"/>
      <c r="AA5" s="17"/>
    </row>
    <row r="6">
      <c r="A6" s="1">
        <v>4.0</v>
      </c>
      <c r="B6" s="1" t="s">
        <v>23</v>
      </c>
      <c r="C6" s="1" t="s">
        <v>15</v>
      </c>
      <c r="D6" s="1" t="s">
        <v>24</v>
      </c>
      <c r="E6" s="1">
        <v>6.0</v>
      </c>
      <c r="F6" s="7">
        <v>1.03189756870269E16</v>
      </c>
      <c r="G6" s="1">
        <v>4.0</v>
      </c>
      <c r="H6" s="8">
        <f t="shared" si="2"/>
        <v>2</v>
      </c>
      <c r="I6" s="8">
        <f t="shared" si="3"/>
        <v>2</v>
      </c>
    </row>
    <row r="7">
      <c r="A7" s="1">
        <v>5.0</v>
      </c>
      <c r="B7" s="1" t="s">
        <v>25</v>
      </c>
      <c r="C7" s="1" t="s">
        <v>15</v>
      </c>
      <c r="D7" s="1" t="s">
        <v>26</v>
      </c>
      <c r="E7" s="1">
        <v>6.0</v>
      </c>
      <c r="F7" s="7">
        <v>1.07450113296508E15</v>
      </c>
      <c r="G7" s="1">
        <v>7.0</v>
      </c>
      <c r="H7" s="8">
        <f t="shared" si="2"/>
        <v>1</v>
      </c>
      <c r="I7" s="8">
        <f t="shared" si="3"/>
        <v>-1</v>
      </c>
    </row>
    <row r="8">
      <c r="A8" s="1">
        <v>6.0</v>
      </c>
      <c r="B8" s="1" t="s">
        <v>27</v>
      </c>
      <c r="C8" s="1" t="s">
        <v>15</v>
      </c>
      <c r="D8" s="1" t="s">
        <v>28</v>
      </c>
      <c r="E8" s="1">
        <v>7.0</v>
      </c>
      <c r="F8" s="7">
        <v>1.08400893211364E16</v>
      </c>
      <c r="G8" s="1">
        <v>8.0</v>
      </c>
      <c r="H8" s="8">
        <f t="shared" si="2"/>
        <v>1</v>
      </c>
      <c r="I8" s="8">
        <f t="shared" si="3"/>
        <v>-1</v>
      </c>
    </row>
    <row r="9">
      <c r="A9" s="1">
        <v>7.0</v>
      </c>
      <c r="B9" s="1" t="s">
        <v>29</v>
      </c>
      <c r="C9" s="1" t="s">
        <v>15</v>
      </c>
      <c r="D9" s="1" t="s">
        <v>30</v>
      </c>
      <c r="E9" s="1">
        <v>5.0</v>
      </c>
      <c r="F9" s="7">
        <v>1.03462216854095E16</v>
      </c>
      <c r="G9" s="1">
        <v>8.0</v>
      </c>
      <c r="H9" s="8">
        <f t="shared" si="2"/>
        <v>3</v>
      </c>
      <c r="I9" s="8">
        <f t="shared" si="3"/>
        <v>-3</v>
      </c>
    </row>
    <row r="10">
      <c r="A10" s="1">
        <v>8.0</v>
      </c>
      <c r="B10" s="1" t="s">
        <v>31</v>
      </c>
      <c r="C10" s="1" t="s">
        <v>15</v>
      </c>
      <c r="D10" s="1" t="s">
        <v>32</v>
      </c>
      <c r="E10" s="1">
        <v>7.0</v>
      </c>
      <c r="F10" s="7">
        <v>1.08463289737701E16</v>
      </c>
      <c r="G10" s="1">
        <v>4.0</v>
      </c>
      <c r="H10" s="8">
        <f t="shared" si="2"/>
        <v>3</v>
      </c>
      <c r="I10" s="8">
        <f t="shared" si="3"/>
        <v>3</v>
      </c>
    </row>
    <row r="11">
      <c r="A11" s="1">
        <v>9.0</v>
      </c>
      <c r="B11" s="1" t="s">
        <v>33</v>
      </c>
      <c r="C11" s="1" t="s">
        <v>15</v>
      </c>
      <c r="D11" s="1" t="s">
        <v>34</v>
      </c>
      <c r="E11" s="1">
        <v>6.0</v>
      </c>
      <c r="F11" s="7">
        <v>1.08288280963897E15</v>
      </c>
      <c r="G11" s="1">
        <v>5.0</v>
      </c>
      <c r="H11" s="8">
        <f t="shared" si="2"/>
        <v>1</v>
      </c>
      <c r="I11" s="8">
        <f t="shared" si="3"/>
        <v>1</v>
      </c>
    </row>
    <row r="12">
      <c r="A12" s="1">
        <v>10.0</v>
      </c>
      <c r="B12" s="1" t="s">
        <v>35</v>
      </c>
      <c r="C12" s="1" t="s">
        <v>15</v>
      </c>
      <c r="D12" s="1" t="s">
        <v>36</v>
      </c>
      <c r="E12" s="1">
        <v>6.0</v>
      </c>
      <c r="F12" s="7">
        <v>1.08378384113311E16</v>
      </c>
      <c r="G12" s="1">
        <v>7.0</v>
      </c>
      <c r="H12" s="8">
        <f t="shared" si="2"/>
        <v>1</v>
      </c>
      <c r="I12" s="8">
        <f t="shared" si="3"/>
        <v>-1</v>
      </c>
    </row>
    <row r="13">
      <c r="A13" s="1">
        <v>11.0</v>
      </c>
      <c r="B13" s="1" t="s">
        <v>37</v>
      </c>
      <c r="C13" s="1" t="s">
        <v>15</v>
      </c>
      <c r="D13" s="1" t="s">
        <v>38</v>
      </c>
      <c r="E13" s="1">
        <v>6.0</v>
      </c>
      <c r="F13" s="7">
        <v>1.07224340438842E16</v>
      </c>
      <c r="G13" s="1">
        <v>7.0</v>
      </c>
      <c r="H13" s="8">
        <f t="shared" si="2"/>
        <v>1</v>
      </c>
      <c r="I13" s="8">
        <f t="shared" si="3"/>
        <v>-1</v>
      </c>
    </row>
    <row r="14">
      <c r="A14" s="1">
        <v>12.0</v>
      </c>
      <c r="B14" s="1" t="s">
        <v>39</v>
      </c>
      <c r="C14" s="1" t="s">
        <v>15</v>
      </c>
      <c r="D14" s="1" t="s">
        <v>40</v>
      </c>
      <c r="E14" s="1">
        <v>8.0</v>
      </c>
      <c r="F14" s="7">
        <v>1.13163449764251E16</v>
      </c>
      <c r="G14" s="1">
        <v>8.0</v>
      </c>
      <c r="H14" s="8">
        <f t="shared" si="2"/>
        <v>0</v>
      </c>
      <c r="I14" s="8">
        <f t="shared" si="3"/>
        <v>0</v>
      </c>
    </row>
    <row r="15">
      <c r="A15" s="1">
        <v>13.0</v>
      </c>
      <c r="B15" s="1" t="s">
        <v>41</v>
      </c>
      <c r="C15" s="1" t="s">
        <v>15</v>
      </c>
      <c r="D15" s="1" t="s">
        <v>42</v>
      </c>
      <c r="E15" s="1">
        <v>5.0</v>
      </c>
      <c r="F15" s="7">
        <v>1.02470784187316E15</v>
      </c>
      <c r="G15" s="1">
        <v>5.0</v>
      </c>
      <c r="H15" s="8">
        <f t="shared" si="2"/>
        <v>0</v>
      </c>
      <c r="I15" s="8">
        <f t="shared" si="3"/>
        <v>0</v>
      </c>
    </row>
    <row r="16">
      <c r="A16" s="1">
        <v>14.0</v>
      </c>
      <c r="B16" s="1" t="s">
        <v>43</v>
      </c>
      <c r="C16" s="1" t="s">
        <v>15</v>
      </c>
      <c r="D16" s="1" t="s">
        <v>44</v>
      </c>
      <c r="E16" s="1">
        <v>7.0</v>
      </c>
      <c r="F16" s="7">
        <v>1.03085913658142E16</v>
      </c>
      <c r="G16" s="1">
        <v>5.0</v>
      </c>
      <c r="H16" s="8">
        <f t="shared" si="2"/>
        <v>2</v>
      </c>
      <c r="I16" s="8">
        <f t="shared" si="3"/>
        <v>2</v>
      </c>
    </row>
    <row r="17">
      <c r="A17" s="1">
        <v>15.0</v>
      </c>
      <c r="B17" s="1" t="s">
        <v>45</v>
      </c>
      <c r="C17" s="1" t="s">
        <v>15</v>
      </c>
      <c r="D17" s="1" t="s">
        <v>46</v>
      </c>
      <c r="E17" s="1">
        <v>2.0</v>
      </c>
      <c r="F17" s="7">
        <v>1.12921109199523E16</v>
      </c>
      <c r="G17" s="1">
        <v>4.0</v>
      </c>
      <c r="H17" s="8">
        <f t="shared" si="2"/>
        <v>2</v>
      </c>
      <c r="I17" s="8">
        <f t="shared" si="3"/>
        <v>-2</v>
      </c>
    </row>
    <row r="18">
      <c r="A18" s="1">
        <v>16.0</v>
      </c>
      <c r="B18" s="1" t="s">
        <v>47</v>
      </c>
      <c r="C18" s="1" t="s">
        <v>15</v>
      </c>
      <c r="D18" s="1" t="s">
        <v>48</v>
      </c>
      <c r="E18" s="1">
        <v>7.0</v>
      </c>
      <c r="F18" s="7">
        <v>1.08325502872467E16</v>
      </c>
      <c r="G18" s="1">
        <v>7.0</v>
      </c>
      <c r="H18" s="8">
        <f t="shared" si="2"/>
        <v>0</v>
      </c>
      <c r="I18" s="8">
        <f t="shared" si="3"/>
        <v>0</v>
      </c>
    </row>
    <row r="19">
      <c r="A19" s="1">
        <v>17.0</v>
      </c>
      <c r="B19" s="1" t="s">
        <v>49</v>
      </c>
      <c r="C19" s="1" t="s">
        <v>15</v>
      </c>
      <c r="D19" s="1" t="s">
        <v>50</v>
      </c>
      <c r="E19" s="1">
        <v>9.0</v>
      </c>
      <c r="F19" s="7">
        <v>1.07693943977355E16</v>
      </c>
      <c r="G19" s="1">
        <v>8.0</v>
      </c>
      <c r="H19" s="8">
        <f t="shared" si="2"/>
        <v>1</v>
      </c>
      <c r="I19" s="8">
        <f t="shared" si="3"/>
        <v>1</v>
      </c>
    </row>
    <row r="20">
      <c r="A20" s="1">
        <v>18.0</v>
      </c>
      <c r="B20" s="1" t="s">
        <v>51</v>
      </c>
      <c r="C20" s="1" t="s">
        <v>15</v>
      </c>
      <c r="D20" s="1" t="s">
        <v>52</v>
      </c>
      <c r="E20" s="1">
        <v>7.0</v>
      </c>
      <c r="F20" s="7">
        <v>1.08501296043396E14</v>
      </c>
      <c r="G20" s="1">
        <v>8.0</v>
      </c>
      <c r="H20" s="8">
        <f t="shared" si="2"/>
        <v>1</v>
      </c>
      <c r="I20" s="8">
        <f t="shared" si="3"/>
        <v>-1</v>
      </c>
    </row>
    <row r="21">
      <c r="A21" s="1">
        <v>19.0</v>
      </c>
      <c r="B21" s="1" t="s">
        <v>53</v>
      </c>
      <c r="C21" s="1" t="s">
        <v>15</v>
      </c>
      <c r="D21" s="1" t="s">
        <v>54</v>
      </c>
      <c r="E21" s="1">
        <v>0.0</v>
      </c>
      <c r="F21" s="7">
        <v>1.02234034538269E16</v>
      </c>
      <c r="G21" s="1">
        <v>1.0</v>
      </c>
      <c r="H21" s="8">
        <f t="shared" si="2"/>
        <v>1</v>
      </c>
      <c r="I21" s="8">
        <f t="shared" si="3"/>
        <v>-1</v>
      </c>
    </row>
    <row r="22">
      <c r="A22" s="1">
        <v>20.0</v>
      </c>
      <c r="B22" s="1" t="s">
        <v>55</v>
      </c>
      <c r="C22" s="1" t="s">
        <v>15</v>
      </c>
      <c r="D22" s="1" t="s">
        <v>56</v>
      </c>
      <c r="E22" s="1">
        <v>8.0</v>
      </c>
      <c r="F22" s="7">
        <v>1.12664060592651E16</v>
      </c>
      <c r="G22" s="1">
        <v>8.0</v>
      </c>
      <c r="H22" s="8">
        <f t="shared" si="2"/>
        <v>0</v>
      </c>
      <c r="I22" s="8">
        <f t="shared" si="3"/>
        <v>0</v>
      </c>
    </row>
    <row r="23">
      <c r="A23" s="1">
        <v>21.0</v>
      </c>
      <c r="B23" s="1" t="s">
        <v>57</v>
      </c>
      <c r="C23" s="1" t="s">
        <v>15</v>
      </c>
      <c r="D23" s="1" t="s">
        <v>58</v>
      </c>
      <c r="E23" s="1">
        <v>4.0</v>
      </c>
      <c r="F23" s="7">
        <v>1.02132964134216E15</v>
      </c>
      <c r="G23" s="1">
        <v>5.0</v>
      </c>
      <c r="H23" s="8">
        <f t="shared" si="2"/>
        <v>1</v>
      </c>
      <c r="I23" s="8">
        <f t="shared" si="3"/>
        <v>-1</v>
      </c>
    </row>
    <row r="24">
      <c r="A24" s="1">
        <v>22.0</v>
      </c>
      <c r="B24" s="1" t="s">
        <v>59</v>
      </c>
      <c r="C24" s="1" t="s">
        <v>15</v>
      </c>
      <c r="D24" s="1" t="s">
        <v>60</v>
      </c>
      <c r="E24" s="1">
        <v>7.0</v>
      </c>
      <c r="F24" s="7">
        <v>1.07251076698303E16</v>
      </c>
      <c r="G24" s="1">
        <v>7.0</v>
      </c>
      <c r="H24" s="8">
        <f t="shared" si="2"/>
        <v>0</v>
      </c>
      <c r="I24" s="8">
        <f t="shared" si="3"/>
        <v>0</v>
      </c>
    </row>
    <row r="25">
      <c r="A25" s="1">
        <v>23.0</v>
      </c>
      <c r="B25" s="1" t="s">
        <v>61</v>
      </c>
      <c r="C25" s="1" t="s">
        <v>15</v>
      </c>
      <c r="D25" s="1" t="s">
        <v>62</v>
      </c>
      <c r="E25" s="1">
        <v>1.0</v>
      </c>
      <c r="F25" s="7">
        <v>1.02335512638092E16</v>
      </c>
      <c r="G25" s="1">
        <v>1.0</v>
      </c>
      <c r="H25" s="8">
        <f t="shared" si="2"/>
        <v>0</v>
      </c>
      <c r="I25" s="8">
        <f t="shared" si="3"/>
        <v>0</v>
      </c>
    </row>
    <row r="26">
      <c r="A26" s="1">
        <v>24.0</v>
      </c>
      <c r="B26" s="1" t="s">
        <v>63</v>
      </c>
      <c r="C26" s="1" t="s">
        <v>15</v>
      </c>
      <c r="D26" s="1" t="s">
        <v>64</v>
      </c>
      <c r="E26" s="1">
        <v>0.0</v>
      </c>
      <c r="F26" s="7">
        <v>9.93250060081482E14</v>
      </c>
      <c r="G26" s="1">
        <v>0.0</v>
      </c>
      <c r="H26" s="8">
        <f t="shared" si="2"/>
        <v>0</v>
      </c>
      <c r="I26" s="8">
        <f t="shared" si="3"/>
        <v>0</v>
      </c>
    </row>
    <row r="27">
      <c r="A27" s="1">
        <v>25.0</v>
      </c>
      <c r="B27" s="1" t="s">
        <v>65</v>
      </c>
      <c r="C27" s="1" t="s">
        <v>15</v>
      </c>
      <c r="D27" s="1" t="s">
        <v>66</v>
      </c>
      <c r="E27" s="1">
        <v>7.0</v>
      </c>
      <c r="F27" s="7">
        <v>1.03045377731323E16</v>
      </c>
      <c r="G27" s="1">
        <v>4.0</v>
      </c>
      <c r="H27" s="8">
        <f t="shared" si="2"/>
        <v>3</v>
      </c>
      <c r="I27" s="8">
        <f t="shared" si="3"/>
        <v>3</v>
      </c>
    </row>
    <row r="28">
      <c r="A28" s="1">
        <v>26.0</v>
      </c>
      <c r="B28" s="1" t="s">
        <v>67</v>
      </c>
      <c r="C28" s="1" t="s">
        <v>15</v>
      </c>
      <c r="D28" s="1" t="s">
        <v>68</v>
      </c>
      <c r="E28" s="1">
        <v>7.0</v>
      </c>
      <c r="F28" s="7">
        <v>1.02419521808624E16</v>
      </c>
      <c r="G28" s="1">
        <v>7.0</v>
      </c>
      <c r="H28" s="8">
        <f t="shared" si="2"/>
        <v>0</v>
      </c>
      <c r="I28" s="8">
        <f t="shared" si="3"/>
        <v>0</v>
      </c>
    </row>
    <row r="29">
      <c r="A29" s="1">
        <v>27.0</v>
      </c>
      <c r="B29" s="1" t="s">
        <v>69</v>
      </c>
      <c r="C29" s="1" t="s">
        <v>15</v>
      </c>
      <c r="D29" s="1" t="s">
        <v>70</v>
      </c>
      <c r="E29" s="1">
        <v>4.0</v>
      </c>
      <c r="F29" s="7">
        <v>1.03036963939666E16</v>
      </c>
      <c r="G29" s="1">
        <v>7.0</v>
      </c>
      <c r="H29" s="8">
        <f t="shared" si="2"/>
        <v>3</v>
      </c>
      <c r="I29" s="8">
        <f t="shared" si="3"/>
        <v>-3</v>
      </c>
    </row>
    <row r="30">
      <c r="A30" s="1">
        <v>28.0</v>
      </c>
      <c r="B30" s="1" t="s">
        <v>71</v>
      </c>
      <c r="C30" s="1" t="s">
        <v>15</v>
      </c>
      <c r="D30" s="1" t="s">
        <v>72</v>
      </c>
      <c r="E30" s="1">
        <v>4.0</v>
      </c>
      <c r="F30" s="7">
        <v>1.02664184570312E15</v>
      </c>
      <c r="G30" s="1">
        <v>4.0</v>
      </c>
      <c r="H30" s="8">
        <f t="shared" si="2"/>
        <v>0</v>
      </c>
      <c r="I30" s="8">
        <f t="shared" si="3"/>
        <v>0</v>
      </c>
    </row>
    <row r="31">
      <c r="A31" s="1">
        <v>29.0</v>
      </c>
      <c r="B31" s="1" t="s">
        <v>73</v>
      </c>
      <c r="C31" s="1" t="s">
        <v>15</v>
      </c>
      <c r="D31" s="1" t="s">
        <v>74</v>
      </c>
      <c r="E31" s="1">
        <v>3.0</v>
      </c>
      <c r="F31" s="7">
        <v>1.02384355068206E15</v>
      </c>
      <c r="G31" s="1">
        <v>4.0</v>
      </c>
      <c r="H31" s="8">
        <f t="shared" si="2"/>
        <v>1</v>
      </c>
      <c r="I31" s="8">
        <f t="shared" si="3"/>
        <v>-1</v>
      </c>
    </row>
    <row r="32">
      <c r="A32" s="1">
        <v>30.0</v>
      </c>
      <c r="B32" s="1" t="s">
        <v>75</v>
      </c>
      <c r="C32" s="1" t="s">
        <v>15</v>
      </c>
      <c r="D32" s="1" t="s">
        <v>76</v>
      </c>
      <c r="E32" s="1">
        <v>9.0</v>
      </c>
      <c r="F32" s="7">
        <v>1.08668227195739E16</v>
      </c>
      <c r="G32" s="1">
        <v>8.0</v>
      </c>
      <c r="H32" s="8">
        <f t="shared" si="2"/>
        <v>1</v>
      </c>
      <c r="I32" s="8">
        <f t="shared" si="3"/>
        <v>1</v>
      </c>
    </row>
    <row r="33">
      <c r="A33" s="1">
        <v>31.0</v>
      </c>
      <c r="B33" s="1" t="s">
        <v>77</v>
      </c>
      <c r="C33" s="1" t="s">
        <v>15</v>
      </c>
      <c r="D33" s="1" t="s">
        <v>78</v>
      </c>
      <c r="E33" s="1">
        <v>8.0</v>
      </c>
      <c r="F33" s="7">
        <v>1.02581014633178E16</v>
      </c>
      <c r="G33" s="1">
        <v>4.0</v>
      </c>
      <c r="H33" s="8">
        <f t="shared" si="2"/>
        <v>4</v>
      </c>
      <c r="I33" s="8">
        <f t="shared" si="3"/>
        <v>4</v>
      </c>
    </row>
    <row r="34">
      <c r="A34" s="1">
        <v>32.0</v>
      </c>
      <c r="B34" s="1" t="s">
        <v>79</v>
      </c>
      <c r="C34" s="1" t="s">
        <v>15</v>
      </c>
      <c r="D34" s="1" t="s">
        <v>80</v>
      </c>
      <c r="E34" s="1">
        <v>8.0</v>
      </c>
      <c r="F34" s="7">
        <v>1.07039670944213E16</v>
      </c>
      <c r="G34" s="1">
        <v>7.0</v>
      </c>
      <c r="H34" s="8">
        <f t="shared" si="2"/>
        <v>1</v>
      </c>
      <c r="I34" s="8">
        <f t="shared" si="3"/>
        <v>1</v>
      </c>
    </row>
    <row r="35">
      <c r="A35" s="1">
        <v>33.0</v>
      </c>
      <c r="B35" s="1" t="s">
        <v>81</v>
      </c>
      <c r="C35" s="1" t="s">
        <v>15</v>
      </c>
      <c r="D35" s="1" t="s">
        <v>82</v>
      </c>
      <c r="E35" s="1">
        <v>9.0</v>
      </c>
      <c r="F35" s="7">
        <v>1.07676167488098E16</v>
      </c>
      <c r="G35" s="1">
        <v>9.0</v>
      </c>
      <c r="H35" s="8">
        <f t="shared" si="2"/>
        <v>0</v>
      </c>
      <c r="I35" s="8">
        <f t="shared" si="3"/>
        <v>0</v>
      </c>
    </row>
    <row r="36">
      <c r="A36" s="1">
        <v>34.0</v>
      </c>
      <c r="B36" s="1" t="s">
        <v>83</v>
      </c>
      <c r="C36" s="1" t="s">
        <v>15</v>
      </c>
      <c r="D36" s="1" t="s">
        <v>84</v>
      </c>
      <c r="E36" s="1">
        <v>7.0</v>
      </c>
      <c r="F36" s="7">
        <v>1.07642529010772E15</v>
      </c>
      <c r="G36" s="1">
        <v>8.0</v>
      </c>
      <c r="H36" s="8">
        <f t="shared" si="2"/>
        <v>1</v>
      </c>
      <c r="I36" s="8">
        <f t="shared" si="3"/>
        <v>-1</v>
      </c>
    </row>
    <row r="37">
      <c r="A37" s="1">
        <v>35.0</v>
      </c>
      <c r="B37" s="1" t="s">
        <v>85</v>
      </c>
      <c r="C37" s="1" t="s">
        <v>15</v>
      </c>
      <c r="D37" s="1" t="s">
        <v>86</v>
      </c>
      <c r="E37" s="1">
        <v>6.0</v>
      </c>
      <c r="F37" s="7">
        <v>1.03033988475799E16</v>
      </c>
      <c r="G37" s="1">
        <v>4.0</v>
      </c>
      <c r="H37" s="8">
        <f t="shared" si="2"/>
        <v>2</v>
      </c>
      <c r="I37" s="8">
        <f t="shared" si="3"/>
        <v>2</v>
      </c>
    </row>
    <row r="38">
      <c r="A38" s="1">
        <v>36.0</v>
      </c>
      <c r="B38" s="1" t="s">
        <v>87</v>
      </c>
      <c r="C38" s="1" t="s">
        <v>15</v>
      </c>
      <c r="D38" s="1" t="s">
        <v>88</v>
      </c>
      <c r="E38" s="1">
        <v>6.0</v>
      </c>
      <c r="F38" s="7">
        <v>1.03396260738372E15</v>
      </c>
      <c r="G38" s="1">
        <v>5.0</v>
      </c>
      <c r="H38" s="8">
        <f t="shared" si="2"/>
        <v>1</v>
      </c>
      <c r="I38" s="8">
        <f t="shared" si="3"/>
        <v>1</v>
      </c>
    </row>
    <row r="39">
      <c r="A39" s="1">
        <v>37.0</v>
      </c>
      <c r="B39" s="1" t="s">
        <v>89</v>
      </c>
      <c r="C39" s="1" t="s">
        <v>15</v>
      </c>
      <c r="D39" s="1" t="s">
        <v>90</v>
      </c>
      <c r="E39" s="1">
        <v>8.0</v>
      </c>
      <c r="F39" s="7">
        <v>1.07024028301239E14</v>
      </c>
      <c r="G39" s="1">
        <v>7.0</v>
      </c>
      <c r="H39" s="8">
        <f t="shared" si="2"/>
        <v>1</v>
      </c>
      <c r="I39" s="8">
        <f t="shared" si="3"/>
        <v>1</v>
      </c>
    </row>
    <row r="40">
      <c r="A40" s="1">
        <v>38.0</v>
      </c>
      <c r="B40" s="1" t="s">
        <v>91</v>
      </c>
      <c r="C40" s="1" t="s">
        <v>15</v>
      </c>
      <c r="D40" s="1" t="s">
        <v>92</v>
      </c>
      <c r="E40" s="1">
        <v>8.0</v>
      </c>
      <c r="F40" s="7">
        <v>1.06756727695465E16</v>
      </c>
      <c r="G40" s="1">
        <v>7.0</v>
      </c>
      <c r="H40" s="8">
        <f t="shared" si="2"/>
        <v>1</v>
      </c>
      <c r="I40" s="8">
        <f t="shared" si="3"/>
        <v>1</v>
      </c>
    </row>
    <row r="41">
      <c r="A41" s="1">
        <v>39.0</v>
      </c>
      <c r="B41" s="1" t="s">
        <v>93</v>
      </c>
      <c r="C41" s="1" t="s">
        <v>15</v>
      </c>
      <c r="D41" s="1" t="s">
        <v>94</v>
      </c>
      <c r="E41" s="1">
        <v>1.0</v>
      </c>
      <c r="F41" s="7">
        <v>1.02603733539581E15</v>
      </c>
      <c r="G41" s="1">
        <v>4.0</v>
      </c>
      <c r="H41" s="8">
        <f t="shared" si="2"/>
        <v>3</v>
      </c>
      <c r="I41" s="8">
        <f t="shared" si="3"/>
        <v>-3</v>
      </c>
    </row>
    <row r="42">
      <c r="A42" s="1">
        <v>40.0</v>
      </c>
      <c r="B42" s="1" t="s">
        <v>95</v>
      </c>
      <c r="C42" s="1" t="s">
        <v>15</v>
      </c>
      <c r="D42" s="1" t="s">
        <v>96</v>
      </c>
      <c r="E42" s="1">
        <v>8.0</v>
      </c>
      <c r="F42" s="7">
        <v>1.12875282764434E15</v>
      </c>
      <c r="G42" s="1">
        <v>8.0</v>
      </c>
      <c r="H42" s="8">
        <f t="shared" si="2"/>
        <v>0</v>
      </c>
      <c r="I42" s="8">
        <f t="shared" si="3"/>
        <v>0</v>
      </c>
    </row>
    <row r="43">
      <c r="A43" s="1">
        <v>41.0</v>
      </c>
      <c r="B43" s="1" t="s">
        <v>97</v>
      </c>
      <c r="C43" s="1" t="s">
        <v>15</v>
      </c>
      <c r="D43" s="1" t="s">
        <v>98</v>
      </c>
      <c r="E43" s="1">
        <v>7.0</v>
      </c>
      <c r="F43" s="7">
        <v>1.0734009027481E15</v>
      </c>
      <c r="G43" s="1">
        <v>8.0</v>
      </c>
      <c r="H43" s="8">
        <f t="shared" si="2"/>
        <v>1</v>
      </c>
      <c r="I43" s="8">
        <f t="shared" si="3"/>
        <v>-1</v>
      </c>
    </row>
    <row r="44">
      <c r="A44" s="1">
        <v>42.0</v>
      </c>
      <c r="B44" s="1" t="s">
        <v>99</v>
      </c>
      <c r="C44" s="1" t="s">
        <v>15</v>
      </c>
      <c r="D44" s="1" t="s">
        <v>100</v>
      </c>
      <c r="E44" s="1">
        <v>6.0</v>
      </c>
      <c r="F44" s="7">
        <v>1.08269255161285E15</v>
      </c>
      <c r="G44" s="1">
        <v>4.0</v>
      </c>
      <c r="H44" s="8">
        <f t="shared" si="2"/>
        <v>2</v>
      </c>
      <c r="I44" s="8">
        <f t="shared" si="3"/>
        <v>2</v>
      </c>
    </row>
    <row r="45">
      <c r="A45" s="1">
        <v>43.0</v>
      </c>
      <c r="B45" s="1" t="s">
        <v>101</v>
      </c>
      <c r="C45" s="1" t="s">
        <v>15</v>
      </c>
      <c r="D45" s="1" t="s">
        <v>102</v>
      </c>
      <c r="E45" s="1">
        <v>9.0</v>
      </c>
      <c r="F45" s="7">
        <v>1.13417246341705E16</v>
      </c>
      <c r="G45" s="1">
        <v>7.0</v>
      </c>
      <c r="H45" s="8">
        <f t="shared" si="2"/>
        <v>2</v>
      </c>
      <c r="I45" s="8">
        <f t="shared" si="3"/>
        <v>2</v>
      </c>
    </row>
    <row r="46">
      <c r="A46" s="1">
        <v>44.0</v>
      </c>
      <c r="B46" s="1" t="s">
        <v>103</v>
      </c>
      <c r="C46" s="1" t="s">
        <v>15</v>
      </c>
      <c r="D46" s="1" t="s">
        <v>104</v>
      </c>
      <c r="E46" s="1">
        <v>3.0</v>
      </c>
      <c r="F46" s="7">
        <v>1.02800605297088E16</v>
      </c>
      <c r="G46" s="1">
        <v>4.0</v>
      </c>
      <c r="H46" s="8">
        <f t="shared" si="2"/>
        <v>1</v>
      </c>
      <c r="I46" s="8">
        <f t="shared" si="3"/>
        <v>-1</v>
      </c>
    </row>
    <row r="47">
      <c r="A47" s="1">
        <v>45.0</v>
      </c>
      <c r="B47" s="1" t="s">
        <v>105</v>
      </c>
      <c r="C47" s="1" t="s">
        <v>15</v>
      </c>
      <c r="D47" s="1" t="s">
        <v>106</v>
      </c>
      <c r="E47" s="1">
        <v>8.0</v>
      </c>
      <c r="F47" s="7">
        <v>1.12645027637481E16</v>
      </c>
      <c r="G47" s="1">
        <v>8.0</v>
      </c>
      <c r="H47" s="8">
        <f t="shared" si="2"/>
        <v>0</v>
      </c>
      <c r="I47" s="8">
        <f t="shared" si="3"/>
        <v>0</v>
      </c>
    </row>
    <row r="48">
      <c r="A48" s="1">
        <v>46.0</v>
      </c>
      <c r="B48" s="1" t="s">
        <v>107</v>
      </c>
      <c r="C48" s="1" t="s">
        <v>15</v>
      </c>
      <c r="D48" s="1" t="s">
        <v>108</v>
      </c>
      <c r="E48" s="1">
        <v>3.0</v>
      </c>
      <c r="F48" s="7">
        <v>1.06959567070007E16</v>
      </c>
      <c r="G48" s="1">
        <v>4.0</v>
      </c>
      <c r="H48" s="8">
        <f t="shared" si="2"/>
        <v>1</v>
      </c>
      <c r="I48" s="8">
        <f t="shared" si="3"/>
        <v>-1</v>
      </c>
    </row>
    <row r="49">
      <c r="A49" s="1">
        <v>47.0</v>
      </c>
      <c r="B49" s="1" t="s">
        <v>109</v>
      </c>
      <c r="C49" s="1" t="s">
        <v>15</v>
      </c>
      <c r="D49" s="1" t="s">
        <v>110</v>
      </c>
      <c r="E49" s="1">
        <v>2.0</v>
      </c>
      <c r="F49" s="7">
        <v>1.02795422077178E16</v>
      </c>
      <c r="G49" s="1">
        <v>4.0</v>
      </c>
      <c r="H49" s="8">
        <f t="shared" si="2"/>
        <v>2</v>
      </c>
      <c r="I49" s="8">
        <f t="shared" si="3"/>
        <v>-2</v>
      </c>
    </row>
    <row r="50">
      <c r="A50" s="1">
        <v>48.0</v>
      </c>
      <c r="B50" s="1" t="s">
        <v>111</v>
      </c>
      <c r="C50" s="1" t="s">
        <v>15</v>
      </c>
      <c r="D50" s="1" t="s">
        <v>112</v>
      </c>
      <c r="E50" s="1">
        <v>2.0</v>
      </c>
      <c r="F50" s="7">
        <v>1.03405504226684E16</v>
      </c>
      <c r="G50" s="1">
        <v>2.0</v>
      </c>
      <c r="H50" s="8">
        <f t="shared" si="2"/>
        <v>0</v>
      </c>
      <c r="I50" s="8">
        <f t="shared" si="3"/>
        <v>0</v>
      </c>
    </row>
    <row r="51">
      <c r="A51" s="1">
        <v>49.0</v>
      </c>
      <c r="B51" s="1" t="s">
        <v>113</v>
      </c>
      <c r="C51" s="1" t="s">
        <v>15</v>
      </c>
      <c r="D51" s="1" t="s">
        <v>114</v>
      </c>
      <c r="E51" s="1">
        <v>8.0</v>
      </c>
      <c r="F51" s="7">
        <v>1.02931048870086E16</v>
      </c>
      <c r="G51" s="1">
        <v>7.0</v>
      </c>
      <c r="H51" s="8">
        <f t="shared" si="2"/>
        <v>1</v>
      </c>
      <c r="I51" s="8">
        <f t="shared" si="3"/>
        <v>1</v>
      </c>
    </row>
    <row r="52">
      <c r="A52" s="1">
        <v>50.0</v>
      </c>
      <c r="B52" s="1" t="s">
        <v>115</v>
      </c>
      <c r="C52" s="1" t="s">
        <v>15</v>
      </c>
      <c r="D52" s="1" t="s">
        <v>116</v>
      </c>
      <c r="E52" s="1">
        <v>8.0</v>
      </c>
      <c r="F52" s="7">
        <v>1.03420522212982E16</v>
      </c>
      <c r="G52" s="1">
        <v>7.0</v>
      </c>
      <c r="H52" s="8">
        <f t="shared" si="2"/>
        <v>1</v>
      </c>
      <c r="I52" s="8">
        <f t="shared" si="3"/>
        <v>1</v>
      </c>
    </row>
    <row r="53">
      <c r="A53" s="1">
        <v>51.0</v>
      </c>
      <c r="B53" s="1" t="s">
        <v>117</v>
      </c>
      <c r="C53" s="1" t="s">
        <v>15</v>
      </c>
      <c r="D53" s="1" t="s">
        <v>118</v>
      </c>
      <c r="E53" s="1">
        <v>4.0</v>
      </c>
      <c r="F53" s="7">
        <v>1.03389418125152E15</v>
      </c>
      <c r="G53" s="1">
        <v>4.0</v>
      </c>
      <c r="H53" s="8">
        <f t="shared" si="2"/>
        <v>0</v>
      </c>
      <c r="I53" s="8">
        <f t="shared" si="3"/>
        <v>0</v>
      </c>
    </row>
    <row r="54">
      <c r="A54" s="1">
        <v>52.0</v>
      </c>
      <c r="B54" s="1" t="s">
        <v>119</v>
      </c>
      <c r="C54" s="1" t="s">
        <v>15</v>
      </c>
      <c r="D54" s="1" t="s">
        <v>120</v>
      </c>
      <c r="E54" s="1">
        <v>7.0</v>
      </c>
      <c r="F54" s="7">
        <v>1.07725222110748E16</v>
      </c>
      <c r="G54" s="1">
        <v>8.0</v>
      </c>
      <c r="H54" s="8">
        <f t="shared" si="2"/>
        <v>1</v>
      </c>
      <c r="I54" s="8">
        <f t="shared" si="3"/>
        <v>-1</v>
      </c>
    </row>
    <row r="55">
      <c r="A55" s="1">
        <v>53.0</v>
      </c>
      <c r="B55" s="1" t="s">
        <v>121</v>
      </c>
      <c r="C55" s="1" t="s">
        <v>15</v>
      </c>
      <c r="D55" s="1" t="s">
        <v>122</v>
      </c>
      <c r="E55" s="1">
        <v>5.0</v>
      </c>
      <c r="F55" s="7">
        <v>1.07674393653869E16</v>
      </c>
      <c r="G55" s="1">
        <v>4.0</v>
      </c>
      <c r="H55" s="8">
        <f t="shared" si="2"/>
        <v>1</v>
      </c>
      <c r="I55" s="8">
        <f t="shared" si="3"/>
        <v>1</v>
      </c>
    </row>
    <row r="56">
      <c r="A56" s="1">
        <v>54.0</v>
      </c>
      <c r="B56" s="1" t="s">
        <v>123</v>
      </c>
      <c r="C56" s="1" t="s">
        <v>15</v>
      </c>
      <c r="D56" s="1" t="s">
        <v>124</v>
      </c>
      <c r="E56" s="1">
        <v>5.0</v>
      </c>
      <c r="F56" s="7">
        <v>1.08303251266479E15</v>
      </c>
      <c r="G56" s="1">
        <v>4.0</v>
      </c>
      <c r="H56" s="8">
        <f t="shared" si="2"/>
        <v>1</v>
      </c>
      <c r="I56" s="8">
        <f t="shared" si="3"/>
        <v>1</v>
      </c>
    </row>
    <row r="57">
      <c r="A57" s="1">
        <v>55.0</v>
      </c>
      <c r="B57" s="1" t="s">
        <v>125</v>
      </c>
      <c r="C57" s="1" t="s">
        <v>15</v>
      </c>
      <c r="D57" s="1" t="s">
        <v>126</v>
      </c>
      <c r="E57" s="1">
        <v>9.0</v>
      </c>
      <c r="F57" s="7">
        <v>1.08155002593994E16</v>
      </c>
      <c r="G57" s="1">
        <v>8.0</v>
      </c>
      <c r="H57" s="8">
        <f t="shared" si="2"/>
        <v>1</v>
      </c>
      <c r="I57" s="8">
        <f t="shared" si="3"/>
        <v>1</v>
      </c>
    </row>
    <row r="58">
      <c r="A58" s="1">
        <v>56.0</v>
      </c>
      <c r="B58" s="1" t="s">
        <v>127</v>
      </c>
      <c r="C58" s="1" t="s">
        <v>15</v>
      </c>
      <c r="D58" s="1" t="s">
        <v>128</v>
      </c>
      <c r="E58" s="1">
        <v>4.0</v>
      </c>
      <c r="F58" s="7">
        <v>1.03138279914855E16</v>
      </c>
      <c r="G58" s="1">
        <v>4.0</v>
      </c>
      <c r="H58" s="8">
        <f t="shared" si="2"/>
        <v>0</v>
      </c>
      <c r="I58" s="8">
        <f t="shared" si="3"/>
        <v>0</v>
      </c>
    </row>
    <row r="59">
      <c r="A59" s="1">
        <v>57.0</v>
      </c>
      <c r="B59" s="1" t="s">
        <v>129</v>
      </c>
      <c r="C59" s="1" t="s">
        <v>15</v>
      </c>
      <c r="D59" s="1" t="s">
        <v>130</v>
      </c>
      <c r="E59" s="1">
        <v>0.0</v>
      </c>
      <c r="F59" s="7">
        <v>9.8377194404602E15</v>
      </c>
      <c r="G59" s="1">
        <v>0.0</v>
      </c>
      <c r="H59" s="8">
        <f t="shared" si="2"/>
        <v>0</v>
      </c>
      <c r="I59" s="8">
        <f t="shared" si="3"/>
        <v>0</v>
      </c>
    </row>
    <row r="60">
      <c r="A60" s="1">
        <v>58.0</v>
      </c>
      <c r="B60" s="1" t="s">
        <v>131</v>
      </c>
      <c r="C60" s="1" t="s">
        <v>15</v>
      </c>
      <c r="D60" s="1" t="s">
        <v>132</v>
      </c>
      <c r="E60" s="1">
        <v>2.0</v>
      </c>
      <c r="F60" s="7">
        <v>1.06826593875885E14</v>
      </c>
      <c r="G60" s="1">
        <v>4.0</v>
      </c>
      <c r="H60" s="8">
        <f t="shared" si="2"/>
        <v>2</v>
      </c>
      <c r="I60" s="8">
        <f t="shared" si="3"/>
        <v>-2</v>
      </c>
    </row>
    <row r="61">
      <c r="A61" s="1">
        <v>59.0</v>
      </c>
      <c r="B61" s="1" t="s">
        <v>133</v>
      </c>
      <c r="C61" s="1" t="s">
        <v>15</v>
      </c>
      <c r="D61" s="1" t="s">
        <v>134</v>
      </c>
      <c r="E61" s="1">
        <v>3.0</v>
      </c>
      <c r="F61" s="7">
        <v>1.02966976165771E16</v>
      </c>
      <c r="G61" s="1">
        <v>4.0</v>
      </c>
      <c r="H61" s="8">
        <f t="shared" si="2"/>
        <v>1</v>
      </c>
      <c r="I61" s="8">
        <f t="shared" si="3"/>
        <v>-1</v>
      </c>
    </row>
    <row r="62">
      <c r="A62" s="1">
        <v>60.0</v>
      </c>
      <c r="B62" s="1" t="s">
        <v>135</v>
      </c>
      <c r="C62" s="1" t="s">
        <v>15</v>
      </c>
      <c r="D62" s="1" t="s">
        <v>136</v>
      </c>
      <c r="E62" s="1">
        <v>1.0</v>
      </c>
      <c r="F62" s="7">
        <v>1.0385456085205E16</v>
      </c>
      <c r="G62" s="1">
        <v>4.0</v>
      </c>
      <c r="H62" s="8">
        <f t="shared" si="2"/>
        <v>3</v>
      </c>
      <c r="I62" s="8">
        <f t="shared" si="3"/>
        <v>-3</v>
      </c>
    </row>
    <row r="63">
      <c r="A63" s="1">
        <v>61.0</v>
      </c>
      <c r="B63" s="1" t="s">
        <v>137</v>
      </c>
      <c r="C63" s="1" t="s">
        <v>15</v>
      </c>
      <c r="D63" s="1" t="s">
        <v>138</v>
      </c>
      <c r="E63" s="1">
        <v>9.0</v>
      </c>
      <c r="F63" s="7">
        <v>1.13564205169677E16</v>
      </c>
      <c r="G63" s="1">
        <v>8.0</v>
      </c>
      <c r="H63" s="8">
        <f t="shared" si="2"/>
        <v>1</v>
      </c>
      <c r="I63" s="8">
        <f t="shared" si="3"/>
        <v>1</v>
      </c>
    </row>
    <row r="64">
      <c r="A64" s="1">
        <v>62.0</v>
      </c>
      <c r="B64" s="1" t="s">
        <v>139</v>
      </c>
      <c r="C64" s="1" t="s">
        <v>15</v>
      </c>
      <c r="D64" s="1" t="s">
        <v>140</v>
      </c>
      <c r="E64" s="1">
        <v>3.0</v>
      </c>
      <c r="F64" s="7">
        <v>1.07250957489013E16</v>
      </c>
      <c r="G64" s="1">
        <v>4.0</v>
      </c>
      <c r="H64" s="8">
        <f t="shared" si="2"/>
        <v>1</v>
      </c>
      <c r="I64" s="8">
        <f t="shared" si="3"/>
        <v>-1</v>
      </c>
    </row>
    <row r="65">
      <c r="A65" s="1">
        <v>63.0</v>
      </c>
      <c r="B65" s="1" t="s">
        <v>141</v>
      </c>
      <c r="C65" s="1" t="s">
        <v>15</v>
      </c>
      <c r="D65" s="1" t="s">
        <v>142</v>
      </c>
      <c r="E65" s="1">
        <v>2.0</v>
      </c>
      <c r="F65" s="7">
        <v>1.028586769104E15</v>
      </c>
      <c r="G65" s="1">
        <v>4.0</v>
      </c>
      <c r="H65" s="8">
        <f t="shared" si="2"/>
        <v>2</v>
      </c>
      <c r="I65" s="8">
        <f t="shared" si="3"/>
        <v>-2</v>
      </c>
    </row>
    <row r="66">
      <c r="A66" s="1">
        <v>64.0</v>
      </c>
      <c r="B66" s="1" t="s">
        <v>143</v>
      </c>
      <c r="C66" s="1" t="s">
        <v>15</v>
      </c>
      <c r="D66" s="1" t="s">
        <v>144</v>
      </c>
      <c r="E66" s="1">
        <v>0.0</v>
      </c>
      <c r="F66" s="7">
        <v>1.01817579269409E16</v>
      </c>
      <c r="G66" s="1">
        <v>0.0</v>
      </c>
      <c r="H66" s="8">
        <f t="shared" si="2"/>
        <v>0</v>
      </c>
      <c r="I66" s="8">
        <f t="shared" si="3"/>
        <v>0</v>
      </c>
    </row>
    <row r="67">
      <c r="A67" s="1">
        <v>65.0</v>
      </c>
      <c r="B67" s="1" t="s">
        <v>145</v>
      </c>
      <c r="C67" s="1" t="s">
        <v>15</v>
      </c>
      <c r="D67" s="1" t="s">
        <v>146</v>
      </c>
      <c r="E67" s="1">
        <v>0.0</v>
      </c>
      <c r="F67" s="7">
        <v>9.82017421722412E14</v>
      </c>
      <c r="G67" s="1">
        <v>0.0</v>
      </c>
      <c r="H67" s="8">
        <f t="shared" si="2"/>
        <v>0</v>
      </c>
      <c r="I67" s="8">
        <f t="shared" si="3"/>
        <v>0</v>
      </c>
    </row>
    <row r="68">
      <c r="A68" s="1">
        <v>66.0</v>
      </c>
      <c r="B68" s="1" t="s">
        <v>147</v>
      </c>
      <c r="C68" s="1" t="s">
        <v>15</v>
      </c>
      <c r="D68" s="1" t="s">
        <v>148</v>
      </c>
      <c r="E68" s="1">
        <v>4.0</v>
      </c>
      <c r="F68" s="7">
        <v>1.03216831684112E16</v>
      </c>
      <c r="G68" s="1">
        <v>5.0</v>
      </c>
      <c r="H68" s="8">
        <f t="shared" si="2"/>
        <v>1</v>
      </c>
      <c r="I68" s="8">
        <f t="shared" si="3"/>
        <v>-1</v>
      </c>
    </row>
    <row r="69">
      <c r="A69" s="1">
        <v>67.0</v>
      </c>
      <c r="B69" s="1" t="s">
        <v>149</v>
      </c>
      <c r="C69" s="1" t="s">
        <v>15</v>
      </c>
      <c r="D69" s="1" t="s">
        <v>150</v>
      </c>
      <c r="E69" s="1">
        <v>6.0</v>
      </c>
      <c r="F69" s="7">
        <v>1.02718544006347E16</v>
      </c>
      <c r="G69" s="1">
        <v>5.0</v>
      </c>
      <c r="H69" s="8">
        <f t="shared" si="2"/>
        <v>1</v>
      </c>
      <c r="I69" s="8">
        <f t="shared" si="3"/>
        <v>1</v>
      </c>
    </row>
    <row r="70">
      <c r="A70" s="1">
        <v>68.0</v>
      </c>
      <c r="B70" s="1" t="s">
        <v>151</v>
      </c>
      <c r="C70" s="1" t="s">
        <v>15</v>
      </c>
      <c r="D70" s="1" t="s">
        <v>152</v>
      </c>
      <c r="E70" s="1">
        <v>8.0</v>
      </c>
      <c r="F70" s="7">
        <v>1.12726130485534E16</v>
      </c>
      <c r="G70" s="1">
        <v>8.0</v>
      </c>
      <c r="H70" s="8">
        <f t="shared" si="2"/>
        <v>0</v>
      </c>
      <c r="I70" s="8">
        <f t="shared" si="3"/>
        <v>0</v>
      </c>
    </row>
    <row r="71">
      <c r="A71" s="1">
        <v>69.0</v>
      </c>
      <c r="B71" s="1" t="s">
        <v>153</v>
      </c>
      <c r="C71" s="1" t="s">
        <v>15</v>
      </c>
      <c r="D71" s="1" t="s">
        <v>154</v>
      </c>
      <c r="E71" s="1">
        <v>5.0</v>
      </c>
      <c r="F71" s="7">
        <v>1.03326961994171E16</v>
      </c>
      <c r="G71" s="1">
        <v>8.0</v>
      </c>
      <c r="H71" s="8">
        <f t="shared" si="2"/>
        <v>3</v>
      </c>
      <c r="I71" s="8">
        <f t="shared" si="3"/>
        <v>-3</v>
      </c>
    </row>
    <row r="72">
      <c r="A72" s="1">
        <v>70.0</v>
      </c>
      <c r="B72" s="1" t="s">
        <v>155</v>
      </c>
      <c r="C72" s="1" t="s">
        <v>15</v>
      </c>
      <c r="D72" s="1" t="s">
        <v>156</v>
      </c>
      <c r="E72" s="1">
        <v>0.0</v>
      </c>
      <c r="F72" s="7">
        <v>1.02247416973114E14</v>
      </c>
      <c r="G72" s="1">
        <v>6.0</v>
      </c>
      <c r="H72" s="8">
        <f t="shared" si="2"/>
        <v>6</v>
      </c>
      <c r="I72" s="8">
        <f t="shared" si="3"/>
        <v>-6</v>
      </c>
    </row>
    <row r="73">
      <c r="A73" s="1">
        <v>71.0</v>
      </c>
      <c r="B73" s="1" t="s">
        <v>14</v>
      </c>
      <c r="C73" s="1" t="s">
        <v>15</v>
      </c>
      <c r="D73" s="1" t="s">
        <v>157</v>
      </c>
      <c r="E73" s="1">
        <v>4.0</v>
      </c>
      <c r="F73" s="7">
        <v>1.07236907482147E16</v>
      </c>
      <c r="G73" s="1">
        <v>4.0</v>
      </c>
      <c r="H73" s="8">
        <f t="shared" si="2"/>
        <v>0</v>
      </c>
      <c r="I73" s="8">
        <f t="shared" si="3"/>
        <v>0</v>
      </c>
      <c r="M73" s="18"/>
      <c r="N73" s="18"/>
      <c r="O73" s="18"/>
      <c r="P73" s="18"/>
      <c r="Q73" s="19"/>
      <c r="R73" s="19"/>
      <c r="S73" s="19"/>
      <c r="T73" s="19"/>
      <c r="U73" s="19"/>
      <c r="V73" s="19"/>
      <c r="W73" s="19"/>
      <c r="X73" s="19"/>
      <c r="Y73" s="19"/>
      <c r="Z73" s="19"/>
      <c r="AA73" s="18"/>
    </row>
    <row r="74">
      <c r="A74" s="1">
        <v>72.0</v>
      </c>
      <c r="B74" s="1" t="s">
        <v>17</v>
      </c>
      <c r="C74" s="1" t="s">
        <v>15</v>
      </c>
      <c r="D74" s="1" t="s">
        <v>158</v>
      </c>
      <c r="E74" s="1">
        <v>2.0</v>
      </c>
      <c r="F74" s="7">
        <v>1.03408601284027E15</v>
      </c>
      <c r="G74" s="1">
        <v>5.0</v>
      </c>
      <c r="H74" s="8">
        <f t="shared" si="2"/>
        <v>3</v>
      </c>
      <c r="I74" s="8">
        <f t="shared" si="3"/>
        <v>-3</v>
      </c>
      <c r="M74" s="19"/>
      <c r="N74" s="20"/>
      <c r="O74" s="20"/>
      <c r="P74" s="21"/>
      <c r="Q74" s="22"/>
      <c r="R74" s="23"/>
      <c r="S74" s="23"/>
      <c r="T74" s="23"/>
      <c r="U74" s="23"/>
      <c r="V74" s="23"/>
      <c r="W74" s="23"/>
      <c r="X74" s="23"/>
      <c r="Y74" s="23"/>
      <c r="Z74" s="23"/>
      <c r="AA74" s="23"/>
    </row>
    <row r="75">
      <c r="A75" s="1">
        <v>73.0</v>
      </c>
      <c r="B75" s="1" t="s">
        <v>19</v>
      </c>
      <c r="C75" s="1" t="s">
        <v>15</v>
      </c>
      <c r="D75" s="1" t="s">
        <v>159</v>
      </c>
      <c r="E75" s="1">
        <v>5.0</v>
      </c>
      <c r="F75" s="7">
        <v>1.02879710197448E16</v>
      </c>
      <c r="G75" s="1">
        <v>4.0</v>
      </c>
      <c r="H75" s="8">
        <f t="shared" si="2"/>
        <v>1</v>
      </c>
      <c r="I75" s="8">
        <f t="shared" si="3"/>
        <v>1</v>
      </c>
    </row>
    <row r="76">
      <c r="A76" s="1">
        <v>74.0</v>
      </c>
      <c r="B76" s="1" t="s">
        <v>21</v>
      </c>
      <c r="C76" s="1" t="s">
        <v>15</v>
      </c>
      <c r="D76" s="1" t="s">
        <v>160</v>
      </c>
      <c r="E76" s="1">
        <v>4.0</v>
      </c>
      <c r="F76" s="7">
        <v>1.07065320014953E15</v>
      </c>
      <c r="G76" s="1">
        <v>7.0</v>
      </c>
      <c r="H76" s="8">
        <f t="shared" si="2"/>
        <v>3</v>
      </c>
      <c r="I76" s="8">
        <f t="shared" si="3"/>
        <v>-3</v>
      </c>
    </row>
    <row r="77">
      <c r="A77" s="1">
        <v>75.0</v>
      </c>
      <c r="B77" s="1" t="s">
        <v>23</v>
      </c>
      <c r="C77" s="1" t="s">
        <v>15</v>
      </c>
      <c r="D77" s="1" t="s">
        <v>161</v>
      </c>
      <c r="E77" s="1">
        <v>6.0</v>
      </c>
      <c r="F77" s="7">
        <v>1.02871708869934E16</v>
      </c>
      <c r="G77" s="1">
        <v>4.0</v>
      </c>
      <c r="H77" s="8">
        <f t="shared" si="2"/>
        <v>2</v>
      </c>
      <c r="I77" s="8">
        <f t="shared" si="3"/>
        <v>2</v>
      </c>
    </row>
    <row r="78">
      <c r="A78" s="1">
        <v>76.0</v>
      </c>
      <c r="B78" s="1" t="s">
        <v>25</v>
      </c>
      <c r="C78" s="1" t="s">
        <v>15</v>
      </c>
      <c r="D78" s="1" t="s">
        <v>162</v>
      </c>
      <c r="E78" s="1">
        <v>6.0</v>
      </c>
      <c r="F78" s="7">
        <v>1.07849225997924E15</v>
      </c>
      <c r="G78" s="1">
        <v>4.0</v>
      </c>
      <c r="H78" s="8">
        <f t="shared" si="2"/>
        <v>2</v>
      </c>
      <c r="I78" s="8">
        <f t="shared" si="3"/>
        <v>2</v>
      </c>
    </row>
    <row r="79">
      <c r="A79" s="1">
        <v>77.0</v>
      </c>
      <c r="B79" s="1" t="s">
        <v>27</v>
      </c>
      <c r="C79" s="1" t="s">
        <v>15</v>
      </c>
      <c r="D79" s="1" t="s">
        <v>163</v>
      </c>
      <c r="E79" s="1">
        <v>7.0</v>
      </c>
      <c r="F79" s="7">
        <v>1.07307810783386E16</v>
      </c>
      <c r="G79" s="1">
        <v>8.0</v>
      </c>
      <c r="H79" s="8">
        <f t="shared" si="2"/>
        <v>1</v>
      </c>
      <c r="I79" s="8">
        <f t="shared" si="3"/>
        <v>-1</v>
      </c>
    </row>
    <row r="80">
      <c r="A80" s="1">
        <v>78.0</v>
      </c>
      <c r="B80" s="1" t="s">
        <v>29</v>
      </c>
      <c r="C80" s="1" t="s">
        <v>15</v>
      </c>
      <c r="D80" s="1" t="s">
        <v>164</v>
      </c>
      <c r="E80" s="1">
        <v>5.0</v>
      </c>
      <c r="F80" s="7">
        <v>1.03386998176574E15</v>
      </c>
      <c r="G80" s="1">
        <v>8.0</v>
      </c>
      <c r="H80" s="8">
        <f t="shared" si="2"/>
        <v>3</v>
      </c>
      <c r="I80" s="8">
        <f t="shared" si="3"/>
        <v>-3</v>
      </c>
    </row>
    <row r="81">
      <c r="A81" s="1">
        <v>79.0</v>
      </c>
      <c r="B81" s="1" t="s">
        <v>31</v>
      </c>
      <c r="C81" s="1" t="s">
        <v>15</v>
      </c>
      <c r="D81" s="1" t="s">
        <v>32</v>
      </c>
      <c r="E81" s="1">
        <v>7.0</v>
      </c>
      <c r="F81" s="7">
        <v>1.07003722190856E16</v>
      </c>
      <c r="G81" s="1">
        <v>4.0</v>
      </c>
      <c r="H81" s="8">
        <f t="shared" si="2"/>
        <v>3</v>
      </c>
      <c r="I81" s="8">
        <f t="shared" si="3"/>
        <v>3</v>
      </c>
    </row>
    <row r="82">
      <c r="A82" s="1">
        <v>80.0</v>
      </c>
      <c r="B82" s="1" t="s">
        <v>33</v>
      </c>
      <c r="C82" s="1" t="s">
        <v>15</v>
      </c>
      <c r="D82" s="1" t="s">
        <v>165</v>
      </c>
      <c r="E82" s="1">
        <v>6.0</v>
      </c>
      <c r="F82" s="7">
        <v>1.07090902328491E15</v>
      </c>
      <c r="G82" s="1">
        <v>4.0</v>
      </c>
      <c r="H82" s="8">
        <f t="shared" si="2"/>
        <v>2</v>
      </c>
      <c r="I82" s="8">
        <f t="shared" si="3"/>
        <v>2</v>
      </c>
    </row>
    <row r="83">
      <c r="A83" s="1">
        <v>81.0</v>
      </c>
      <c r="B83" s="1" t="s">
        <v>35</v>
      </c>
      <c r="C83" s="1" t="s">
        <v>15</v>
      </c>
      <c r="D83" s="1" t="s">
        <v>166</v>
      </c>
      <c r="E83" s="1">
        <v>6.0</v>
      </c>
      <c r="F83" s="7">
        <v>1.07215771675109E16</v>
      </c>
      <c r="G83" s="1">
        <v>7.0</v>
      </c>
      <c r="H83" s="8">
        <f t="shared" si="2"/>
        <v>1</v>
      </c>
      <c r="I83" s="8">
        <f t="shared" si="3"/>
        <v>-1</v>
      </c>
    </row>
    <row r="84">
      <c r="A84" s="1">
        <v>82.0</v>
      </c>
      <c r="B84" s="1" t="s">
        <v>37</v>
      </c>
      <c r="C84" s="1" t="s">
        <v>15</v>
      </c>
      <c r="D84" s="1" t="s">
        <v>167</v>
      </c>
      <c r="E84" s="1">
        <v>6.0</v>
      </c>
      <c r="F84" s="7">
        <v>1.06932137012481E16</v>
      </c>
      <c r="G84" s="1">
        <v>8.0</v>
      </c>
      <c r="H84" s="8">
        <f t="shared" si="2"/>
        <v>2</v>
      </c>
      <c r="I84" s="8">
        <f t="shared" si="3"/>
        <v>-2</v>
      </c>
    </row>
    <row r="85">
      <c r="A85" s="1">
        <v>83.0</v>
      </c>
      <c r="B85" s="1" t="s">
        <v>39</v>
      </c>
      <c r="C85" s="1" t="s">
        <v>15</v>
      </c>
      <c r="D85" s="1" t="s">
        <v>168</v>
      </c>
      <c r="E85" s="1">
        <v>8.0</v>
      </c>
      <c r="F85" s="7">
        <v>1.12579298019409E16</v>
      </c>
      <c r="G85" s="1">
        <v>8.0</v>
      </c>
      <c r="H85" s="8">
        <f t="shared" si="2"/>
        <v>0</v>
      </c>
      <c r="I85" s="8">
        <f t="shared" si="3"/>
        <v>0</v>
      </c>
    </row>
    <row r="86">
      <c r="A86" s="1">
        <v>84.0</v>
      </c>
      <c r="B86" s="1" t="s">
        <v>41</v>
      </c>
      <c r="C86" s="1" t="s">
        <v>15</v>
      </c>
      <c r="D86" s="1" t="s">
        <v>169</v>
      </c>
      <c r="E86" s="1">
        <v>5.0</v>
      </c>
      <c r="F86" s="7">
        <v>1.02897069454193E16</v>
      </c>
      <c r="G86" s="1">
        <v>7.0</v>
      </c>
      <c r="H86" s="8">
        <f t="shared" si="2"/>
        <v>2</v>
      </c>
      <c r="I86" s="8">
        <f t="shared" si="3"/>
        <v>-2</v>
      </c>
    </row>
    <row r="87">
      <c r="A87" s="1">
        <v>85.0</v>
      </c>
      <c r="B87" s="1" t="s">
        <v>43</v>
      </c>
      <c r="C87" s="1" t="s">
        <v>15</v>
      </c>
      <c r="D87" s="1" t="s">
        <v>170</v>
      </c>
      <c r="E87" s="1">
        <v>7.0</v>
      </c>
      <c r="F87" s="7">
        <v>1.02993519306182E16</v>
      </c>
      <c r="G87" s="1">
        <v>7.0</v>
      </c>
      <c r="H87" s="8">
        <f t="shared" si="2"/>
        <v>0</v>
      </c>
      <c r="I87" s="8">
        <f t="shared" si="3"/>
        <v>0</v>
      </c>
    </row>
    <row r="88">
      <c r="A88" s="1">
        <v>86.0</v>
      </c>
      <c r="B88" s="1" t="s">
        <v>45</v>
      </c>
      <c r="C88" s="1" t="s">
        <v>15</v>
      </c>
      <c r="D88" s="1" t="s">
        <v>171</v>
      </c>
      <c r="E88" s="1">
        <v>2.0</v>
      </c>
      <c r="F88" s="7">
        <v>1.12618534564971E16</v>
      </c>
      <c r="G88" s="1">
        <v>5.0</v>
      </c>
      <c r="H88" s="8">
        <f t="shared" si="2"/>
        <v>3</v>
      </c>
      <c r="I88" s="8">
        <f t="shared" si="3"/>
        <v>-3</v>
      </c>
    </row>
    <row r="89">
      <c r="A89" s="1">
        <v>87.0</v>
      </c>
      <c r="B89" s="1" t="s">
        <v>47</v>
      </c>
      <c r="C89" s="1" t="s">
        <v>15</v>
      </c>
      <c r="D89" s="1" t="s">
        <v>172</v>
      </c>
      <c r="E89" s="1">
        <v>7.0</v>
      </c>
      <c r="F89" s="7">
        <v>1.08233187198638E16</v>
      </c>
      <c r="G89" s="1">
        <v>7.0</v>
      </c>
      <c r="H89" s="8">
        <f t="shared" si="2"/>
        <v>0</v>
      </c>
      <c r="I89" s="8">
        <f t="shared" si="3"/>
        <v>0</v>
      </c>
    </row>
    <row r="90">
      <c r="A90" s="1">
        <v>88.0</v>
      </c>
      <c r="B90" s="1" t="s">
        <v>49</v>
      </c>
      <c r="C90" s="1" t="s">
        <v>15</v>
      </c>
      <c r="D90" s="1" t="s">
        <v>173</v>
      </c>
      <c r="E90" s="1">
        <v>9.0</v>
      </c>
      <c r="F90" s="7">
        <v>1.0764084815979E16</v>
      </c>
      <c r="G90" s="1">
        <v>8.0</v>
      </c>
      <c r="H90" s="8">
        <f t="shared" si="2"/>
        <v>1</v>
      </c>
      <c r="I90" s="8">
        <f t="shared" si="3"/>
        <v>1</v>
      </c>
    </row>
    <row r="91">
      <c r="A91" s="1">
        <v>89.0</v>
      </c>
      <c r="B91" s="1" t="s">
        <v>51</v>
      </c>
      <c r="C91" s="1" t="s">
        <v>15</v>
      </c>
      <c r="D91" s="1" t="s">
        <v>174</v>
      </c>
      <c r="E91" s="1">
        <v>7.0</v>
      </c>
      <c r="F91" s="7">
        <v>1.0770938873291E16</v>
      </c>
      <c r="G91" s="1">
        <v>8.0</v>
      </c>
      <c r="H91" s="8">
        <f t="shared" si="2"/>
        <v>1</v>
      </c>
      <c r="I91" s="8">
        <f t="shared" si="3"/>
        <v>-1</v>
      </c>
    </row>
    <row r="92">
      <c r="A92" s="1">
        <v>90.0</v>
      </c>
      <c r="B92" s="1" t="s">
        <v>53</v>
      </c>
      <c r="C92" s="1" t="s">
        <v>15</v>
      </c>
      <c r="D92" s="1" t="s">
        <v>175</v>
      </c>
      <c r="E92" s="1">
        <v>0.0</v>
      </c>
      <c r="F92" s="7">
        <v>1.02888884544372E16</v>
      </c>
      <c r="G92" s="1">
        <v>1.0</v>
      </c>
      <c r="H92" s="8">
        <f t="shared" si="2"/>
        <v>1</v>
      </c>
      <c r="I92" s="8">
        <f t="shared" si="3"/>
        <v>-1</v>
      </c>
    </row>
    <row r="93">
      <c r="A93" s="1">
        <v>91.0</v>
      </c>
      <c r="B93" s="1" t="s">
        <v>55</v>
      </c>
      <c r="C93" s="1" t="s">
        <v>15</v>
      </c>
      <c r="D93" s="1" t="s">
        <v>176</v>
      </c>
      <c r="E93" s="1">
        <v>8.0</v>
      </c>
      <c r="F93" s="7">
        <v>1.12478818893432E16</v>
      </c>
      <c r="G93" s="1">
        <v>8.0</v>
      </c>
      <c r="H93" s="8">
        <f t="shared" si="2"/>
        <v>0</v>
      </c>
      <c r="I93" s="8">
        <f t="shared" si="3"/>
        <v>0</v>
      </c>
    </row>
    <row r="94">
      <c r="A94" s="1">
        <v>92.0</v>
      </c>
      <c r="B94" s="1" t="s">
        <v>57</v>
      </c>
      <c r="C94" s="1" t="s">
        <v>15</v>
      </c>
      <c r="D94" s="1" t="s">
        <v>177</v>
      </c>
      <c r="E94" s="1">
        <v>4.0</v>
      </c>
      <c r="F94" s="7">
        <v>1.02546346187591E16</v>
      </c>
      <c r="G94" s="1">
        <v>4.0</v>
      </c>
      <c r="H94" s="8">
        <f t="shared" si="2"/>
        <v>0</v>
      </c>
      <c r="I94" s="8">
        <f t="shared" si="3"/>
        <v>0</v>
      </c>
    </row>
    <row r="95">
      <c r="A95" s="1">
        <v>93.0</v>
      </c>
      <c r="B95" s="1" t="s">
        <v>59</v>
      </c>
      <c r="C95" s="1" t="s">
        <v>15</v>
      </c>
      <c r="D95" s="1" t="s">
        <v>178</v>
      </c>
      <c r="E95" s="1">
        <v>7.0</v>
      </c>
      <c r="F95" s="7">
        <v>1.07794041633605E16</v>
      </c>
      <c r="G95" s="1">
        <v>8.0</v>
      </c>
      <c r="H95" s="8">
        <f t="shared" si="2"/>
        <v>1</v>
      </c>
      <c r="I95" s="8">
        <f t="shared" si="3"/>
        <v>-1</v>
      </c>
    </row>
    <row r="96">
      <c r="A96" s="1">
        <v>94.0</v>
      </c>
      <c r="B96" s="1" t="s">
        <v>61</v>
      </c>
      <c r="C96" s="1" t="s">
        <v>15</v>
      </c>
      <c r="D96" s="1" t="s">
        <v>179</v>
      </c>
      <c r="E96" s="1">
        <v>1.0</v>
      </c>
      <c r="F96" s="7">
        <v>1.02504773139953E15</v>
      </c>
      <c r="G96" s="1">
        <v>3.0</v>
      </c>
      <c r="H96" s="8">
        <f t="shared" si="2"/>
        <v>2</v>
      </c>
      <c r="I96" s="8">
        <f t="shared" si="3"/>
        <v>-2</v>
      </c>
    </row>
    <row r="97">
      <c r="A97" s="1">
        <v>95.0</v>
      </c>
      <c r="B97" s="1" t="s">
        <v>63</v>
      </c>
      <c r="C97" s="1" t="s">
        <v>15</v>
      </c>
      <c r="D97" s="1" t="s">
        <v>180</v>
      </c>
      <c r="E97" s="1">
        <v>0.0</v>
      </c>
      <c r="F97" s="7">
        <v>9.85983514785766E15</v>
      </c>
      <c r="G97" s="1">
        <v>0.0</v>
      </c>
      <c r="H97" s="8">
        <f t="shared" si="2"/>
        <v>0</v>
      </c>
      <c r="I97" s="8">
        <f t="shared" si="3"/>
        <v>0</v>
      </c>
    </row>
    <row r="98">
      <c r="A98" s="1">
        <v>96.0</v>
      </c>
      <c r="B98" s="1" t="s">
        <v>65</v>
      </c>
      <c r="C98" s="1" t="s">
        <v>15</v>
      </c>
      <c r="D98" s="1" t="s">
        <v>181</v>
      </c>
      <c r="E98" s="1">
        <v>7.0</v>
      </c>
      <c r="F98" s="7">
        <v>1.03502042293548E16</v>
      </c>
      <c r="G98" s="1">
        <v>4.0</v>
      </c>
      <c r="H98" s="8">
        <f t="shared" si="2"/>
        <v>3</v>
      </c>
      <c r="I98" s="8">
        <f t="shared" si="3"/>
        <v>3</v>
      </c>
    </row>
    <row r="99">
      <c r="A99" s="1">
        <v>97.0</v>
      </c>
      <c r="B99" s="1" t="s">
        <v>67</v>
      </c>
      <c r="C99" s="1" t="s">
        <v>15</v>
      </c>
      <c r="D99" s="1" t="s">
        <v>182</v>
      </c>
      <c r="E99" s="1">
        <v>7.0</v>
      </c>
      <c r="F99" s="7">
        <v>1.02304933071136E16</v>
      </c>
      <c r="G99" s="1">
        <v>7.0</v>
      </c>
      <c r="H99" s="8">
        <f t="shared" si="2"/>
        <v>0</v>
      </c>
      <c r="I99" s="8">
        <f t="shared" si="3"/>
        <v>0</v>
      </c>
    </row>
    <row r="100">
      <c r="A100" s="1">
        <v>98.0</v>
      </c>
      <c r="B100" s="1" t="s">
        <v>69</v>
      </c>
      <c r="C100" s="1" t="s">
        <v>15</v>
      </c>
      <c r="D100" s="1" t="s">
        <v>183</v>
      </c>
      <c r="E100" s="1">
        <v>4.0</v>
      </c>
      <c r="F100" s="7">
        <v>1.03047046661376E16</v>
      </c>
      <c r="G100" s="1">
        <v>8.0</v>
      </c>
      <c r="H100" s="8">
        <f t="shared" si="2"/>
        <v>4</v>
      </c>
      <c r="I100" s="8">
        <f t="shared" si="3"/>
        <v>-4</v>
      </c>
    </row>
    <row r="101">
      <c r="A101" s="1">
        <v>99.0</v>
      </c>
      <c r="B101" s="1" t="s">
        <v>71</v>
      </c>
      <c r="C101" s="1" t="s">
        <v>15</v>
      </c>
      <c r="D101" s="1" t="s">
        <v>184</v>
      </c>
      <c r="E101" s="1">
        <v>4.0</v>
      </c>
      <c r="F101" s="7">
        <v>1.02550368309021E14</v>
      </c>
      <c r="G101" s="1">
        <v>5.0</v>
      </c>
      <c r="H101" s="8">
        <f t="shared" si="2"/>
        <v>1</v>
      </c>
      <c r="I101" s="8">
        <f t="shared" si="3"/>
        <v>-1</v>
      </c>
    </row>
    <row r="102">
      <c r="A102" s="1">
        <v>100.0</v>
      </c>
      <c r="B102" s="1" t="s">
        <v>73</v>
      </c>
      <c r="C102" s="1" t="s">
        <v>15</v>
      </c>
      <c r="D102" s="1" t="s">
        <v>185</v>
      </c>
      <c r="E102" s="1">
        <v>3.0</v>
      </c>
      <c r="F102" s="7">
        <v>1.02629895210266E16</v>
      </c>
      <c r="G102" s="1">
        <v>4.0</v>
      </c>
      <c r="H102" s="8">
        <f t="shared" si="2"/>
        <v>1</v>
      </c>
      <c r="I102" s="8">
        <f t="shared" si="3"/>
        <v>-1</v>
      </c>
    </row>
    <row r="103">
      <c r="A103" s="1">
        <v>101.0</v>
      </c>
      <c r="B103" s="1" t="s">
        <v>75</v>
      </c>
      <c r="C103" s="1" t="s">
        <v>15</v>
      </c>
      <c r="D103" s="1" t="s">
        <v>76</v>
      </c>
      <c r="E103" s="1">
        <v>9.0</v>
      </c>
      <c r="F103" s="7">
        <v>1.0880735874176E16</v>
      </c>
      <c r="G103" s="1">
        <v>8.0</v>
      </c>
      <c r="H103" s="8">
        <f t="shared" si="2"/>
        <v>1</v>
      </c>
      <c r="I103" s="8">
        <f t="shared" si="3"/>
        <v>1</v>
      </c>
    </row>
    <row r="104">
      <c r="A104" s="1">
        <v>102.0</v>
      </c>
      <c r="B104" s="1" t="s">
        <v>77</v>
      </c>
      <c r="C104" s="1" t="s">
        <v>15</v>
      </c>
      <c r="D104" s="1" t="s">
        <v>186</v>
      </c>
      <c r="E104" s="1">
        <v>8.0</v>
      </c>
      <c r="F104" s="7">
        <v>1.0328340768814E16</v>
      </c>
      <c r="G104" s="1">
        <v>4.0</v>
      </c>
      <c r="H104" s="8">
        <f t="shared" si="2"/>
        <v>4</v>
      </c>
      <c r="I104" s="8">
        <f t="shared" si="3"/>
        <v>4</v>
      </c>
    </row>
    <row r="105">
      <c r="A105" s="1">
        <v>103.0</v>
      </c>
      <c r="B105" s="1" t="s">
        <v>79</v>
      </c>
      <c r="C105" s="1" t="s">
        <v>15</v>
      </c>
      <c r="D105" s="1" t="s">
        <v>187</v>
      </c>
      <c r="E105" s="1">
        <v>8.0</v>
      </c>
      <c r="F105" s="7">
        <v>1.07353208065032E16</v>
      </c>
      <c r="G105" s="1">
        <v>8.0</v>
      </c>
      <c r="H105" s="8">
        <f t="shared" si="2"/>
        <v>0</v>
      </c>
      <c r="I105" s="8">
        <f t="shared" si="3"/>
        <v>0</v>
      </c>
    </row>
    <row r="106">
      <c r="A106" s="1">
        <v>104.0</v>
      </c>
      <c r="B106" s="1" t="s">
        <v>81</v>
      </c>
      <c r="C106" s="1" t="s">
        <v>15</v>
      </c>
      <c r="D106" s="1" t="s">
        <v>188</v>
      </c>
      <c r="E106" s="1">
        <v>9.0</v>
      </c>
      <c r="F106" s="7">
        <v>1.07602615356445E16</v>
      </c>
      <c r="G106" s="1">
        <v>8.0</v>
      </c>
      <c r="H106" s="8">
        <f t="shared" si="2"/>
        <v>1</v>
      </c>
      <c r="I106" s="8">
        <f t="shared" si="3"/>
        <v>1</v>
      </c>
    </row>
    <row r="107">
      <c r="A107" s="1">
        <v>105.0</v>
      </c>
      <c r="B107" s="1" t="s">
        <v>83</v>
      </c>
      <c r="C107" s="1" t="s">
        <v>15</v>
      </c>
      <c r="D107" s="1" t="s">
        <v>189</v>
      </c>
      <c r="E107" s="1">
        <v>7.0</v>
      </c>
      <c r="F107" s="7">
        <v>1.07655179500579E16</v>
      </c>
      <c r="G107" s="1">
        <v>7.0</v>
      </c>
      <c r="H107" s="8">
        <f t="shared" si="2"/>
        <v>0</v>
      </c>
      <c r="I107" s="8">
        <f t="shared" si="3"/>
        <v>0</v>
      </c>
    </row>
    <row r="108">
      <c r="A108" s="1">
        <v>106.0</v>
      </c>
      <c r="B108" s="1" t="s">
        <v>85</v>
      </c>
      <c r="C108" s="1" t="s">
        <v>15</v>
      </c>
      <c r="D108" s="1" t="s">
        <v>190</v>
      </c>
      <c r="E108" s="1">
        <v>6.0</v>
      </c>
      <c r="F108" s="7">
        <v>1.02813968658447E16</v>
      </c>
      <c r="G108" s="1">
        <v>4.0</v>
      </c>
      <c r="H108" s="8">
        <f t="shared" si="2"/>
        <v>2</v>
      </c>
      <c r="I108" s="8">
        <f t="shared" si="3"/>
        <v>2</v>
      </c>
    </row>
    <row r="109">
      <c r="A109" s="1">
        <v>107.0</v>
      </c>
      <c r="B109" s="1" t="s">
        <v>87</v>
      </c>
      <c r="C109" s="1" t="s">
        <v>15</v>
      </c>
      <c r="D109" s="1" t="s">
        <v>191</v>
      </c>
      <c r="E109" s="1">
        <v>6.0</v>
      </c>
      <c r="F109" s="7">
        <v>1.03050265312194E16</v>
      </c>
      <c r="G109" s="1">
        <v>4.0</v>
      </c>
      <c r="H109" s="8">
        <f t="shared" si="2"/>
        <v>2</v>
      </c>
      <c r="I109" s="8">
        <f t="shared" si="3"/>
        <v>2</v>
      </c>
    </row>
    <row r="110">
      <c r="A110" s="1">
        <v>108.0</v>
      </c>
      <c r="B110" s="1" t="s">
        <v>89</v>
      </c>
      <c r="C110" s="1" t="s">
        <v>15</v>
      </c>
      <c r="D110" s="1" t="s">
        <v>192</v>
      </c>
      <c r="E110" s="1">
        <v>8.0</v>
      </c>
      <c r="F110" s="7">
        <v>1.08245441913604E16</v>
      </c>
      <c r="G110" s="1">
        <v>8.0</v>
      </c>
      <c r="H110" s="8">
        <f t="shared" si="2"/>
        <v>0</v>
      </c>
      <c r="I110" s="8">
        <f t="shared" si="3"/>
        <v>0</v>
      </c>
    </row>
    <row r="111">
      <c r="A111" s="1">
        <v>109.0</v>
      </c>
      <c r="B111" s="1" t="s">
        <v>91</v>
      </c>
      <c r="C111" s="1" t="s">
        <v>15</v>
      </c>
      <c r="D111" s="1" t="s">
        <v>193</v>
      </c>
      <c r="E111" s="1">
        <v>8.0</v>
      </c>
      <c r="F111" s="7">
        <v>1.0708119392395E15</v>
      </c>
      <c r="G111" s="1">
        <v>7.0</v>
      </c>
      <c r="H111" s="8">
        <f t="shared" si="2"/>
        <v>1</v>
      </c>
      <c r="I111" s="8">
        <f t="shared" si="3"/>
        <v>1</v>
      </c>
    </row>
    <row r="112">
      <c r="A112" s="1">
        <v>110.0</v>
      </c>
      <c r="B112" s="1" t="s">
        <v>93</v>
      </c>
      <c r="C112" s="1" t="s">
        <v>15</v>
      </c>
      <c r="D112" s="1" t="s">
        <v>194</v>
      </c>
      <c r="E112" s="1">
        <v>1.0</v>
      </c>
      <c r="F112" s="7">
        <v>1.02568037509918E15</v>
      </c>
      <c r="G112" s="1">
        <v>3.0</v>
      </c>
      <c r="H112" s="8">
        <f t="shared" si="2"/>
        <v>2</v>
      </c>
      <c r="I112" s="8">
        <f t="shared" si="3"/>
        <v>-2</v>
      </c>
    </row>
    <row r="113">
      <c r="A113" s="1">
        <v>111.0</v>
      </c>
      <c r="B113" s="1" t="s">
        <v>95</v>
      </c>
      <c r="C113" s="1" t="s">
        <v>15</v>
      </c>
      <c r="D113" s="1" t="s">
        <v>195</v>
      </c>
      <c r="E113" s="1">
        <v>8.0</v>
      </c>
      <c r="F113" s="7">
        <v>1.1239907503128E16</v>
      </c>
      <c r="G113" s="1">
        <v>8.0</v>
      </c>
      <c r="H113" s="8">
        <f t="shared" si="2"/>
        <v>0</v>
      </c>
      <c r="I113" s="8">
        <f t="shared" si="3"/>
        <v>0</v>
      </c>
    </row>
    <row r="114">
      <c r="A114" s="1">
        <v>112.0</v>
      </c>
      <c r="B114" s="1" t="s">
        <v>97</v>
      </c>
      <c r="C114" s="1" t="s">
        <v>15</v>
      </c>
      <c r="D114" s="1" t="s">
        <v>196</v>
      </c>
      <c r="E114" s="1">
        <v>7.0</v>
      </c>
      <c r="F114" s="7">
        <v>1.06867039203643E15</v>
      </c>
      <c r="G114" s="1">
        <v>8.0</v>
      </c>
      <c r="H114" s="8">
        <f t="shared" si="2"/>
        <v>1</v>
      </c>
      <c r="I114" s="8">
        <f t="shared" si="3"/>
        <v>-1</v>
      </c>
    </row>
    <row r="115">
      <c r="A115" s="1">
        <v>113.0</v>
      </c>
      <c r="B115" s="1" t="s">
        <v>99</v>
      </c>
      <c r="C115" s="1" t="s">
        <v>15</v>
      </c>
      <c r="D115" s="1" t="s">
        <v>197</v>
      </c>
      <c r="E115" s="1">
        <v>6.0</v>
      </c>
      <c r="F115" s="7">
        <v>1.06971096992492E16</v>
      </c>
      <c r="G115" s="1">
        <v>4.0</v>
      </c>
      <c r="H115" s="8">
        <f t="shared" si="2"/>
        <v>2</v>
      </c>
      <c r="I115" s="8">
        <f t="shared" si="3"/>
        <v>2</v>
      </c>
    </row>
    <row r="116">
      <c r="A116" s="1">
        <v>114.0</v>
      </c>
      <c r="B116" s="1" t="s">
        <v>101</v>
      </c>
      <c r="C116" s="1" t="s">
        <v>15</v>
      </c>
      <c r="D116" s="1" t="s">
        <v>198</v>
      </c>
      <c r="E116" s="1">
        <v>9.0</v>
      </c>
      <c r="F116" s="7">
        <v>1.13917100429534E16</v>
      </c>
      <c r="G116" s="1">
        <v>5.0</v>
      </c>
      <c r="H116" s="8">
        <f t="shared" si="2"/>
        <v>4</v>
      </c>
      <c r="I116" s="8">
        <f t="shared" si="3"/>
        <v>4</v>
      </c>
    </row>
    <row r="117">
      <c r="A117" s="1">
        <v>115.0</v>
      </c>
      <c r="B117" s="1" t="s">
        <v>103</v>
      </c>
      <c r="C117" s="1" t="s">
        <v>15</v>
      </c>
      <c r="D117" s="1" t="s">
        <v>199</v>
      </c>
      <c r="E117" s="1">
        <v>3.0</v>
      </c>
      <c r="F117" s="7">
        <v>1.03559718132019E16</v>
      </c>
      <c r="G117" s="1">
        <v>4.0</v>
      </c>
      <c r="H117" s="8">
        <f t="shared" si="2"/>
        <v>1</v>
      </c>
      <c r="I117" s="8">
        <f t="shared" si="3"/>
        <v>-1</v>
      </c>
    </row>
    <row r="118">
      <c r="A118" s="1">
        <v>116.0</v>
      </c>
      <c r="B118" s="1" t="s">
        <v>105</v>
      </c>
      <c r="C118" s="1" t="s">
        <v>15</v>
      </c>
      <c r="D118" s="1" t="s">
        <v>200</v>
      </c>
      <c r="E118" s="1">
        <v>8.0</v>
      </c>
      <c r="F118" s="7">
        <v>1.12473285198211E16</v>
      </c>
      <c r="G118" s="1">
        <v>8.0</v>
      </c>
      <c r="H118" s="8">
        <f t="shared" si="2"/>
        <v>0</v>
      </c>
      <c r="I118" s="8">
        <f t="shared" si="3"/>
        <v>0</v>
      </c>
    </row>
    <row r="119">
      <c r="A119" s="1">
        <v>117.0</v>
      </c>
      <c r="B119" s="1" t="s">
        <v>107</v>
      </c>
      <c r="C119" s="1" t="s">
        <v>15</v>
      </c>
      <c r="D119" s="1" t="s">
        <v>201</v>
      </c>
      <c r="E119" s="1">
        <v>3.0</v>
      </c>
      <c r="F119" s="7">
        <v>1.07205483913421E16</v>
      </c>
      <c r="G119" s="1">
        <v>7.0</v>
      </c>
      <c r="H119" s="8">
        <f t="shared" si="2"/>
        <v>4</v>
      </c>
      <c r="I119" s="8">
        <f t="shared" si="3"/>
        <v>-4</v>
      </c>
    </row>
    <row r="120">
      <c r="A120" s="1">
        <v>118.0</v>
      </c>
      <c r="B120" s="1" t="s">
        <v>109</v>
      </c>
      <c r="C120" s="1" t="s">
        <v>15</v>
      </c>
      <c r="D120" s="1" t="s">
        <v>202</v>
      </c>
      <c r="E120" s="1">
        <v>2.0</v>
      </c>
      <c r="F120" s="7">
        <v>1.02730019092559E15</v>
      </c>
      <c r="G120" s="1">
        <v>4.0</v>
      </c>
      <c r="H120" s="8">
        <f t="shared" si="2"/>
        <v>2</v>
      </c>
      <c r="I120" s="8">
        <f t="shared" si="3"/>
        <v>-2</v>
      </c>
    </row>
    <row r="121">
      <c r="A121" s="1">
        <v>119.0</v>
      </c>
      <c r="B121" s="1" t="s">
        <v>111</v>
      </c>
      <c r="C121" s="1" t="s">
        <v>15</v>
      </c>
      <c r="D121" s="1" t="s">
        <v>203</v>
      </c>
      <c r="E121" s="1">
        <v>2.0</v>
      </c>
      <c r="F121" s="7">
        <v>1.0303272485733E16</v>
      </c>
      <c r="G121" s="1">
        <v>2.0</v>
      </c>
      <c r="H121" s="8">
        <f t="shared" si="2"/>
        <v>0</v>
      </c>
      <c r="I121" s="8">
        <f t="shared" si="3"/>
        <v>0</v>
      </c>
    </row>
    <row r="122">
      <c r="A122" s="1">
        <v>120.0</v>
      </c>
      <c r="B122" s="1" t="s">
        <v>113</v>
      </c>
      <c r="C122" s="1" t="s">
        <v>15</v>
      </c>
      <c r="D122" s="1" t="s">
        <v>204</v>
      </c>
      <c r="E122" s="1">
        <v>8.0</v>
      </c>
      <c r="F122" s="7">
        <v>1.03375480175018E16</v>
      </c>
      <c r="G122" s="1">
        <v>8.0</v>
      </c>
      <c r="H122" s="8">
        <f t="shared" si="2"/>
        <v>0</v>
      </c>
      <c r="I122" s="8">
        <f t="shared" si="3"/>
        <v>0</v>
      </c>
    </row>
    <row r="123">
      <c r="A123" s="1">
        <v>121.0</v>
      </c>
      <c r="B123" s="1" t="s">
        <v>115</v>
      </c>
      <c r="C123" s="1" t="s">
        <v>15</v>
      </c>
      <c r="D123" s="1" t="s">
        <v>205</v>
      </c>
      <c r="E123" s="1">
        <v>8.0</v>
      </c>
      <c r="F123" s="7">
        <v>1.03134863376617E16</v>
      </c>
      <c r="G123" s="1">
        <v>8.0</v>
      </c>
      <c r="H123" s="8">
        <f t="shared" si="2"/>
        <v>0</v>
      </c>
      <c r="I123" s="8">
        <f t="shared" si="3"/>
        <v>0</v>
      </c>
    </row>
    <row r="124">
      <c r="A124" s="1">
        <v>122.0</v>
      </c>
      <c r="B124" s="1" t="s">
        <v>117</v>
      </c>
      <c r="C124" s="1" t="s">
        <v>15</v>
      </c>
      <c r="D124" s="1" t="s">
        <v>118</v>
      </c>
      <c r="E124" s="1">
        <v>4.0</v>
      </c>
      <c r="F124" s="7">
        <v>1.02742292881011E16</v>
      </c>
      <c r="G124" s="1">
        <v>4.0</v>
      </c>
      <c r="H124" s="8">
        <f t="shared" si="2"/>
        <v>0</v>
      </c>
      <c r="I124" s="8">
        <f t="shared" si="3"/>
        <v>0</v>
      </c>
    </row>
    <row r="125">
      <c r="A125" s="1">
        <v>123.0</v>
      </c>
      <c r="B125" s="1" t="s">
        <v>119</v>
      </c>
      <c r="C125" s="1" t="s">
        <v>15</v>
      </c>
      <c r="D125" s="1" t="s">
        <v>206</v>
      </c>
      <c r="E125" s="1">
        <v>7.0</v>
      </c>
      <c r="F125" s="7">
        <v>1.0728063583374E16</v>
      </c>
      <c r="G125" s="1">
        <v>8.0</v>
      </c>
      <c r="H125" s="8">
        <f t="shared" si="2"/>
        <v>1</v>
      </c>
      <c r="I125" s="8">
        <f t="shared" si="3"/>
        <v>-1</v>
      </c>
    </row>
    <row r="126">
      <c r="A126" s="1">
        <v>124.0</v>
      </c>
      <c r="B126" s="1" t="s">
        <v>121</v>
      </c>
      <c r="C126" s="1" t="s">
        <v>15</v>
      </c>
      <c r="D126" s="1" t="s">
        <v>207</v>
      </c>
      <c r="E126" s="1">
        <v>5.0</v>
      </c>
      <c r="F126" s="7">
        <v>1.07950134277343E16</v>
      </c>
      <c r="G126" s="1">
        <v>3.0</v>
      </c>
      <c r="H126" s="8">
        <f t="shared" si="2"/>
        <v>2</v>
      </c>
      <c r="I126" s="8">
        <f t="shared" si="3"/>
        <v>2</v>
      </c>
    </row>
    <row r="127">
      <c r="A127" s="1">
        <v>125.0</v>
      </c>
      <c r="B127" s="1" t="s">
        <v>123</v>
      </c>
      <c r="C127" s="1" t="s">
        <v>15</v>
      </c>
      <c r="D127" s="1" t="s">
        <v>208</v>
      </c>
      <c r="E127" s="1">
        <v>5.0</v>
      </c>
      <c r="F127" s="7">
        <v>1.07500822544097E15</v>
      </c>
      <c r="G127" s="1">
        <v>4.0</v>
      </c>
      <c r="H127" s="8">
        <f t="shared" si="2"/>
        <v>1</v>
      </c>
      <c r="I127" s="8">
        <f t="shared" si="3"/>
        <v>1</v>
      </c>
    </row>
    <row r="128">
      <c r="A128" s="1">
        <v>126.0</v>
      </c>
      <c r="B128" s="1" t="s">
        <v>125</v>
      </c>
      <c r="C128" s="1" t="s">
        <v>15</v>
      </c>
      <c r="D128" s="1" t="s">
        <v>209</v>
      </c>
      <c r="E128" s="1">
        <v>9.0</v>
      </c>
      <c r="F128" s="7">
        <v>1.0858421087265E16</v>
      </c>
      <c r="G128" s="1">
        <v>8.0</v>
      </c>
      <c r="H128" s="8">
        <f t="shared" si="2"/>
        <v>1</v>
      </c>
      <c r="I128" s="8">
        <f t="shared" si="3"/>
        <v>1</v>
      </c>
    </row>
    <row r="129">
      <c r="A129" s="1">
        <v>127.0</v>
      </c>
      <c r="B129" s="1" t="s">
        <v>127</v>
      </c>
      <c r="C129" s="1" t="s">
        <v>15</v>
      </c>
      <c r="D129" s="1" t="s">
        <v>210</v>
      </c>
      <c r="E129" s="1">
        <v>4.0</v>
      </c>
      <c r="F129" s="7">
        <v>1.03466877937316E15</v>
      </c>
      <c r="G129" s="1">
        <v>4.0</v>
      </c>
      <c r="H129" s="8">
        <f t="shared" si="2"/>
        <v>0</v>
      </c>
      <c r="I129" s="8">
        <f t="shared" si="3"/>
        <v>0</v>
      </c>
    </row>
    <row r="130">
      <c r="A130" s="1">
        <v>128.0</v>
      </c>
      <c r="B130" s="1" t="s">
        <v>129</v>
      </c>
      <c r="C130" s="1" t="s">
        <v>15</v>
      </c>
      <c r="D130" s="1" t="s">
        <v>130</v>
      </c>
      <c r="E130" s="1">
        <v>0.0</v>
      </c>
      <c r="F130" s="7">
        <v>9.9003939628601E15</v>
      </c>
      <c r="G130" s="1">
        <v>0.0</v>
      </c>
      <c r="H130" s="8">
        <f t="shared" si="2"/>
        <v>0</v>
      </c>
      <c r="I130" s="8">
        <f t="shared" si="3"/>
        <v>0</v>
      </c>
    </row>
    <row r="131">
      <c r="A131" s="1">
        <v>129.0</v>
      </c>
      <c r="B131" s="1" t="s">
        <v>131</v>
      </c>
      <c r="C131" s="1" t="s">
        <v>15</v>
      </c>
      <c r="D131" s="1" t="s">
        <v>211</v>
      </c>
      <c r="E131" s="1">
        <v>2.0</v>
      </c>
      <c r="F131" s="7">
        <v>1.06959829330444E16</v>
      </c>
      <c r="G131" s="1">
        <v>4.0</v>
      </c>
      <c r="H131" s="8">
        <f t="shared" si="2"/>
        <v>2</v>
      </c>
      <c r="I131" s="8">
        <f t="shared" si="3"/>
        <v>-2</v>
      </c>
    </row>
    <row r="132">
      <c r="A132" s="1">
        <v>130.0</v>
      </c>
      <c r="B132" s="1" t="s">
        <v>133</v>
      </c>
      <c r="C132" s="1" t="s">
        <v>15</v>
      </c>
      <c r="D132" s="1" t="s">
        <v>212</v>
      </c>
      <c r="E132" s="1">
        <v>3.0</v>
      </c>
      <c r="F132" s="7">
        <v>1.02322354316711E16</v>
      </c>
      <c r="G132" s="1">
        <v>4.0</v>
      </c>
      <c r="H132" s="8">
        <f t="shared" si="2"/>
        <v>1</v>
      </c>
      <c r="I132" s="8">
        <f t="shared" si="3"/>
        <v>-1</v>
      </c>
    </row>
    <row r="133">
      <c r="A133" s="1">
        <v>131.0</v>
      </c>
      <c r="B133" s="1" t="s">
        <v>135</v>
      </c>
      <c r="C133" s="1" t="s">
        <v>15</v>
      </c>
      <c r="D133" s="1" t="s">
        <v>213</v>
      </c>
      <c r="E133" s="1">
        <v>1.0</v>
      </c>
      <c r="F133" s="7">
        <v>1.03303916454315E15</v>
      </c>
      <c r="G133" s="1">
        <v>4.0</v>
      </c>
      <c r="H133" s="8">
        <f t="shared" si="2"/>
        <v>3</v>
      </c>
      <c r="I133" s="8">
        <f t="shared" si="3"/>
        <v>-3</v>
      </c>
    </row>
    <row r="134">
      <c r="A134" s="1">
        <v>132.0</v>
      </c>
      <c r="B134" s="1" t="s">
        <v>137</v>
      </c>
      <c r="C134" s="1" t="s">
        <v>15</v>
      </c>
      <c r="D134" s="1" t="s">
        <v>214</v>
      </c>
      <c r="E134" s="1">
        <v>9.0</v>
      </c>
      <c r="F134" s="7">
        <v>1.13912031650543E15</v>
      </c>
      <c r="G134" s="1">
        <v>8.0</v>
      </c>
      <c r="H134" s="8">
        <f t="shared" si="2"/>
        <v>1</v>
      </c>
      <c r="I134" s="8">
        <f t="shared" si="3"/>
        <v>1</v>
      </c>
    </row>
    <row r="135">
      <c r="A135" s="1">
        <v>133.0</v>
      </c>
      <c r="B135" s="1" t="s">
        <v>139</v>
      </c>
      <c r="C135" s="1" t="s">
        <v>15</v>
      </c>
      <c r="D135" s="1" t="s">
        <v>140</v>
      </c>
      <c r="E135" s="1">
        <v>3.0</v>
      </c>
      <c r="F135" s="7">
        <v>1.08183431625366E15</v>
      </c>
      <c r="G135" s="1">
        <v>4.0</v>
      </c>
      <c r="H135" s="8">
        <f t="shared" si="2"/>
        <v>1</v>
      </c>
      <c r="I135" s="8">
        <f t="shared" si="3"/>
        <v>-1</v>
      </c>
    </row>
    <row r="136">
      <c r="A136" s="1">
        <v>134.0</v>
      </c>
      <c r="B136" s="1" t="s">
        <v>141</v>
      </c>
      <c r="C136" s="1" t="s">
        <v>15</v>
      </c>
      <c r="D136" s="1" t="s">
        <v>215</v>
      </c>
      <c r="E136" s="1">
        <v>2.0</v>
      </c>
      <c r="F136" s="7">
        <v>1.02854814529418E16</v>
      </c>
      <c r="G136" s="1">
        <v>4.0</v>
      </c>
      <c r="H136" s="8">
        <f t="shared" si="2"/>
        <v>2</v>
      </c>
      <c r="I136" s="8">
        <f t="shared" si="3"/>
        <v>-2</v>
      </c>
    </row>
    <row r="137">
      <c r="A137" s="1">
        <v>135.0</v>
      </c>
      <c r="B137" s="1" t="s">
        <v>143</v>
      </c>
      <c r="C137" s="1" t="s">
        <v>15</v>
      </c>
      <c r="D137" s="1" t="s">
        <v>130</v>
      </c>
      <c r="E137" s="1">
        <v>0.0</v>
      </c>
      <c r="F137" s="7">
        <v>1.02042968273162E16</v>
      </c>
      <c r="G137" s="1">
        <v>0.0</v>
      </c>
      <c r="H137" s="8">
        <f t="shared" si="2"/>
        <v>0</v>
      </c>
      <c r="I137" s="8">
        <f t="shared" si="3"/>
        <v>0</v>
      </c>
    </row>
    <row r="138">
      <c r="A138" s="1">
        <v>136.0</v>
      </c>
      <c r="B138" s="1" t="s">
        <v>145</v>
      </c>
      <c r="C138" s="1" t="s">
        <v>15</v>
      </c>
      <c r="D138" s="1" t="s">
        <v>216</v>
      </c>
      <c r="E138" s="1">
        <v>0.0</v>
      </c>
      <c r="F138" s="7">
        <v>9.85374808311462E15</v>
      </c>
      <c r="G138" s="1">
        <v>0.0</v>
      </c>
      <c r="H138" s="8">
        <f t="shared" si="2"/>
        <v>0</v>
      </c>
      <c r="I138" s="8">
        <f t="shared" si="3"/>
        <v>0</v>
      </c>
    </row>
    <row r="139">
      <c r="A139" s="1">
        <v>137.0</v>
      </c>
      <c r="B139" s="1" t="s">
        <v>147</v>
      </c>
      <c r="C139" s="1" t="s">
        <v>15</v>
      </c>
      <c r="D139" s="1" t="s">
        <v>217</v>
      </c>
      <c r="E139" s="1">
        <v>4.0</v>
      </c>
      <c r="F139" s="7">
        <v>1.0317851781845E16</v>
      </c>
      <c r="G139" s="1">
        <v>4.0</v>
      </c>
      <c r="H139" s="8">
        <f t="shared" si="2"/>
        <v>0</v>
      </c>
      <c r="I139" s="8">
        <f t="shared" si="3"/>
        <v>0</v>
      </c>
    </row>
    <row r="140">
      <c r="A140" s="1">
        <v>138.0</v>
      </c>
      <c r="B140" s="1" t="s">
        <v>149</v>
      </c>
      <c r="C140" s="1" t="s">
        <v>15</v>
      </c>
      <c r="D140" s="1" t="s">
        <v>218</v>
      </c>
      <c r="E140" s="1">
        <v>6.0</v>
      </c>
      <c r="F140" s="7">
        <v>1.03383769989013E16</v>
      </c>
      <c r="G140" s="1">
        <v>4.0</v>
      </c>
      <c r="H140" s="8">
        <f t="shared" si="2"/>
        <v>2</v>
      </c>
      <c r="I140" s="8">
        <f t="shared" si="3"/>
        <v>2</v>
      </c>
    </row>
    <row r="141">
      <c r="A141" s="1">
        <v>139.0</v>
      </c>
      <c r="B141" s="1" t="s">
        <v>151</v>
      </c>
      <c r="C141" s="1" t="s">
        <v>15</v>
      </c>
      <c r="D141" s="1" t="s">
        <v>219</v>
      </c>
      <c r="E141" s="1">
        <v>8.0</v>
      </c>
      <c r="F141" s="7">
        <v>1.12506439685821E16</v>
      </c>
      <c r="G141" s="1">
        <v>8.0</v>
      </c>
      <c r="H141" s="8">
        <f t="shared" si="2"/>
        <v>0</v>
      </c>
      <c r="I141" s="8">
        <f t="shared" si="3"/>
        <v>0</v>
      </c>
    </row>
    <row r="142">
      <c r="A142" s="1">
        <v>140.0</v>
      </c>
      <c r="B142" s="1" t="s">
        <v>153</v>
      </c>
      <c r="C142" s="1" t="s">
        <v>15</v>
      </c>
      <c r="D142" s="1" t="s">
        <v>220</v>
      </c>
      <c r="E142" s="1">
        <v>5.0</v>
      </c>
      <c r="F142" s="7">
        <v>1.03782751560211E16</v>
      </c>
      <c r="G142" s="1">
        <v>7.0</v>
      </c>
      <c r="H142" s="8">
        <f t="shared" si="2"/>
        <v>2</v>
      </c>
      <c r="I142" s="8">
        <f t="shared" si="3"/>
        <v>-2</v>
      </c>
    </row>
    <row r="143">
      <c r="A143" s="1">
        <v>141.0</v>
      </c>
      <c r="B143" s="1" t="s">
        <v>155</v>
      </c>
      <c r="C143" s="1" t="s">
        <v>15</v>
      </c>
      <c r="D143" s="1" t="s">
        <v>221</v>
      </c>
      <c r="E143" s="1">
        <v>0.0</v>
      </c>
      <c r="F143" s="7">
        <v>1.02133016586303E16</v>
      </c>
      <c r="G143" s="1">
        <v>6.0</v>
      </c>
      <c r="H143" s="8">
        <f t="shared" si="2"/>
        <v>6</v>
      </c>
      <c r="I143" s="8">
        <f t="shared" si="3"/>
        <v>-6</v>
      </c>
    </row>
    <row r="144">
      <c r="A144" s="1">
        <v>142.0</v>
      </c>
      <c r="B144" s="1" t="s">
        <v>14</v>
      </c>
      <c r="C144" s="1" t="s">
        <v>222</v>
      </c>
      <c r="D144" s="1" t="s">
        <v>223</v>
      </c>
      <c r="E144" s="1">
        <v>4.0</v>
      </c>
      <c r="F144" s="7">
        <v>6.42919158935546E15</v>
      </c>
      <c r="G144" s="1">
        <v>6.0</v>
      </c>
      <c r="H144" s="8">
        <f t="shared" si="2"/>
        <v>2</v>
      </c>
      <c r="I144" s="8">
        <f t="shared" si="3"/>
        <v>-2</v>
      </c>
    </row>
    <row r="145">
      <c r="A145" s="1">
        <v>143.0</v>
      </c>
      <c r="B145" s="1" t="s">
        <v>17</v>
      </c>
      <c r="C145" s="1" t="s">
        <v>222</v>
      </c>
      <c r="D145" s="1" t="s">
        <v>224</v>
      </c>
      <c r="E145" s="1">
        <v>2.0</v>
      </c>
      <c r="F145" s="7">
        <v>6.4093587398529E15</v>
      </c>
      <c r="G145" s="1">
        <v>4.0</v>
      </c>
      <c r="H145" s="8">
        <f t="shared" si="2"/>
        <v>2</v>
      </c>
      <c r="I145" s="8">
        <f t="shared" si="3"/>
        <v>-2</v>
      </c>
    </row>
    <row r="146">
      <c r="A146" s="1">
        <v>144.0</v>
      </c>
      <c r="B146" s="1" t="s">
        <v>19</v>
      </c>
      <c r="C146" s="1" t="s">
        <v>222</v>
      </c>
      <c r="D146" s="1" t="s">
        <v>225</v>
      </c>
      <c r="E146" s="1">
        <v>5.0</v>
      </c>
      <c r="F146" s="7">
        <v>6.45509719848632E15</v>
      </c>
      <c r="G146" s="1">
        <v>6.0</v>
      </c>
      <c r="H146" s="8">
        <f t="shared" si="2"/>
        <v>1</v>
      </c>
      <c r="I146" s="8">
        <f t="shared" si="3"/>
        <v>-1</v>
      </c>
    </row>
    <row r="147">
      <c r="A147" s="1">
        <v>145.0</v>
      </c>
      <c r="B147" s="1" t="s">
        <v>21</v>
      </c>
      <c r="C147" s="1" t="s">
        <v>222</v>
      </c>
      <c r="D147" s="1" t="s">
        <v>226</v>
      </c>
      <c r="E147" s="1">
        <v>4.0</v>
      </c>
      <c r="F147" s="7">
        <v>6.93183994293212E15</v>
      </c>
      <c r="G147" s="1">
        <v>7.0</v>
      </c>
      <c r="H147" s="8">
        <f t="shared" si="2"/>
        <v>3</v>
      </c>
      <c r="I147" s="8">
        <f t="shared" si="3"/>
        <v>-3</v>
      </c>
    </row>
    <row r="148">
      <c r="A148" s="1">
        <v>146.0</v>
      </c>
      <c r="B148" s="1" t="s">
        <v>23</v>
      </c>
      <c r="C148" s="1" t="s">
        <v>222</v>
      </c>
      <c r="D148" s="1" t="s">
        <v>227</v>
      </c>
      <c r="E148" s="1">
        <v>6.0</v>
      </c>
      <c r="F148" s="7">
        <v>6.41844749450683E15</v>
      </c>
      <c r="G148" s="1">
        <v>4.0</v>
      </c>
      <c r="H148" s="8">
        <f t="shared" si="2"/>
        <v>2</v>
      </c>
      <c r="I148" s="8">
        <f t="shared" si="3"/>
        <v>2</v>
      </c>
    </row>
    <row r="149">
      <c r="A149" s="1">
        <v>147.0</v>
      </c>
      <c r="B149" s="1" t="s">
        <v>25</v>
      </c>
      <c r="C149" s="1" t="s">
        <v>222</v>
      </c>
      <c r="D149" s="1" t="s">
        <v>228</v>
      </c>
      <c r="E149" s="1">
        <v>6.0</v>
      </c>
      <c r="F149" s="7">
        <v>6.93473005294799E15</v>
      </c>
      <c r="G149" s="1">
        <v>6.0</v>
      </c>
      <c r="H149" s="8">
        <f t="shared" si="2"/>
        <v>0</v>
      </c>
      <c r="I149" s="8">
        <f t="shared" si="3"/>
        <v>0</v>
      </c>
    </row>
    <row r="150">
      <c r="A150" s="1">
        <v>148.0</v>
      </c>
      <c r="B150" s="1" t="s">
        <v>27</v>
      </c>
      <c r="C150" s="1" t="s">
        <v>222</v>
      </c>
      <c r="D150" s="1" t="s">
        <v>229</v>
      </c>
      <c r="E150" s="1">
        <v>7.0</v>
      </c>
      <c r="F150" s="7">
        <v>6.90241909027099E15</v>
      </c>
      <c r="G150" s="1">
        <v>7.0</v>
      </c>
      <c r="H150" s="8">
        <f t="shared" si="2"/>
        <v>0</v>
      </c>
      <c r="I150" s="8">
        <f t="shared" si="3"/>
        <v>0</v>
      </c>
    </row>
    <row r="151">
      <c r="A151" s="1">
        <v>149.0</v>
      </c>
      <c r="B151" s="1" t="s">
        <v>29</v>
      </c>
      <c r="C151" s="1" t="s">
        <v>222</v>
      </c>
      <c r="D151" s="1" t="s">
        <v>230</v>
      </c>
      <c r="E151" s="1">
        <v>5.0</v>
      </c>
      <c r="F151" s="7">
        <v>6.33357763290405E15</v>
      </c>
      <c r="G151" s="1">
        <v>6.0</v>
      </c>
      <c r="H151" s="8">
        <f t="shared" si="2"/>
        <v>1</v>
      </c>
      <c r="I151" s="8">
        <f t="shared" si="3"/>
        <v>-1</v>
      </c>
    </row>
    <row r="152">
      <c r="A152" s="1">
        <v>150.0</v>
      </c>
      <c r="B152" s="1" t="s">
        <v>31</v>
      </c>
      <c r="C152" s="1" t="s">
        <v>222</v>
      </c>
      <c r="D152" s="1" t="s">
        <v>231</v>
      </c>
      <c r="E152" s="1">
        <v>7.0</v>
      </c>
      <c r="F152" s="7">
        <v>6.49929785728454E15</v>
      </c>
      <c r="G152" s="1">
        <v>6.0</v>
      </c>
      <c r="H152" s="8">
        <f t="shared" si="2"/>
        <v>1</v>
      </c>
      <c r="I152" s="8">
        <f t="shared" si="3"/>
        <v>1</v>
      </c>
    </row>
    <row r="153">
      <c r="A153" s="1">
        <v>151.0</v>
      </c>
      <c r="B153" s="1" t="s">
        <v>33</v>
      </c>
      <c r="C153" s="1" t="s">
        <v>222</v>
      </c>
      <c r="D153" s="1" t="s">
        <v>232</v>
      </c>
      <c r="E153" s="1">
        <v>6.0</v>
      </c>
      <c r="F153" s="7">
        <v>6.46204161643981E15</v>
      </c>
      <c r="G153" s="1">
        <v>6.0</v>
      </c>
      <c r="H153" s="8">
        <f t="shared" si="2"/>
        <v>0</v>
      </c>
      <c r="I153" s="8">
        <f t="shared" si="3"/>
        <v>0</v>
      </c>
    </row>
    <row r="154">
      <c r="A154" s="1">
        <v>152.0</v>
      </c>
      <c r="B154" s="1" t="s">
        <v>35</v>
      </c>
      <c r="C154" s="1" t="s">
        <v>222</v>
      </c>
      <c r="D154" s="1" t="s">
        <v>233</v>
      </c>
      <c r="E154" s="1">
        <v>6.0</v>
      </c>
      <c r="F154" s="7">
        <v>6.90987682342529E15</v>
      </c>
      <c r="G154" s="1">
        <v>7.0</v>
      </c>
      <c r="H154" s="8">
        <f t="shared" si="2"/>
        <v>1</v>
      </c>
      <c r="I154" s="8">
        <f t="shared" si="3"/>
        <v>-1</v>
      </c>
    </row>
    <row r="155">
      <c r="A155" s="1">
        <v>153.0</v>
      </c>
      <c r="B155" s="1" t="s">
        <v>37</v>
      </c>
      <c r="C155" s="1" t="s">
        <v>222</v>
      </c>
      <c r="D155" s="1" t="s">
        <v>234</v>
      </c>
      <c r="E155" s="1">
        <v>6.0</v>
      </c>
      <c r="F155" s="7">
        <v>6.47347021102905E15</v>
      </c>
      <c r="G155" s="1">
        <v>7.0</v>
      </c>
      <c r="H155" s="8">
        <f t="shared" si="2"/>
        <v>1</v>
      </c>
      <c r="I155" s="8">
        <f t="shared" si="3"/>
        <v>-1</v>
      </c>
    </row>
    <row r="156">
      <c r="A156" s="1">
        <v>154.0</v>
      </c>
      <c r="B156" s="1" t="s">
        <v>39</v>
      </c>
      <c r="C156" s="1" t="s">
        <v>222</v>
      </c>
      <c r="D156" s="1" t="s">
        <v>235</v>
      </c>
      <c r="E156" s="1">
        <v>8.0</v>
      </c>
      <c r="F156" s="7">
        <v>7.01599788665771E15</v>
      </c>
      <c r="G156" s="1">
        <v>8.0</v>
      </c>
      <c r="H156" s="8">
        <f t="shared" si="2"/>
        <v>0</v>
      </c>
      <c r="I156" s="8">
        <f t="shared" si="3"/>
        <v>0</v>
      </c>
    </row>
    <row r="157">
      <c r="A157" s="1">
        <v>155.0</v>
      </c>
      <c r="B157" s="1" t="s">
        <v>41</v>
      </c>
      <c r="C157" s="1" t="s">
        <v>222</v>
      </c>
      <c r="D157" s="1" t="s">
        <v>236</v>
      </c>
      <c r="E157" s="1">
        <v>5.0</v>
      </c>
      <c r="F157" s="7">
        <v>6.42988729476928E15</v>
      </c>
      <c r="G157" s="1">
        <v>6.0</v>
      </c>
      <c r="H157" s="8">
        <f t="shared" si="2"/>
        <v>1</v>
      </c>
      <c r="I157" s="8">
        <f t="shared" si="3"/>
        <v>-1</v>
      </c>
    </row>
    <row r="158">
      <c r="A158" s="1">
        <v>156.0</v>
      </c>
      <c r="B158" s="1" t="s">
        <v>43</v>
      </c>
      <c r="C158" s="1" t="s">
        <v>222</v>
      </c>
      <c r="D158" s="1" t="s">
        <v>237</v>
      </c>
      <c r="E158" s="1">
        <v>7.0</v>
      </c>
      <c r="F158" s="7">
        <v>6.43145012855529E15</v>
      </c>
      <c r="G158" s="1">
        <v>6.0</v>
      </c>
      <c r="H158" s="8">
        <f t="shared" si="2"/>
        <v>1</v>
      </c>
      <c r="I158" s="8">
        <f t="shared" si="3"/>
        <v>1</v>
      </c>
    </row>
    <row r="159">
      <c r="A159" s="1">
        <v>157.0</v>
      </c>
      <c r="B159" s="1" t="s">
        <v>45</v>
      </c>
      <c r="C159" s="1" t="s">
        <v>222</v>
      </c>
      <c r="D159" s="1" t="s">
        <v>238</v>
      </c>
      <c r="E159" s="1">
        <v>2.0</v>
      </c>
      <c r="F159" s="7">
        <v>7.0246832370758E15</v>
      </c>
      <c r="G159" s="1">
        <v>6.0</v>
      </c>
      <c r="H159" s="8">
        <f t="shared" si="2"/>
        <v>4</v>
      </c>
      <c r="I159" s="8">
        <f t="shared" si="3"/>
        <v>-4</v>
      </c>
    </row>
    <row r="160">
      <c r="A160" s="1">
        <v>158.0</v>
      </c>
      <c r="B160" s="1" t="s">
        <v>47</v>
      </c>
      <c r="C160" s="1" t="s">
        <v>222</v>
      </c>
      <c r="D160" s="1" t="s">
        <v>239</v>
      </c>
      <c r="E160" s="1">
        <v>7.0</v>
      </c>
      <c r="F160" s="7">
        <v>6.91563963890075E15</v>
      </c>
      <c r="G160" s="1">
        <v>7.0</v>
      </c>
      <c r="H160" s="8">
        <f t="shared" si="2"/>
        <v>0</v>
      </c>
      <c r="I160" s="8">
        <f t="shared" si="3"/>
        <v>0</v>
      </c>
    </row>
    <row r="161">
      <c r="A161" s="1">
        <v>159.0</v>
      </c>
      <c r="B161" s="1" t="s">
        <v>49</v>
      </c>
      <c r="C161" s="1" t="s">
        <v>222</v>
      </c>
      <c r="D161" s="1" t="s">
        <v>240</v>
      </c>
      <c r="E161" s="1">
        <v>9.0</v>
      </c>
      <c r="F161" s="7">
        <v>6.88933444023132E15</v>
      </c>
      <c r="G161" s="1">
        <v>8.0</v>
      </c>
      <c r="H161" s="8">
        <f t="shared" si="2"/>
        <v>1</v>
      </c>
      <c r="I161" s="8">
        <f t="shared" si="3"/>
        <v>1</v>
      </c>
    </row>
    <row r="162">
      <c r="A162" s="1">
        <v>160.0</v>
      </c>
      <c r="B162" s="1" t="s">
        <v>51</v>
      </c>
      <c r="C162" s="1" t="s">
        <v>222</v>
      </c>
      <c r="D162" s="1" t="s">
        <v>241</v>
      </c>
      <c r="E162" s="1">
        <v>7.0</v>
      </c>
      <c r="F162" s="7">
        <v>6.94845628738403E15</v>
      </c>
      <c r="G162" s="1">
        <v>7.0</v>
      </c>
      <c r="H162" s="8">
        <f t="shared" si="2"/>
        <v>0</v>
      </c>
      <c r="I162" s="8">
        <f t="shared" si="3"/>
        <v>0</v>
      </c>
    </row>
    <row r="163">
      <c r="A163" s="1">
        <v>161.0</v>
      </c>
      <c r="B163" s="1" t="s">
        <v>53</v>
      </c>
      <c r="C163" s="1" t="s">
        <v>222</v>
      </c>
      <c r="D163" s="1" t="s">
        <v>242</v>
      </c>
      <c r="E163" s="1">
        <v>0.0</v>
      </c>
      <c r="F163" s="7">
        <v>6.3357937335968E15</v>
      </c>
      <c r="G163" s="1">
        <v>2.0</v>
      </c>
      <c r="H163" s="8">
        <f t="shared" si="2"/>
        <v>2</v>
      </c>
      <c r="I163" s="8">
        <f t="shared" si="3"/>
        <v>-2</v>
      </c>
    </row>
    <row r="164">
      <c r="A164" s="1">
        <v>162.0</v>
      </c>
      <c r="B164" s="1" t="s">
        <v>55</v>
      </c>
      <c r="C164" s="1" t="s">
        <v>222</v>
      </c>
      <c r="D164" s="1" t="s">
        <v>243</v>
      </c>
      <c r="E164" s="1">
        <v>8.0</v>
      </c>
      <c r="F164" s="7">
        <v>7.40004587173461E15</v>
      </c>
      <c r="G164" s="1">
        <v>8.0</v>
      </c>
      <c r="H164" s="8">
        <f t="shared" si="2"/>
        <v>0</v>
      </c>
      <c r="I164" s="8">
        <f t="shared" si="3"/>
        <v>0</v>
      </c>
    </row>
    <row r="165">
      <c r="A165" s="1">
        <v>163.0</v>
      </c>
      <c r="B165" s="1" t="s">
        <v>57</v>
      </c>
      <c r="C165" s="1" t="s">
        <v>222</v>
      </c>
      <c r="D165" s="1" t="s">
        <v>244</v>
      </c>
      <c r="E165" s="1">
        <v>4.0</v>
      </c>
      <c r="F165" s="7">
        <v>6.32764315605163E15</v>
      </c>
      <c r="G165" s="1">
        <v>6.0</v>
      </c>
      <c r="H165" s="8">
        <f t="shared" si="2"/>
        <v>2</v>
      </c>
      <c r="I165" s="8">
        <f t="shared" si="3"/>
        <v>-2</v>
      </c>
    </row>
    <row r="166">
      <c r="A166" s="1">
        <v>164.0</v>
      </c>
      <c r="B166" s="1" t="s">
        <v>59</v>
      </c>
      <c r="C166" s="1" t="s">
        <v>222</v>
      </c>
      <c r="D166" s="1" t="s">
        <v>245</v>
      </c>
      <c r="E166" s="1">
        <v>7.0</v>
      </c>
      <c r="F166" s="7">
        <v>6.94182229042053E15</v>
      </c>
      <c r="G166" s="1">
        <v>7.0</v>
      </c>
      <c r="H166" s="8">
        <f t="shared" si="2"/>
        <v>0</v>
      </c>
      <c r="I166" s="8">
        <f t="shared" si="3"/>
        <v>0</v>
      </c>
    </row>
    <row r="167">
      <c r="A167" s="1">
        <v>165.0</v>
      </c>
      <c r="B167" s="1" t="s">
        <v>61</v>
      </c>
      <c r="C167" s="1" t="s">
        <v>222</v>
      </c>
      <c r="D167" s="1" t="s">
        <v>246</v>
      </c>
      <c r="E167" s="1">
        <v>1.0</v>
      </c>
      <c r="F167" s="7">
        <v>6.01596903800964E15</v>
      </c>
      <c r="G167" s="1">
        <v>2.0</v>
      </c>
      <c r="H167" s="8">
        <f t="shared" si="2"/>
        <v>1</v>
      </c>
      <c r="I167" s="8">
        <f t="shared" si="3"/>
        <v>-1</v>
      </c>
    </row>
    <row r="168">
      <c r="A168" s="1">
        <v>166.0</v>
      </c>
      <c r="B168" s="1" t="s">
        <v>63</v>
      </c>
      <c r="C168" s="1" t="s">
        <v>222</v>
      </c>
      <c r="D168" s="1" t="s">
        <v>247</v>
      </c>
      <c r="E168" s="1">
        <v>0.0</v>
      </c>
      <c r="F168" s="7">
        <v>5.91857099533081E16</v>
      </c>
      <c r="G168" s="1">
        <v>0.0</v>
      </c>
      <c r="H168" s="8">
        <f t="shared" si="2"/>
        <v>0</v>
      </c>
      <c r="I168" s="8">
        <f t="shared" si="3"/>
        <v>0</v>
      </c>
    </row>
    <row r="169">
      <c r="A169" s="1">
        <v>167.0</v>
      </c>
      <c r="B169" s="1" t="s">
        <v>65</v>
      </c>
      <c r="C169" s="1" t="s">
        <v>222</v>
      </c>
      <c r="D169" s="1" t="s">
        <v>248</v>
      </c>
      <c r="E169" s="1">
        <v>7.0</v>
      </c>
      <c r="F169" s="7">
        <v>6.39998579025268E16</v>
      </c>
      <c r="G169" s="1">
        <v>6.0</v>
      </c>
      <c r="H169" s="8">
        <f t="shared" si="2"/>
        <v>1</v>
      </c>
      <c r="I169" s="8">
        <f t="shared" si="3"/>
        <v>1</v>
      </c>
    </row>
    <row r="170">
      <c r="A170" s="1">
        <v>168.0</v>
      </c>
      <c r="B170" s="1" t="s">
        <v>67</v>
      </c>
      <c r="C170" s="1" t="s">
        <v>222</v>
      </c>
      <c r="D170" s="1" t="s">
        <v>249</v>
      </c>
      <c r="E170" s="1">
        <v>7.0</v>
      </c>
      <c r="F170" s="7">
        <v>6.34228992462158E15</v>
      </c>
      <c r="G170" s="1">
        <v>6.0</v>
      </c>
      <c r="H170" s="8">
        <f t="shared" si="2"/>
        <v>1</v>
      </c>
      <c r="I170" s="8">
        <f t="shared" si="3"/>
        <v>1</v>
      </c>
    </row>
    <row r="171">
      <c r="A171" s="1">
        <v>169.0</v>
      </c>
      <c r="B171" s="1" t="s">
        <v>69</v>
      </c>
      <c r="C171" s="1" t="s">
        <v>222</v>
      </c>
      <c r="D171" s="1" t="s">
        <v>250</v>
      </c>
      <c r="E171" s="1">
        <v>4.0</v>
      </c>
      <c r="F171" s="7">
        <v>6.4222342967987E15</v>
      </c>
      <c r="G171" s="1">
        <v>6.0</v>
      </c>
      <c r="H171" s="8">
        <f t="shared" si="2"/>
        <v>2</v>
      </c>
      <c r="I171" s="8">
        <f t="shared" si="3"/>
        <v>-2</v>
      </c>
    </row>
    <row r="172">
      <c r="A172" s="1">
        <v>170.0</v>
      </c>
      <c r="B172" s="1" t="s">
        <v>71</v>
      </c>
      <c r="C172" s="1" t="s">
        <v>222</v>
      </c>
      <c r="D172" s="1" t="s">
        <v>251</v>
      </c>
      <c r="E172" s="1">
        <v>4.0</v>
      </c>
      <c r="F172" s="7">
        <v>6.42652034759521E15</v>
      </c>
      <c r="G172" s="1">
        <v>6.0</v>
      </c>
      <c r="H172" s="8">
        <f t="shared" si="2"/>
        <v>2</v>
      </c>
      <c r="I172" s="8">
        <f t="shared" si="3"/>
        <v>-2</v>
      </c>
    </row>
    <row r="173">
      <c r="A173" s="1">
        <v>171.0</v>
      </c>
      <c r="B173" s="1" t="s">
        <v>73</v>
      </c>
      <c r="C173" s="1" t="s">
        <v>222</v>
      </c>
      <c r="D173" s="1" t="s">
        <v>252</v>
      </c>
      <c r="E173" s="1">
        <v>3.0</v>
      </c>
      <c r="F173" s="7">
        <v>6.36353063583374E14</v>
      </c>
      <c r="G173" s="1">
        <v>4.0</v>
      </c>
      <c r="H173" s="8">
        <f t="shared" si="2"/>
        <v>1</v>
      </c>
      <c r="I173" s="8">
        <f t="shared" si="3"/>
        <v>-1</v>
      </c>
    </row>
    <row r="174">
      <c r="A174" s="1">
        <v>172.0</v>
      </c>
      <c r="B174" s="1" t="s">
        <v>75</v>
      </c>
      <c r="C174" s="1" t="s">
        <v>222</v>
      </c>
      <c r="D174" s="1" t="s">
        <v>253</v>
      </c>
      <c r="E174" s="1">
        <v>9.0</v>
      </c>
      <c r="F174" s="7">
        <v>6.97842860221862E15</v>
      </c>
      <c r="G174" s="1">
        <v>8.0</v>
      </c>
      <c r="H174" s="8">
        <f t="shared" si="2"/>
        <v>1</v>
      </c>
      <c r="I174" s="8">
        <f t="shared" si="3"/>
        <v>1</v>
      </c>
    </row>
    <row r="175">
      <c r="A175" s="1">
        <v>173.0</v>
      </c>
      <c r="B175" s="1" t="s">
        <v>77</v>
      </c>
      <c r="C175" s="1" t="s">
        <v>222</v>
      </c>
      <c r="D175" s="1" t="s">
        <v>254</v>
      </c>
      <c r="E175" s="1">
        <v>8.0</v>
      </c>
      <c r="F175" s="7">
        <v>6.42941355705261E15</v>
      </c>
      <c r="G175" s="1">
        <v>6.0</v>
      </c>
      <c r="H175" s="8">
        <f t="shared" si="2"/>
        <v>2</v>
      </c>
      <c r="I175" s="8">
        <f t="shared" si="3"/>
        <v>2</v>
      </c>
    </row>
    <row r="176">
      <c r="A176" s="1">
        <v>174.0</v>
      </c>
      <c r="B176" s="1" t="s">
        <v>79</v>
      </c>
      <c r="C176" s="1" t="s">
        <v>222</v>
      </c>
      <c r="D176" s="1" t="s">
        <v>255</v>
      </c>
      <c r="E176" s="1">
        <v>8.0</v>
      </c>
      <c r="F176" s="7">
        <v>6.93726468086242E15</v>
      </c>
      <c r="G176" s="1">
        <v>8.0</v>
      </c>
      <c r="H176" s="8">
        <f t="shared" si="2"/>
        <v>0</v>
      </c>
      <c r="I176" s="8">
        <f t="shared" si="3"/>
        <v>0</v>
      </c>
    </row>
    <row r="177">
      <c r="A177" s="1">
        <v>175.0</v>
      </c>
      <c r="B177" s="1" t="s">
        <v>81</v>
      </c>
      <c r="C177" s="1" t="s">
        <v>222</v>
      </c>
      <c r="D177" s="1" t="s">
        <v>256</v>
      </c>
      <c r="E177" s="1">
        <v>9.0</v>
      </c>
      <c r="F177" s="7">
        <v>7.02820992469787E15</v>
      </c>
      <c r="G177" s="1">
        <v>8.0</v>
      </c>
      <c r="H177" s="8">
        <f t="shared" si="2"/>
        <v>1</v>
      </c>
      <c r="I177" s="8">
        <f t="shared" si="3"/>
        <v>1</v>
      </c>
    </row>
    <row r="178">
      <c r="A178" s="1">
        <v>176.0</v>
      </c>
      <c r="B178" s="1" t="s">
        <v>83</v>
      </c>
      <c r="C178" s="1" t="s">
        <v>222</v>
      </c>
      <c r="D178" s="1" t="s">
        <v>257</v>
      </c>
      <c r="E178" s="1">
        <v>7.0</v>
      </c>
      <c r="F178" s="7">
        <v>6.90559244155883E15</v>
      </c>
      <c r="G178" s="1">
        <v>6.0</v>
      </c>
      <c r="H178" s="8">
        <f t="shared" si="2"/>
        <v>1</v>
      </c>
      <c r="I178" s="8">
        <f t="shared" si="3"/>
        <v>1</v>
      </c>
    </row>
    <row r="179">
      <c r="A179" s="1">
        <v>177.0</v>
      </c>
      <c r="B179" s="1" t="s">
        <v>85</v>
      </c>
      <c r="C179" s="1" t="s">
        <v>222</v>
      </c>
      <c r="D179" s="1" t="s">
        <v>258</v>
      </c>
      <c r="E179" s="1">
        <v>6.0</v>
      </c>
      <c r="F179" s="7">
        <v>6.37696433067321E15</v>
      </c>
      <c r="G179" s="1">
        <v>4.0</v>
      </c>
      <c r="H179" s="8">
        <f t="shared" si="2"/>
        <v>2</v>
      </c>
      <c r="I179" s="8">
        <f t="shared" si="3"/>
        <v>2</v>
      </c>
    </row>
    <row r="180">
      <c r="A180" s="1">
        <v>178.0</v>
      </c>
      <c r="B180" s="1" t="s">
        <v>87</v>
      </c>
      <c r="C180" s="1" t="s">
        <v>222</v>
      </c>
      <c r="D180" s="1" t="s">
        <v>259</v>
      </c>
      <c r="E180" s="1">
        <v>6.0</v>
      </c>
      <c r="F180" s="7">
        <v>6.35935044288635E16</v>
      </c>
      <c r="G180" s="1">
        <v>6.0</v>
      </c>
      <c r="H180" s="8">
        <f t="shared" si="2"/>
        <v>0</v>
      </c>
      <c r="I180" s="8">
        <f t="shared" si="3"/>
        <v>0</v>
      </c>
    </row>
    <row r="181">
      <c r="A181" s="1">
        <v>179.0</v>
      </c>
      <c r="B181" s="1" t="s">
        <v>89</v>
      </c>
      <c r="C181" s="1" t="s">
        <v>222</v>
      </c>
      <c r="D181" s="1" t="s">
        <v>260</v>
      </c>
      <c r="E181" s="1">
        <v>8.0</v>
      </c>
      <c r="F181" s="7">
        <v>6.93762683868408E15</v>
      </c>
      <c r="G181" s="1">
        <v>6.0</v>
      </c>
      <c r="H181" s="8">
        <f t="shared" si="2"/>
        <v>2</v>
      </c>
      <c r="I181" s="8">
        <f t="shared" si="3"/>
        <v>2</v>
      </c>
    </row>
    <row r="182">
      <c r="A182" s="1">
        <v>180.0</v>
      </c>
      <c r="B182" s="1" t="s">
        <v>91</v>
      </c>
      <c r="C182" s="1" t="s">
        <v>222</v>
      </c>
      <c r="D182" s="1" t="s">
        <v>261</v>
      </c>
      <c r="E182" s="1">
        <v>8.0</v>
      </c>
      <c r="F182" s="7">
        <v>6.44647979736328E15</v>
      </c>
      <c r="G182" s="1">
        <v>7.0</v>
      </c>
      <c r="H182" s="8">
        <f t="shared" si="2"/>
        <v>1</v>
      </c>
      <c r="I182" s="8">
        <f t="shared" si="3"/>
        <v>1</v>
      </c>
    </row>
    <row r="183">
      <c r="A183" s="1">
        <v>181.0</v>
      </c>
      <c r="B183" s="1" t="s">
        <v>93</v>
      </c>
      <c r="C183" s="1" t="s">
        <v>222</v>
      </c>
      <c r="D183" s="1" t="s">
        <v>262</v>
      </c>
      <c r="E183" s="1">
        <v>1.0</v>
      </c>
      <c r="F183" s="7">
        <v>6.29161190986633E15</v>
      </c>
      <c r="G183" s="1">
        <v>4.0</v>
      </c>
      <c r="H183" s="8">
        <f t="shared" si="2"/>
        <v>3</v>
      </c>
      <c r="I183" s="8">
        <f t="shared" si="3"/>
        <v>-3</v>
      </c>
    </row>
    <row r="184">
      <c r="A184" s="1">
        <v>182.0</v>
      </c>
      <c r="B184" s="1" t="s">
        <v>95</v>
      </c>
      <c r="C184" s="1" t="s">
        <v>222</v>
      </c>
      <c r="D184" s="1" t="s">
        <v>263</v>
      </c>
      <c r="E184" s="1">
        <v>8.0</v>
      </c>
      <c r="F184" s="7">
        <v>7.4075493812561E15</v>
      </c>
      <c r="G184" s="1">
        <v>8.0</v>
      </c>
      <c r="H184" s="8">
        <f t="shared" si="2"/>
        <v>0</v>
      </c>
      <c r="I184" s="8">
        <f t="shared" si="3"/>
        <v>0</v>
      </c>
    </row>
    <row r="185">
      <c r="A185" s="1">
        <v>183.0</v>
      </c>
      <c r="B185" s="1" t="s">
        <v>97</v>
      </c>
      <c r="C185" s="1" t="s">
        <v>222</v>
      </c>
      <c r="D185" s="1" t="s">
        <v>264</v>
      </c>
      <c r="E185" s="1">
        <v>7.0</v>
      </c>
      <c r="F185" s="7">
        <v>6.99390888214111E15</v>
      </c>
      <c r="G185" s="1">
        <v>6.0</v>
      </c>
      <c r="H185" s="8">
        <f t="shared" si="2"/>
        <v>1</v>
      </c>
      <c r="I185" s="8">
        <f t="shared" si="3"/>
        <v>1</v>
      </c>
    </row>
    <row r="186">
      <c r="A186" s="1">
        <v>184.0</v>
      </c>
      <c r="B186" s="1" t="s">
        <v>99</v>
      </c>
      <c r="C186" s="1" t="s">
        <v>222</v>
      </c>
      <c r="D186" s="1" t="s">
        <v>265</v>
      </c>
      <c r="E186" s="1">
        <v>6.0</v>
      </c>
      <c r="F186" s="7">
        <v>6.58465075492858E15</v>
      </c>
      <c r="G186" s="1">
        <v>7.0</v>
      </c>
      <c r="H186" s="8">
        <f t="shared" si="2"/>
        <v>1</v>
      </c>
      <c r="I186" s="8">
        <f t="shared" si="3"/>
        <v>-1</v>
      </c>
    </row>
    <row r="187">
      <c r="A187" s="1">
        <v>185.0</v>
      </c>
      <c r="B187" s="1" t="s">
        <v>101</v>
      </c>
      <c r="C187" s="1" t="s">
        <v>222</v>
      </c>
      <c r="D187" s="1" t="s">
        <v>266</v>
      </c>
      <c r="E187" s="1">
        <v>9.0</v>
      </c>
      <c r="F187" s="7">
        <v>7.49918150901794E15</v>
      </c>
      <c r="G187" s="1">
        <v>6.0</v>
      </c>
      <c r="H187" s="8">
        <f t="shared" si="2"/>
        <v>3</v>
      </c>
      <c r="I187" s="8">
        <f t="shared" si="3"/>
        <v>3</v>
      </c>
    </row>
    <row r="188">
      <c r="A188" s="1">
        <v>186.0</v>
      </c>
      <c r="B188" s="1" t="s">
        <v>103</v>
      </c>
      <c r="C188" s="1" t="s">
        <v>222</v>
      </c>
      <c r="D188" s="1" t="s">
        <v>267</v>
      </c>
      <c r="E188" s="1">
        <v>3.0</v>
      </c>
      <c r="F188" s="7">
        <v>6.46573376655578E15</v>
      </c>
      <c r="G188" s="1">
        <v>4.0</v>
      </c>
      <c r="H188" s="8">
        <f t="shared" si="2"/>
        <v>1</v>
      </c>
      <c r="I188" s="8">
        <f t="shared" si="3"/>
        <v>-1</v>
      </c>
    </row>
    <row r="189">
      <c r="A189" s="1">
        <v>187.0</v>
      </c>
      <c r="B189" s="1" t="s">
        <v>105</v>
      </c>
      <c r="C189" s="1" t="s">
        <v>222</v>
      </c>
      <c r="D189" s="1" t="s">
        <v>268</v>
      </c>
      <c r="E189" s="1">
        <v>8.0</v>
      </c>
      <c r="F189" s="7">
        <v>7.00963616371154E15</v>
      </c>
      <c r="G189" s="1">
        <v>7.0</v>
      </c>
      <c r="H189" s="8">
        <f t="shared" si="2"/>
        <v>1</v>
      </c>
      <c r="I189" s="8">
        <f t="shared" si="3"/>
        <v>1</v>
      </c>
    </row>
    <row r="190">
      <c r="A190" s="1">
        <v>188.0</v>
      </c>
      <c r="B190" s="1" t="s">
        <v>107</v>
      </c>
      <c r="C190" s="1" t="s">
        <v>222</v>
      </c>
      <c r="D190" s="1" t="s">
        <v>269</v>
      </c>
      <c r="E190" s="1">
        <v>3.0</v>
      </c>
      <c r="F190" s="7">
        <v>6.46391081809997E15</v>
      </c>
      <c r="G190" s="1">
        <v>6.0</v>
      </c>
      <c r="H190" s="8">
        <f t="shared" si="2"/>
        <v>3</v>
      </c>
      <c r="I190" s="8">
        <f t="shared" si="3"/>
        <v>-3</v>
      </c>
    </row>
    <row r="191">
      <c r="A191" s="1">
        <v>189.0</v>
      </c>
      <c r="B191" s="1" t="s">
        <v>109</v>
      </c>
      <c r="C191" s="1" t="s">
        <v>222</v>
      </c>
      <c r="D191" s="1" t="s">
        <v>270</v>
      </c>
      <c r="E191" s="1">
        <v>2.0</v>
      </c>
      <c r="F191" s="7">
        <v>6.41953778266906E15</v>
      </c>
      <c r="G191" s="1">
        <v>4.0</v>
      </c>
      <c r="H191" s="8">
        <f t="shared" si="2"/>
        <v>2</v>
      </c>
      <c r="I191" s="8">
        <f t="shared" si="3"/>
        <v>-2</v>
      </c>
    </row>
    <row r="192">
      <c r="A192" s="1">
        <v>190.0</v>
      </c>
      <c r="B192" s="1" t="s">
        <v>111</v>
      </c>
      <c r="C192" s="1" t="s">
        <v>222</v>
      </c>
      <c r="D192" s="1" t="s">
        <v>271</v>
      </c>
      <c r="E192" s="1">
        <v>2.0</v>
      </c>
      <c r="F192" s="7">
        <v>6.43973469734191E15</v>
      </c>
      <c r="G192" s="1">
        <v>4.0</v>
      </c>
      <c r="H192" s="8">
        <f t="shared" si="2"/>
        <v>2</v>
      </c>
      <c r="I192" s="8">
        <f t="shared" si="3"/>
        <v>-2</v>
      </c>
    </row>
    <row r="193">
      <c r="A193" s="1">
        <v>191.0</v>
      </c>
      <c r="B193" s="1" t="s">
        <v>113</v>
      </c>
      <c r="C193" s="1" t="s">
        <v>222</v>
      </c>
      <c r="D193" s="1" t="s">
        <v>272</v>
      </c>
      <c r="E193" s="1">
        <v>8.0</v>
      </c>
      <c r="F193" s="7">
        <v>6.43480443954467E15</v>
      </c>
      <c r="G193" s="1">
        <v>6.0</v>
      </c>
      <c r="H193" s="8">
        <f t="shared" si="2"/>
        <v>2</v>
      </c>
      <c r="I193" s="8">
        <f t="shared" si="3"/>
        <v>2</v>
      </c>
    </row>
    <row r="194">
      <c r="A194" s="1">
        <v>192.0</v>
      </c>
      <c r="B194" s="1" t="s">
        <v>115</v>
      </c>
      <c r="C194" s="1" t="s">
        <v>222</v>
      </c>
      <c r="D194" s="1" t="s">
        <v>273</v>
      </c>
      <c r="E194" s="1">
        <v>8.0</v>
      </c>
      <c r="F194" s="7">
        <v>6.47793889045715E15</v>
      </c>
      <c r="G194" s="1">
        <v>7.0</v>
      </c>
      <c r="H194" s="8">
        <f t="shared" si="2"/>
        <v>1</v>
      </c>
      <c r="I194" s="8">
        <f t="shared" si="3"/>
        <v>1</v>
      </c>
    </row>
    <row r="195">
      <c r="A195" s="1">
        <v>193.0</v>
      </c>
      <c r="B195" s="1" t="s">
        <v>117</v>
      </c>
      <c r="C195" s="1" t="s">
        <v>222</v>
      </c>
      <c r="D195" s="1" t="s">
        <v>274</v>
      </c>
      <c r="E195" s="1">
        <v>4.0</v>
      </c>
      <c r="F195" s="7">
        <v>6.57022380828857E15</v>
      </c>
      <c r="G195" s="1">
        <v>6.0</v>
      </c>
      <c r="H195" s="8">
        <f t="shared" si="2"/>
        <v>2</v>
      </c>
      <c r="I195" s="8">
        <f t="shared" si="3"/>
        <v>-2</v>
      </c>
    </row>
    <row r="196">
      <c r="A196" s="1">
        <v>194.0</v>
      </c>
      <c r="B196" s="1" t="s">
        <v>119</v>
      </c>
      <c r="C196" s="1" t="s">
        <v>222</v>
      </c>
      <c r="D196" s="1" t="s">
        <v>275</v>
      </c>
      <c r="E196" s="1">
        <v>7.0</v>
      </c>
      <c r="F196" s="7">
        <v>6.53488755226135E16</v>
      </c>
      <c r="G196" s="1">
        <v>7.0</v>
      </c>
      <c r="H196" s="8">
        <f t="shared" si="2"/>
        <v>0</v>
      </c>
      <c r="I196" s="8">
        <f t="shared" si="3"/>
        <v>0</v>
      </c>
    </row>
    <row r="197">
      <c r="A197" s="1">
        <v>195.0</v>
      </c>
      <c r="B197" s="1" t="s">
        <v>121</v>
      </c>
      <c r="C197" s="1" t="s">
        <v>222</v>
      </c>
      <c r="D197" s="1" t="s">
        <v>276</v>
      </c>
      <c r="E197" s="1">
        <v>5.0</v>
      </c>
      <c r="F197" s="7">
        <v>6.9240825176239E15</v>
      </c>
      <c r="G197" s="1">
        <v>4.0</v>
      </c>
      <c r="H197" s="8">
        <f t="shared" si="2"/>
        <v>1</v>
      </c>
      <c r="I197" s="8">
        <f t="shared" si="3"/>
        <v>1</v>
      </c>
    </row>
    <row r="198">
      <c r="A198" s="1">
        <v>196.0</v>
      </c>
      <c r="B198" s="1" t="s">
        <v>123</v>
      </c>
      <c r="C198" s="1" t="s">
        <v>222</v>
      </c>
      <c r="D198" s="1" t="s">
        <v>277</v>
      </c>
      <c r="E198" s="1">
        <v>5.0</v>
      </c>
      <c r="F198" s="7">
        <v>6.54481029510498E16</v>
      </c>
      <c r="G198" s="1">
        <v>6.0</v>
      </c>
      <c r="H198" s="8">
        <f t="shared" si="2"/>
        <v>1</v>
      </c>
      <c r="I198" s="8">
        <f t="shared" si="3"/>
        <v>-1</v>
      </c>
    </row>
    <row r="199">
      <c r="A199" s="1">
        <v>197.0</v>
      </c>
      <c r="B199" s="1" t="s">
        <v>125</v>
      </c>
      <c r="C199" s="1" t="s">
        <v>222</v>
      </c>
      <c r="D199" s="1" t="s">
        <v>278</v>
      </c>
      <c r="E199" s="1">
        <v>9.0</v>
      </c>
      <c r="F199" s="7">
        <v>6.98692727088928E15</v>
      </c>
      <c r="G199" s="1">
        <v>7.0</v>
      </c>
      <c r="H199" s="8">
        <f t="shared" si="2"/>
        <v>2</v>
      </c>
      <c r="I199" s="8">
        <f t="shared" si="3"/>
        <v>2</v>
      </c>
    </row>
    <row r="200">
      <c r="A200" s="1">
        <v>198.0</v>
      </c>
      <c r="B200" s="1" t="s">
        <v>127</v>
      </c>
      <c r="C200" s="1" t="s">
        <v>222</v>
      </c>
      <c r="D200" s="1" t="s">
        <v>279</v>
      </c>
      <c r="E200" s="1">
        <v>4.0</v>
      </c>
      <c r="F200" s="7">
        <v>6.4705696105957E15</v>
      </c>
      <c r="G200" s="1">
        <v>6.0</v>
      </c>
      <c r="H200" s="8">
        <f t="shared" si="2"/>
        <v>2</v>
      </c>
      <c r="I200" s="8">
        <f t="shared" si="3"/>
        <v>-2</v>
      </c>
    </row>
    <row r="201">
      <c r="A201" s="1">
        <v>199.0</v>
      </c>
      <c r="B201" s="1" t="s">
        <v>129</v>
      </c>
      <c r="C201" s="1" t="s">
        <v>222</v>
      </c>
      <c r="D201" s="1" t="s">
        <v>280</v>
      </c>
      <c r="E201" s="1">
        <v>0.0</v>
      </c>
      <c r="F201" s="7">
        <v>5.92352604866027E15</v>
      </c>
      <c r="G201" s="1">
        <v>0.0</v>
      </c>
      <c r="H201" s="8">
        <f t="shared" si="2"/>
        <v>0</v>
      </c>
      <c r="I201" s="8">
        <f t="shared" si="3"/>
        <v>0</v>
      </c>
    </row>
    <row r="202">
      <c r="A202" s="1">
        <v>200.0</v>
      </c>
      <c r="B202" s="1" t="s">
        <v>131</v>
      </c>
      <c r="C202" s="1" t="s">
        <v>222</v>
      </c>
      <c r="D202" s="1" t="s">
        <v>281</v>
      </c>
      <c r="E202" s="1">
        <v>2.0</v>
      </c>
      <c r="F202" s="7">
        <v>6.4913101196289E15</v>
      </c>
      <c r="G202" s="1">
        <v>6.0</v>
      </c>
      <c r="H202" s="8">
        <f t="shared" si="2"/>
        <v>4</v>
      </c>
      <c r="I202" s="8">
        <f t="shared" si="3"/>
        <v>-4</v>
      </c>
    </row>
    <row r="203">
      <c r="A203" s="1">
        <v>201.0</v>
      </c>
      <c r="B203" s="1" t="s">
        <v>133</v>
      </c>
      <c r="C203" s="1" t="s">
        <v>222</v>
      </c>
      <c r="D203" s="1" t="s">
        <v>282</v>
      </c>
      <c r="E203" s="1">
        <v>3.0</v>
      </c>
      <c r="F203" s="7">
        <v>6.38099098205566E15</v>
      </c>
      <c r="G203" s="1">
        <v>6.0</v>
      </c>
      <c r="H203" s="8">
        <f t="shared" si="2"/>
        <v>3</v>
      </c>
      <c r="I203" s="8">
        <f t="shared" si="3"/>
        <v>-3</v>
      </c>
    </row>
    <row r="204">
      <c r="A204" s="1">
        <v>202.0</v>
      </c>
      <c r="B204" s="1" t="s">
        <v>135</v>
      </c>
      <c r="C204" s="1" t="s">
        <v>222</v>
      </c>
      <c r="D204" s="1" t="s">
        <v>283</v>
      </c>
      <c r="E204" s="1">
        <v>1.0</v>
      </c>
      <c r="F204" s="7">
        <v>6.45022058486938E15</v>
      </c>
      <c r="G204" s="1">
        <v>4.0</v>
      </c>
      <c r="H204" s="8">
        <f t="shared" si="2"/>
        <v>3</v>
      </c>
      <c r="I204" s="8">
        <f t="shared" si="3"/>
        <v>-3</v>
      </c>
    </row>
    <row r="205">
      <c r="A205" s="1">
        <v>203.0</v>
      </c>
      <c r="B205" s="1" t="s">
        <v>137</v>
      </c>
      <c r="C205" s="1" t="s">
        <v>222</v>
      </c>
      <c r="D205" s="1" t="s">
        <v>284</v>
      </c>
      <c r="E205" s="1">
        <v>9.0</v>
      </c>
      <c r="F205" s="7">
        <v>7.50009775161743E15</v>
      </c>
      <c r="G205" s="1">
        <v>8.0</v>
      </c>
      <c r="H205" s="8">
        <f t="shared" si="2"/>
        <v>1</v>
      </c>
      <c r="I205" s="8">
        <f t="shared" si="3"/>
        <v>1</v>
      </c>
    </row>
    <row r="206">
      <c r="A206" s="1">
        <v>204.0</v>
      </c>
      <c r="B206" s="1" t="s">
        <v>139</v>
      </c>
      <c r="C206" s="1" t="s">
        <v>222</v>
      </c>
      <c r="D206" s="1" t="s">
        <v>285</v>
      </c>
      <c r="E206" s="1">
        <v>3.0</v>
      </c>
      <c r="F206" s="7">
        <v>6.96856713294982E15</v>
      </c>
      <c r="G206" s="1">
        <v>6.0</v>
      </c>
      <c r="H206" s="8">
        <f t="shared" si="2"/>
        <v>3</v>
      </c>
      <c r="I206" s="8">
        <f t="shared" si="3"/>
        <v>-3</v>
      </c>
    </row>
    <row r="207">
      <c r="A207" s="1">
        <v>205.0</v>
      </c>
      <c r="B207" s="1" t="s">
        <v>141</v>
      </c>
      <c r="C207" s="1" t="s">
        <v>222</v>
      </c>
      <c r="D207" s="1" t="s">
        <v>286</v>
      </c>
      <c r="E207" s="1">
        <v>2.0</v>
      </c>
      <c r="F207" s="7">
        <v>6.38256645202636E15</v>
      </c>
      <c r="G207" s="1">
        <v>6.0</v>
      </c>
      <c r="H207" s="8">
        <f t="shared" si="2"/>
        <v>4</v>
      </c>
      <c r="I207" s="8">
        <f t="shared" si="3"/>
        <v>-4</v>
      </c>
    </row>
    <row r="208">
      <c r="A208" s="1">
        <v>206.0</v>
      </c>
      <c r="B208" s="1" t="s">
        <v>143</v>
      </c>
      <c r="C208" s="1" t="s">
        <v>222</v>
      </c>
      <c r="D208" s="1" t="s">
        <v>287</v>
      </c>
      <c r="E208" s="1">
        <v>0.0</v>
      </c>
      <c r="F208" s="7">
        <v>5.96242547035217E15</v>
      </c>
      <c r="G208" s="1">
        <v>2.0</v>
      </c>
      <c r="H208" s="8">
        <f t="shared" si="2"/>
        <v>2</v>
      </c>
      <c r="I208" s="8">
        <f t="shared" si="3"/>
        <v>-2</v>
      </c>
    </row>
    <row r="209">
      <c r="A209" s="1">
        <v>207.0</v>
      </c>
      <c r="B209" s="1" t="s">
        <v>145</v>
      </c>
      <c r="C209" s="1" t="s">
        <v>222</v>
      </c>
      <c r="D209" s="1" t="s">
        <v>288</v>
      </c>
      <c r="E209" s="1">
        <v>0.0</v>
      </c>
      <c r="F209" s="7">
        <v>5.93145203590393E15</v>
      </c>
      <c r="G209" s="1">
        <v>0.0</v>
      </c>
      <c r="H209" s="8">
        <f t="shared" si="2"/>
        <v>0</v>
      </c>
      <c r="I209" s="8">
        <f t="shared" si="3"/>
        <v>0</v>
      </c>
    </row>
    <row r="210">
      <c r="A210" s="1">
        <v>208.0</v>
      </c>
      <c r="B210" s="1" t="s">
        <v>147</v>
      </c>
      <c r="C210" s="1" t="s">
        <v>222</v>
      </c>
      <c r="D210" s="1" t="s">
        <v>289</v>
      </c>
      <c r="E210" s="1">
        <v>4.0</v>
      </c>
      <c r="F210" s="7">
        <v>6.36955738067626E16</v>
      </c>
      <c r="G210" s="1">
        <v>6.0</v>
      </c>
      <c r="H210" s="8">
        <f t="shared" si="2"/>
        <v>2</v>
      </c>
      <c r="I210" s="8">
        <f t="shared" si="3"/>
        <v>-2</v>
      </c>
    </row>
    <row r="211">
      <c r="A211" s="1">
        <v>209.0</v>
      </c>
      <c r="B211" s="1" t="s">
        <v>149</v>
      </c>
      <c r="C211" s="1" t="s">
        <v>222</v>
      </c>
      <c r="D211" s="1" t="s">
        <v>290</v>
      </c>
      <c r="E211" s="1">
        <v>6.0</v>
      </c>
      <c r="F211" s="7">
        <v>6.4052939414978E15</v>
      </c>
      <c r="G211" s="1">
        <v>6.0</v>
      </c>
      <c r="H211" s="8">
        <f t="shared" si="2"/>
        <v>0</v>
      </c>
      <c r="I211" s="8">
        <f t="shared" si="3"/>
        <v>0</v>
      </c>
    </row>
    <row r="212">
      <c r="A212" s="1">
        <v>210.0</v>
      </c>
      <c r="B212" s="1" t="s">
        <v>151</v>
      </c>
      <c r="C212" s="1" t="s">
        <v>222</v>
      </c>
      <c r="D212" s="1" t="s">
        <v>291</v>
      </c>
      <c r="E212" s="1">
        <v>8.0</v>
      </c>
      <c r="F212" s="7">
        <v>7.03909015655517E15</v>
      </c>
      <c r="G212" s="1">
        <v>8.0</v>
      </c>
      <c r="H212" s="8">
        <f t="shared" si="2"/>
        <v>0</v>
      </c>
      <c r="I212" s="8">
        <f t="shared" si="3"/>
        <v>0</v>
      </c>
    </row>
    <row r="213">
      <c r="A213" s="1">
        <v>211.0</v>
      </c>
      <c r="B213" s="1" t="s">
        <v>153</v>
      </c>
      <c r="C213" s="1" t="s">
        <v>222</v>
      </c>
      <c r="D213" s="1" t="s">
        <v>292</v>
      </c>
      <c r="E213" s="1">
        <v>5.0</v>
      </c>
      <c r="F213" s="7">
        <v>6.44995355606079E15</v>
      </c>
      <c r="G213" s="1">
        <v>6.0</v>
      </c>
      <c r="H213" s="8">
        <f t="shared" si="2"/>
        <v>1</v>
      </c>
      <c r="I213" s="8">
        <f t="shared" si="3"/>
        <v>-1</v>
      </c>
    </row>
    <row r="214">
      <c r="A214" s="1">
        <v>212.0</v>
      </c>
      <c r="B214" s="1" t="s">
        <v>155</v>
      </c>
      <c r="C214" s="1" t="s">
        <v>222</v>
      </c>
      <c r="D214" s="1" t="s">
        <v>293</v>
      </c>
      <c r="E214" s="1">
        <v>0.0</v>
      </c>
      <c r="F214" s="7">
        <v>5.92459344863891E15</v>
      </c>
      <c r="G214" s="1">
        <v>0.0</v>
      </c>
      <c r="H214" s="8">
        <f t="shared" si="2"/>
        <v>0</v>
      </c>
      <c r="I214" s="8">
        <f t="shared" si="3"/>
        <v>0</v>
      </c>
    </row>
    <row r="215">
      <c r="A215" s="1">
        <v>213.0</v>
      </c>
      <c r="B215" s="1" t="s">
        <v>14</v>
      </c>
      <c r="C215" s="1" t="s">
        <v>222</v>
      </c>
      <c r="D215" s="1" t="s">
        <v>294</v>
      </c>
      <c r="E215" s="1">
        <v>4.0</v>
      </c>
      <c r="F215" s="7">
        <v>6.5331847667694E15</v>
      </c>
      <c r="G215" s="1">
        <v>6.0</v>
      </c>
      <c r="H215" s="8">
        <f t="shared" si="2"/>
        <v>2</v>
      </c>
      <c r="I215" s="8">
        <f t="shared" si="3"/>
        <v>-2</v>
      </c>
    </row>
    <row r="216">
      <c r="A216" s="1">
        <v>214.0</v>
      </c>
      <c r="B216" s="1" t="s">
        <v>17</v>
      </c>
      <c r="C216" s="1" t="s">
        <v>222</v>
      </c>
      <c r="D216" s="1" t="s">
        <v>295</v>
      </c>
      <c r="E216" s="1">
        <v>2.0</v>
      </c>
      <c r="F216" s="7">
        <v>6.46527433395385E15</v>
      </c>
      <c r="G216" s="1">
        <v>4.0</v>
      </c>
      <c r="H216" s="8">
        <f t="shared" si="2"/>
        <v>2</v>
      </c>
      <c r="I216" s="8">
        <f t="shared" si="3"/>
        <v>-2</v>
      </c>
    </row>
    <row r="217">
      <c r="A217" s="1">
        <v>215.0</v>
      </c>
      <c r="B217" s="1" t="s">
        <v>19</v>
      </c>
      <c r="C217" s="1" t="s">
        <v>222</v>
      </c>
      <c r="D217" s="1" t="s">
        <v>296</v>
      </c>
      <c r="E217" s="1">
        <v>5.0</v>
      </c>
      <c r="F217" s="7">
        <v>6.45291090011596E15</v>
      </c>
      <c r="G217" s="1">
        <v>6.0</v>
      </c>
      <c r="H217" s="8">
        <f t="shared" si="2"/>
        <v>1</v>
      </c>
      <c r="I217" s="8">
        <f t="shared" si="3"/>
        <v>-1</v>
      </c>
    </row>
    <row r="218">
      <c r="A218" s="1">
        <v>216.0</v>
      </c>
      <c r="B218" s="1" t="s">
        <v>21</v>
      </c>
      <c r="C218" s="1" t="s">
        <v>222</v>
      </c>
      <c r="D218" s="1" t="s">
        <v>297</v>
      </c>
      <c r="E218" s="1">
        <v>4.0</v>
      </c>
      <c r="F218" s="7">
        <v>6.89371466636657E15</v>
      </c>
      <c r="G218" s="1">
        <v>6.0</v>
      </c>
      <c r="H218" s="8">
        <f t="shared" si="2"/>
        <v>2</v>
      </c>
      <c r="I218" s="8">
        <f t="shared" si="3"/>
        <v>-2</v>
      </c>
    </row>
    <row r="219">
      <c r="A219" s="1">
        <v>217.0</v>
      </c>
      <c r="B219" s="1" t="s">
        <v>23</v>
      </c>
      <c r="C219" s="1" t="s">
        <v>222</v>
      </c>
      <c r="D219" s="1" t="s">
        <v>298</v>
      </c>
      <c r="E219" s="1">
        <v>6.0</v>
      </c>
      <c r="F219" s="7">
        <v>6.49266791343689E14</v>
      </c>
      <c r="G219" s="1">
        <v>4.0</v>
      </c>
      <c r="H219" s="8">
        <f t="shared" si="2"/>
        <v>2</v>
      </c>
      <c r="I219" s="8">
        <f t="shared" si="3"/>
        <v>2</v>
      </c>
    </row>
    <row r="220">
      <c r="A220" s="1">
        <v>218.0</v>
      </c>
      <c r="B220" s="1" t="s">
        <v>25</v>
      </c>
      <c r="C220" s="1" t="s">
        <v>222</v>
      </c>
      <c r="D220" s="1" t="s">
        <v>299</v>
      </c>
      <c r="E220" s="1">
        <v>6.0</v>
      </c>
      <c r="F220" s="7">
        <v>6.90036487579345E15</v>
      </c>
      <c r="G220" s="1">
        <v>6.0</v>
      </c>
      <c r="H220" s="8">
        <f t="shared" si="2"/>
        <v>0</v>
      </c>
      <c r="I220" s="8">
        <f t="shared" si="3"/>
        <v>0</v>
      </c>
    </row>
    <row r="221">
      <c r="A221" s="1">
        <v>219.0</v>
      </c>
      <c r="B221" s="1" t="s">
        <v>27</v>
      </c>
      <c r="C221" s="1" t="s">
        <v>222</v>
      </c>
      <c r="D221" s="1" t="s">
        <v>300</v>
      </c>
      <c r="E221" s="1">
        <v>7.0</v>
      </c>
      <c r="F221" s="7">
        <v>6.90235495567321E15</v>
      </c>
      <c r="G221" s="1">
        <v>8.0</v>
      </c>
      <c r="H221" s="8">
        <f t="shared" si="2"/>
        <v>1</v>
      </c>
      <c r="I221" s="8">
        <f t="shared" si="3"/>
        <v>-1</v>
      </c>
    </row>
    <row r="222">
      <c r="A222" s="1">
        <v>220.0</v>
      </c>
      <c r="B222" s="1" t="s">
        <v>29</v>
      </c>
      <c r="C222" s="1" t="s">
        <v>222</v>
      </c>
      <c r="D222" s="1" t="s">
        <v>301</v>
      </c>
      <c r="E222" s="1">
        <v>5.0</v>
      </c>
      <c r="F222" s="7">
        <v>6.36101126670837E15</v>
      </c>
      <c r="G222" s="1">
        <v>6.0</v>
      </c>
      <c r="H222" s="8">
        <f t="shared" si="2"/>
        <v>1</v>
      </c>
      <c r="I222" s="8">
        <f t="shared" si="3"/>
        <v>-1</v>
      </c>
    </row>
    <row r="223">
      <c r="A223" s="1">
        <v>221.0</v>
      </c>
      <c r="B223" s="1" t="s">
        <v>31</v>
      </c>
      <c r="C223" s="1" t="s">
        <v>222</v>
      </c>
      <c r="D223" s="1" t="s">
        <v>302</v>
      </c>
      <c r="E223" s="1">
        <v>7.0</v>
      </c>
      <c r="F223" s="7">
        <v>6.46254801750183E15</v>
      </c>
      <c r="G223" s="1">
        <v>6.0</v>
      </c>
      <c r="H223" s="8">
        <f t="shared" si="2"/>
        <v>1</v>
      </c>
      <c r="I223" s="8">
        <f t="shared" si="3"/>
        <v>1</v>
      </c>
    </row>
    <row r="224">
      <c r="A224" s="1">
        <v>222.0</v>
      </c>
      <c r="B224" s="1" t="s">
        <v>33</v>
      </c>
      <c r="C224" s="1" t="s">
        <v>222</v>
      </c>
      <c r="D224" s="1" t="s">
        <v>303</v>
      </c>
      <c r="E224" s="1">
        <v>6.0</v>
      </c>
      <c r="F224" s="7">
        <v>6.59016728401184E15</v>
      </c>
      <c r="G224" s="1">
        <v>6.0</v>
      </c>
      <c r="H224" s="8">
        <f t="shared" si="2"/>
        <v>0</v>
      </c>
      <c r="I224" s="8">
        <f t="shared" si="3"/>
        <v>0</v>
      </c>
    </row>
    <row r="225">
      <c r="A225" s="1">
        <v>223.0</v>
      </c>
      <c r="B225" s="1" t="s">
        <v>35</v>
      </c>
      <c r="C225" s="1" t="s">
        <v>222</v>
      </c>
      <c r="D225" s="1" t="s">
        <v>304</v>
      </c>
      <c r="E225" s="1">
        <v>6.0</v>
      </c>
      <c r="F225" s="7">
        <v>6.90596652030944E15</v>
      </c>
      <c r="G225" s="1">
        <v>7.0</v>
      </c>
      <c r="H225" s="8">
        <f t="shared" si="2"/>
        <v>1</v>
      </c>
      <c r="I225" s="8">
        <f t="shared" si="3"/>
        <v>-1</v>
      </c>
    </row>
    <row r="226">
      <c r="A226" s="1">
        <v>224.0</v>
      </c>
      <c r="B226" s="1" t="s">
        <v>37</v>
      </c>
      <c r="C226" s="1" t="s">
        <v>222</v>
      </c>
      <c r="D226" s="1" t="s">
        <v>305</v>
      </c>
      <c r="E226" s="1">
        <v>6.0</v>
      </c>
      <c r="F226" s="7">
        <v>6.5768711566925E15</v>
      </c>
      <c r="G226" s="1">
        <v>7.0</v>
      </c>
      <c r="H226" s="8">
        <f t="shared" si="2"/>
        <v>1</v>
      </c>
      <c r="I226" s="8">
        <f t="shared" si="3"/>
        <v>-1</v>
      </c>
    </row>
    <row r="227">
      <c r="A227" s="1">
        <v>225.0</v>
      </c>
      <c r="B227" s="1" t="s">
        <v>39</v>
      </c>
      <c r="C227" s="1" t="s">
        <v>222</v>
      </c>
      <c r="D227" s="1" t="s">
        <v>306</v>
      </c>
      <c r="E227" s="1">
        <v>8.0</v>
      </c>
      <c r="F227" s="7">
        <v>7.02421045303344E15</v>
      </c>
      <c r="G227" s="1">
        <v>8.0</v>
      </c>
      <c r="H227" s="8">
        <f t="shared" si="2"/>
        <v>0</v>
      </c>
      <c r="I227" s="8">
        <f t="shared" si="3"/>
        <v>0</v>
      </c>
    </row>
    <row r="228">
      <c r="A228" s="1">
        <v>226.0</v>
      </c>
      <c r="B228" s="1" t="s">
        <v>41</v>
      </c>
      <c r="C228" s="1" t="s">
        <v>222</v>
      </c>
      <c r="D228" s="1" t="s">
        <v>307</v>
      </c>
      <c r="E228" s="1">
        <v>5.0</v>
      </c>
      <c r="F228" s="7">
        <v>6.38819599151611E15</v>
      </c>
      <c r="G228" s="1">
        <v>6.0</v>
      </c>
      <c r="H228" s="8">
        <f t="shared" si="2"/>
        <v>1</v>
      </c>
      <c r="I228" s="8">
        <f t="shared" si="3"/>
        <v>-1</v>
      </c>
    </row>
    <row r="229">
      <c r="A229" s="1">
        <v>227.0</v>
      </c>
      <c r="B229" s="1" t="s">
        <v>43</v>
      </c>
      <c r="C229" s="1" t="s">
        <v>222</v>
      </c>
      <c r="D229" s="1" t="s">
        <v>308</v>
      </c>
      <c r="E229" s="1">
        <v>7.0</v>
      </c>
      <c r="F229" s="7">
        <v>6.37538743019104E14</v>
      </c>
      <c r="G229" s="1">
        <v>6.0</v>
      </c>
      <c r="H229" s="8">
        <f t="shared" si="2"/>
        <v>1</v>
      </c>
      <c r="I229" s="8">
        <f t="shared" si="3"/>
        <v>1</v>
      </c>
    </row>
    <row r="230">
      <c r="A230" s="1">
        <v>228.0</v>
      </c>
      <c r="B230" s="1" t="s">
        <v>45</v>
      </c>
      <c r="C230" s="1" t="s">
        <v>222</v>
      </c>
      <c r="D230" s="1" t="s">
        <v>309</v>
      </c>
      <c r="E230" s="1">
        <v>2.0</v>
      </c>
      <c r="F230" s="7">
        <v>7.00402808189392E15</v>
      </c>
      <c r="G230" s="1">
        <v>4.0</v>
      </c>
      <c r="H230" s="8">
        <f t="shared" si="2"/>
        <v>2</v>
      </c>
      <c r="I230" s="8">
        <f t="shared" si="3"/>
        <v>-2</v>
      </c>
    </row>
    <row r="231">
      <c r="A231" s="1">
        <v>229.0</v>
      </c>
      <c r="B231" s="1" t="s">
        <v>47</v>
      </c>
      <c r="C231" s="1" t="s">
        <v>222</v>
      </c>
      <c r="D231" s="1" t="s">
        <v>310</v>
      </c>
      <c r="E231" s="1">
        <v>7.0</v>
      </c>
      <c r="F231" s="7">
        <v>6.91367673873901E15</v>
      </c>
      <c r="G231" s="1">
        <v>7.0</v>
      </c>
      <c r="H231" s="8">
        <f t="shared" si="2"/>
        <v>0</v>
      </c>
      <c r="I231" s="8">
        <f t="shared" si="3"/>
        <v>0</v>
      </c>
    </row>
    <row r="232">
      <c r="A232" s="1">
        <v>230.0</v>
      </c>
      <c r="B232" s="1" t="s">
        <v>49</v>
      </c>
      <c r="C232" s="1" t="s">
        <v>222</v>
      </c>
      <c r="D232" s="1" t="s">
        <v>311</v>
      </c>
      <c r="E232" s="1">
        <v>9.0</v>
      </c>
      <c r="F232" s="7">
        <v>6.84224462509155E15</v>
      </c>
      <c r="G232" s="1">
        <v>8.0</v>
      </c>
      <c r="H232" s="8">
        <f t="shared" si="2"/>
        <v>1</v>
      </c>
      <c r="I232" s="8">
        <f t="shared" si="3"/>
        <v>1</v>
      </c>
    </row>
    <row r="233">
      <c r="A233" s="1">
        <v>231.0</v>
      </c>
      <c r="B233" s="1" t="s">
        <v>51</v>
      </c>
      <c r="C233" s="1" t="s">
        <v>222</v>
      </c>
      <c r="D233" s="1" t="s">
        <v>312</v>
      </c>
      <c r="E233" s="1">
        <v>7.0</v>
      </c>
      <c r="F233" s="7">
        <v>6.8947958946228E15</v>
      </c>
      <c r="G233" s="1">
        <v>7.0</v>
      </c>
      <c r="H233" s="8">
        <f t="shared" si="2"/>
        <v>0</v>
      </c>
      <c r="I233" s="8">
        <f t="shared" si="3"/>
        <v>0</v>
      </c>
    </row>
    <row r="234">
      <c r="A234" s="1">
        <v>232.0</v>
      </c>
      <c r="B234" s="1" t="s">
        <v>53</v>
      </c>
      <c r="C234" s="1" t="s">
        <v>222</v>
      </c>
      <c r="D234" s="1" t="s">
        <v>313</v>
      </c>
      <c r="E234" s="1">
        <v>0.0</v>
      </c>
      <c r="F234" s="7">
        <v>6.36825728416442E15</v>
      </c>
      <c r="G234" s="1">
        <v>4.0</v>
      </c>
      <c r="H234" s="8">
        <f t="shared" si="2"/>
        <v>4</v>
      </c>
      <c r="I234" s="8">
        <f t="shared" si="3"/>
        <v>-4</v>
      </c>
    </row>
    <row r="235">
      <c r="A235" s="1">
        <v>233.0</v>
      </c>
      <c r="B235" s="1" t="s">
        <v>55</v>
      </c>
      <c r="C235" s="1" t="s">
        <v>222</v>
      </c>
      <c r="D235" s="1" t="s">
        <v>314</v>
      </c>
      <c r="E235" s="1">
        <v>8.0</v>
      </c>
      <c r="F235" s="7">
        <v>7.4306149482727E15</v>
      </c>
      <c r="G235" s="1">
        <v>7.0</v>
      </c>
      <c r="H235" s="8">
        <f t="shared" si="2"/>
        <v>1</v>
      </c>
      <c r="I235" s="8">
        <f t="shared" si="3"/>
        <v>1</v>
      </c>
    </row>
    <row r="236">
      <c r="A236" s="1">
        <v>234.0</v>
      </c>
      <c r="B236" s="1" t="s">
        <v>57</v>
      </c>
      <c r="C236" s="1" t="s">
        <v>222</v>
      </c>
      <c r="D236" s="1" t="s">
        <v>315</v>
      </c>
      <c r="E236" s="1">
        <v>4.0</v>
      </c>
      <c r="F236" s="7">
        <v>6.40914940834045E15</v>
      </c>
      <c r="G236" s="1">
        <v>6.0</v>
      </c>
      <c r="H236" s="8">
        <f t="shared" si="2"/>
        <v>2</v>
      </c>
      <c r="I236" s="8">
        <f t="shared" si="3"/>
        <v>-2</v>
      </c>
    </row>
    <row r="237">
      <c r="A237" s="1">
        <v>235.0</v>
      </c>
      <c r="B237" s="1" t="s">
        <v>59</v>
      </c>
      <c r="C237" s="1" t="s">
        <v>222</v>
      </c>
      <c r="D237" s="1" t="s">
        <v>316</v>
      </c>
      <c r="E237" s="1">
        <v>7.0</v>
      </c>
      <c r="F237" s="7">
        <v>6.93921852111816E15</v>
      </c>
      <c r="G237" s="1">
        <v>7.0</v>
      </c>
      <c r="H237" s="8">
        <f t="shared" si="2"/>
        <v>0</v>
      </c>
      <c r="I237" s="8">
        <f t="shared" si="3"/>
        <v>0</v>
      </c>
    </row>
    <row r="238">
      <c r="A238" s="1">
        <v>236.0</v>
      </c>
      <c r="B238" s="1" t="s">
        <v>61</v>
      </c>
      <c r="C238" s="1" t="s">
        <v>222</v>
      </c>
      <c r="D238" s="1" t="s">
        <v>317</v>
      </c>
      <c r="E238" s="1">
        <v>1.0</v>
      </c>
      <c r="F238" s="7">
        <v>5.93230199813842E15</v>
      </c>
      <c r="G238" s="1">
        <v>2.0</v>
      </c>
      <c r="H238" s="8">
        <f t="shared" si="2"/>
        <v>1</v>
      </c>
      <c r="I238" s="8">
        <f t="shared" si="3"/>
        <v>-1</v>
      </c>
    </row>
    <row r="239">
      <c r="A239" s="1">
        <v>237.0</v>
      </c>
      <c r="B239" s="1" t="s">
        <v>63</v>
      </c>
      <c r="C239" s="1" t="s">
        <v>222</v>
      </c>
      <c r="D239" s="1" t="s">
        <v>318</v>
      </c>
      <c r="E239" s="1">
        <v>0.0</v>
      </c>
      <c r="F239" s="7">
        <v>5.94854259490966E15</v>
      </c>
      <c r="G239" s="1">
        <v>0.0</v>
      </c>
      <c r="H239" s="8">
        <f t="shared" si="2"/>
        <v>0</v>
      </c>
      <c r="I239" s="8">
        <f t="shared" si="3"/>
        <v>0</v>
      </c>
    </row>
    <row r="240">
      <c r="A240" s="1">
        <v>238.0</v>
      </c>
      <c r="B240" s="1" t="s">
        <v>65</v>
      </c>
      <c r="C240" s="1" t="s">
        <v>222</v>
      </c>
      <c r="D240" s="1" t="s">
        <v>319</v>
      </c>
      <c r="E240" s="1">
        <v>7.0</v>
      </c>
      <c r="F240" s="7">
        <v>6.43248653411865E15</v>
      </c>
      <c r="G240" s="1">
        <v>6.0</v>
      </c>
      <c r="H240" s="8">
        <f t="shared" si="2"/>
        <v>1</v>
      </c>
      <c r="I240" s="8">
        <f t="shared" si="3"/>
        <v>1</v>
      </c>
    </row>
    <row r="241">
      <c r="A241" s="1">
        <v>239.0</v>
      </c>
      <c r="B241" s="1" t="s">
        <v>67</v>
      </c>
      <c r="C241" s="1" t="s">
        <v>222</v>
      </c>
      <c r="D241" s="1" t="s">
        <v>320</v>
      </c>
      <c r="E241" s="1">
        <v>7.0</v>
      </c>
      <c r="F241" s="7">
        <v>6.40766739845275E15</v>
      </c>
      <c r="G241" s="1">
        <v>6.0</v>
      </c>
      <c r="H241" s="8">
        <f t="shared" si="2"/>
        <v>1</v>
      </c>
      <c r="I241" s="8">
        <f t="shared" si="3"/>
        <v>1</v>
      </c>
    </row>
    <row r="242">
      <c r="A242" s="1">
        <v>240.0</v>
      </c>
      <c r="B242" s="1" t="s">
        <v>69</v>
      </c>
      <c r="C242" s="1" t="s">
        <v>222</v>
      </c>
      <c r="D242" s="1" t="s">
        <v>321</v>
      </c>
      <c r="E242" s="1">
        <v>4.0</v>
      </c>
      <c r="F242" s="7">
        <v>6.40194511413574E15</v>
      </c>
      <c r="G242" s="1">
        <v>6.0</v>
      </c>
      <c r="H242" s="8">
        <f t="shared" si="2"/>
        <v>2</v>
      </c>
      <c r="I242" s="8">
        <f t="shared" si="3"/>
        <v>-2</v>
      </c>
    </row>
    <row r="243">
      <c r="A243" s="1">
        <v>241.0</v>
      </c>
      <c r="B243" s="1" t="s">
        <v>71</v>
      </c>
      <c r="C243" s="1" t="s">
        <v>222</v>
      </c>
      <c r="D243" s="1" t="s">
        <v>322</v>
      </c>
      <c r="E243" s="1">
        <v>4.0</v>
      </c>
      <c r="F243" s="7">
        <v>6.35122299194335E15</v>
      </c>
      <c r="G243" s="1">
        <v>6.0</v>
      </c>
      <c r="H243" s="8">
        <f t="shared" si="2"/>
        <v>2</v>
      </c>
      <c r="I243" s="8">
        <f t="shared" si="3"/>
        <v>-2</v>
      </c>
    </row>
    <row r="244">
      <c r="A244" s="1">
        <v>242.0</v>
      </c>
      <c r="B244" s="1" t="s">
        <v>73</v>
      </c>
      <c r="C244" s="1" t="s">
        <v>222</v>
      </c>
      <c r="D244" s="1" t="s">
        <v>323</v>
      </c>
      <c r="E244" s="1">
        <v>3.0</v>
      </c>
      <c r="F244" s="7">
        <v>6.36781620979309E15</v>
      </c>
      <c r="G244" s="1">
        <v>4.0</v>
      </c>
      <c r="H244" s="8">
        <f t="shared" si="2"/>
        <v>1</v>
      </c>
      <c r="I244" s="8">
        <f t="shared" si="3"/>
        <v>-1</v>
      </c>
    </row>
    <row r="245">
      <c r="A245" s="1">
        <v>243.0</v>
      </c>
      <c r="B245" s="1" t="s">
        <v>75</v>
      </c>
      <c r="C245" s="1" t="s">
        <v>222</v>
      </c>
      <c r="D245" s="1" t="s">
        <v>324</v>
      </c>
      <c r="E245" s="1">
        <v>9.0</v>
      </c>
      <c r="F245" s="7">
        <v>7.03904032707214E15</v>
      </c>
      <c r="G245" s="1">
        <v>7.0</v>
      </c>
      <c r="H245" s="8">
        <f t="shared" si="2"/>
        <v>2</v>
      </c>
      <c r="I245" s="8">
        <f t="shared" si="3"/>
        <v>2</v>
      </c>
    </row>
    <row r="246">
      <c r="A246" s="1">
        <v>244.0</v>
      </c>
      <c r="B246" s="1" t="s">
        <v>77</v>
      </c>
      <c r="C246" s="1" t="s">
        <v>222</v>
      </c>
      <c r="D246" s="1" t="s">
        <v>325</v>
      </c>
      <c r="E246" s="1">
        <v>8.0</v>
      </c>
      <c r="F246" s="7">
        <v>6.41906952857971E15</v>
      </c>
      <c r="G246" s="1">
        <v>6.0</v>
      </c>
      <c r="H246" s="8">
        <f t="shared" si="2"/>
        <v>2</v>
      </c>
      <c r="I246" s="8">
        <f t="shared" si="3"/>
        <v>2</v>
      </c>
    </row>
    <row r="247">
      <c r="A247" s="1">
        <v>245.0</v>
      </c>
      <c r="B247" s="1" t="s">
        <v>79</v>
      </c>
      <c r="C247" s="1" t="s">
        <v>222</v>
      </c>
      <c r="D247" s="1" t="s">
        <v>326</v>
      </c>
      <c r="E247" s="1">
        <v>8.0</v>
      </c>
      <c r="F247" s="7">
        <v>6.93338227272033E15</v>
      </c>
      <c r="G247" s="1">
        <v>7.0</v>
      </c>
      <c r="H247" s="8">
        <f t="shared" si="2"/>
        <v>1</v>
      </c>
      <c r="I247" s="8">
        <f t="shared" si="3"/>
        <v>1</v>
      </c>
    </row>
    <row r="248">
      <c r="A248" s="1">
        <v>246.0</v>
      </c>
      <c r="B248" s="1" t="s">
        <v>81</v>
      </c>
      <c r="C248" s="1" t="s">
        <v>222</v>
      </c>
      <c r="D248" s="1" t="s">
        <v>327</v>
      </c>
      <c r="E248" s="1">
        <v>9.0</v>
      </c>
      <c r="F248" s="7">
        <v>6.95895195007324E15</v>
      </c>
      <c r="G248" s="1">
        <v>8.0</v>
      </c>
      <c r="H248" s="8">
        <f t="shared" si="2"/>
        <v>1</v>
      </c>
      <c r="I248" s="8">
        <f t="shared" si="3"/>
        <v>1</v>
      </c>
    </row>
    <row r="249">
      <c r="A249" s="1">
        <v>247.0</v>
      </c>
      <c r="B249" s="1" t="s">
        <v>83</v>
      </c>
      <c r="C249" s="1" t="s">
        <v>222</v>
      </c>
      <c r="D249" s="1" t="s">
        <v>328</v>
      </c>
      <c r="E249" s="1">
        <v>7.0</v>
      </c>
      <c r="F249" s="7">
        <v>6.9505181312561E15</v>
      </c>
      <c r="G249" s="1">
        <v>6.0</v>
      </c>
      <c r="H249" s="8">
        <f t="shared" si="2"/>
        <v>1</v>
      </c>
      <c r="I249" s="8">
        <f t="shared" si="3"/>
        <v>1</v>
      </c>
    </row>
    <row r="250">
      <c r="A250" s="1">
        <v>248.0</v>
      </c>
      <c r="B250" s="1" t="s">
        <v>85</v>
      </c>
      <c r="C250" s="1" t="s">
        <v>222</v>
      </c>
      <c r="D250" s="1" t="s">
        <v>329</v>
      </c>
      <c r="E250" s="1">
        <v>6.0</v>
      </c>
      <c r="F250" s="7">
        <v>6.35345292091369E15</v>
      </c>
      <c r="G250" s="1">
        <v>4.0</v>
      </c>
      <c r="H250" s="8">
        <f t="shared" si="2"/>
        <v>2</v>
      </c>
      <c r="I250" s="8">
        <f t="shared" si="3"/>
        <v>2</v>
      </c>
    </row>
    <row r="251">
      <c r="A251" s="1">
        <v>249.0</v>
      </c>
      <c r="B251" s="1" t="s">
        <v>87</v>
      </c>
      <c r="C251" s="1" t="s">
        <v>222</v>
      </c>
      <c r="D251" s="1" t="s">
        <v>330</v>
      </c>
      <c r="E251" s="1">
        <v>6.0</v>
      </c>
      <c r="F251" s="7">
        <v>6.40422677993774E15</v>
      </c>
      <c r="G251" s="1">
        <v>7.0</v>
      </c>
      <c r="H251" s="8">
        <f t="shared" si="2"/>
        <v>1</v>
      </c>
      <c r="I251" s="8">
        <f t="shared" si="3"/>
        <v>-1</v>
      </c>
    </row>
    <row r="252">
      <c r="A252" s="1">
        <v>250.0</v>
      </c>
      <c r="B252" s="1" t="s">
        <v>89</v>
      </c>
      <c r="C252" s="1" t="s">
        <v>222</v>
      </c>
      <c r="D252" s="1" t="s">
        <v>331</v>
      </c>
      <c r="E252" s="1">
        <v>8.0</v>
      </c>
      <c r="F252" s="7">
        <v>6.92841792106628E15</v>
      </c>
      <c r="G252" s="1">
        <v>7.0</v>
      </c>
      <c r="H252" s="8">
        <f t="shared" si="2"/>
        <v>1</v>
      </c>
      <c r="I252" s="8">
        <f t="shared" si="3"/>
        <v>1</v>
      </c>
    </row>
    <row r="253">
      <c r="A253" s="1">
        <v>251.0</v>
      </c>
      <c r="B253" s="1" t="s">
        <v>91</v>
      </c>
      <c r="C253" s="1" t="s">
        <v>222</v>
      </c>
      <c r="D253" s="1" t="s">
        <v>332</v>
      </c>
      <c r="E253" s="1">
        <v>8.0</v>
      </c>
      <c r="F253" s="7">
        <v>6.51831412315368E15</v>
      </c>
      <c r="G253" s="1">
        <v>8.0</v>
      </c>
      <c r="H253" s="8">
        <f t="shared" si="2"/>
        <v>0</v>
      </c>
      <c r="I253" s="8">
        <f t="shared" si="3"/>
        <v>0</v>
      </c>
    </row>
    <row r="254">
      <c r="A254" s="1">
        <v>252.0</v>
      </c>
      <c r="B254" s="1" t="s">
        <v>93</v>
      </c>
      <c r="C254" s="1" t="s">
        <v>222</v>
      </c>
      <c r="D254" s="1" t="s">
        <v>333</v>
      </c>
      <c r="E254" s="1">
        <v>1.0</v>
      </c>
      <c r="F254" s="7">
        <v>6.48696041107177E15</v>
      </c>
      <c r="G254" s="1">
        <v>2.0</v>
      </c>
      <c r="H254" s="8">
        <f t="shared" si="2"/>
        <v>1</v>
      </c>
      <c r="I254" s="8">
        <f t="shared" si="3"/>
        <v>-1</v>
      </c>
    </row>
    <row r="255">
      <c r="A255" s="1">
        <v>253.0</v>
      </c>
      <c r="B255" s="1" t="s">
        <v>95</v>
      </c>
      <c r="C255" s="1" t="s">
        <v>222</v>
      </c>
      <c r="D255" s="1" t="s">
        <v>334</v>
      </c>
      <c r="E255" s="1">
        <v>8.0</v>
      </c>
      <c r="F255" s="7">
        <v>7.39552807807922E15</v>
      </c>
      <c r="G255" s="1">
        <v>8.0</v>
      </c>
      <c r="H255" s="8">
        <f t="shared" si="2"/>
        <v>0</v>
      </c>
      <c r="I255" s="8">
        <f t="shared" si="3"/>
        <v>0</v>
      </c>
    </row>
    <row r="256">
      <c r="A256" s="1">
        <v>254.0</v>
      </c>
      <c r="B256" s="1" t="s">
        <v>97</v>
      </c>
      <c r="C256" s="1" t="s">
        <v>222</v>
      </c>
      <c r="D256" s="1" t="s">
        <v>335</v>
      </c>
      <c r="E256" s="1">
        <v>7.0</v>
      </c>
      <c r="F256" s="7">
        <v>6.85368156433105E15</v>
      </c>
      <c r="G256" s="1">
        <v>7.0</v>
      </c>
      <c r="H256" s="8">
        <f t="shared" si="2"/>
        <v>0</v>
      </c>
      <c r="I256" s="8">
        <f t="shared" si="3"/>
        <v>0</v>
      </c>
    </row>
    <row r="257">
      <c r="A257" s="1">
        <v>255.0</v>
      </c>
      <c r="B257" s="1" t="s">
        <v>99</v>
      </c>
      <c r="C257" s="1" t="s">
        <v>222</v>
      </c>
      <c r="D257" s="1" t="s">
        <v>336</v>
      </c>
      <c r="E257" s="1">
        <v>6.0</v>
      </c>
      <c r="F257" s="7">
        <v>6.47362732887268E15</v>
      </c>
      <c r="G257" s="1">
        <v>6.0</v>
      </c>
      <c r="H257" s="8">
        <f t="shared" si="2"/>
        <v>0</v>
      </c>
      <c r="I257" s="8">
        <f t="shared" si="3"/>
        <v>0</v>
      </c>
    </row>
    <row r="258">
      <c r="A258" s="1">
        <v>256.0</v>
      </c>
      <c r="B258" s="1" t="s">
        <v>101</v>
      </c>
      <c r="C258" s="1" t="s">
        <v>222</v>
      </c>
      <c r="D258" s="1" t="s">
        <v>337</v>
      </c>
      <c r="E258" s="1">
        <v>9.0</v>
      </c>
      <c r="F258" s="7">
        <v>7.458749294281E15</v>
      </c>
      <c r="G258" s="1">
        <v>6.0</v>
      </c>
      <c r="H258" s="8">
        <f t="shared" si="2"/>
        <v>3</v>
      </c>
      <c r="I258" s="8">
        <f t="shared" si="3"/>
        <v>3</v>
      </c>
    </row>
    <row r="259">
      <c r="A259" s="1">
        <v>257.0</v>
      </c>
      <c r="B259" s="1" t="s">
        <v>103</v>
      </c>
      <c r="C259" s="1" t="s">
        <v>222</v>
      </c>
      <c r="D259" s="1" t="s">
        <v>338</v>
      </c>
      <c r="E259" s="1">
        <v>3.0</v>
      </c>
      <c r="F259" s="7">
        <v>6.43751716613769E15</v>
      </c>
      <c r="G259" s="1">
        <v>4.0</v>
      </c>
      <c r="H259" s="8">
        <f t="shared" si="2"/>
        <v>1</v>
      </c>
      <c r="I259" s="8">
        <f t="shared" si="3"/>
        <v>-1</v>
      </c>
    </row>
    <row r="260">
      <c r="A260" s="1">
        <v>258.0</v>
      </c>
      <c r="B260" s="1" t="s">
        <v>105</v>
      </c>
      <c r="C260" s="1" t="s">
        <v>222</v>
      </c>
      <c r="D260" s="1" t="s">
        <v>339</v>
      </c>
      <c r="E260" s="1">
        <v>8.0</v>
      </c>
      <c r="F260" s="7">
        <v>6.95893144607544E14</v>
      </c>
      <c r="G260" s="1">
        <v>7.0</v>
      </c>
      <c r="H260" s="8">
        <f t="shared" si="2"/>
        <v>1</v>
      </c>
      <c r="I260" s="8">
        <f t="shared" si="3"/>
        <v>1</v>
      </c>
    </row>
    <row r="261">
      <c r="A261" s="1">
        <v>259.0</v>
      </c>
      <c r="B261" s="1" t="s">
        <v>107</v>
      </c>
      <c r="C261" s="1" t="s">
        <v>222</v>
      </c>
      <c r="D261" s="1" t="s">
        <v>340</v>
      </c>
      <c r="E261" s="1">
        <v>3.0</v>
      </c>
      <c r="F261" s="7">
        <v>6.48116445541381E15</v>
      </c>
      <c r="G261" s="1">
        <v>6.0</v>
      </c>
      <c r="H261" s="8">
        <f t="shared" si="2"/>
        <v>3</v>
      </c>
      <c r="I261" s="8">
        <f t="shared" si="3"/>
        <v>-3</v>
      </c>
    </row>
    <row r="262">
      <c r="A262" s="1">
        <v>260.0</v>
      </c>
      <c r="B262" s="1" t="s">
        <v>109</v>
      </c>
      <c r="C262" s="1" t="s">
        <v>222</v>
      </c>
      <c r="D262" s="1" t="s">
        <v>341</v>
      </c>
      <c r="E262" s="1">
        <v>2.0</v>
      </c>
      <c r="F262" s="7">
        <v>6.46112966537475E15</v>
      </c>
      <c r="G262" s="1">
        <v>4.0</v>
      </c>
      <c r="H262" s="8">
        <f t="shared" si="2"/>
        <v>2</v>
      </c>
      <c r="I262" s="8">
        <f t="shared" si="3"/>
        <v>-2</v>
      </c>
    </row>
    <row r="263">
      <c r="A263" s="1">
        <v>261.0</v>
      </c>
      <c r="B263" s="1" t="s">
        <v>111</v>
      </c>
      <c r="C263" s="1" t="s">
        <v>222</v>
      </c>
      <c r="D263" s="1" t="s">
        <v>342</v>
      </c>
      <c r="E263" s="1">
        <v>2.0</v>
      </c>
      <c r="F263" s="7">
        <v>6.39497876167297E15</v>
      </c>
      <c r="G263" s="1">
        <v>4.0</v>
      </c>
      <c r="H263" s="8">
        <f t="shared" si="2"/>
        <v>2</v>
      </c>
      <c r="I263" s="8">
        <f t="shared" si="3"/>
        <v>-2</v>
      </c>
    </row>
    <row r="264">
      <c r="A264" s="1">
        <v>262.0</v>
      </c>
      <c r="B264" s="1" t="s">
        <v>113</v>
      </c>
      <c r="C264" s="1" t="s">
        <v>222</v>
      </c>
      <c r="D264" s="1" t="s">
        <v>343</v>
      </c>
      <c r="E264" s="1">
        <v>8.0</v>
      </c>
      <c r="F264" s="7">
        <v>6.43927025794982E15</v>
      </c>
      <c r="G264" s="1">
        <v>7.0</v>
      </c>
      <c r="H264" s="8">
        <f t="shared" si="2"/>
        <v>1</v>
      </c>
      <c r="I264" s="8">
        <f t="shared" si="3"/>
        <v>1</v>
      </c>
    </row>
    <row r="265">
      <c r="A265" s="1">
        <v>263.0</v>
      </c>
      <c r="B265" s="1" t="s">
        <v>115</v>
      </c>
      <c r="C265" s="1" t="s">
        <v>222</v>
      </c>
      <c r="D265" s="1" t="s">
        <v>344</v>
      </c>
      <c r="E265" s="1">
        <v>8.0</v>
      </c>
      <c r="F265" s="7">
        <v>6.43333101272583E14</v>
      </c>
      <c r="G265" s="1">
        <v>7.0</v>
      </c>
      <c r="H265" s="8">
        <f t="shared" si="2"/>
        <v>1</v>
      </c>
      <c r="I265" s="8">
        <f t="shared" si="3"/>
        <v>1</v>
      </c>
    </row>
    <row r="266">
      <c r="A266" s="1">
        <v>264.0</v>
      </c>
      <c r="B266" s="1" t="s">
        <v>117</v>
      </c>
      <c r="C266" s="1" t="s">
        <v>222</v>
      </c>
      <c r="D266" s="1" t="s">
        <v>345</v>
      </c>
      <c r="E266" s="1">
        <v>4.0</v>
      </c>
      <c r="F266" s="7">
        <v>6.39710640907287E15</v>
      </c>
      <c r="G266" s="1">
        <v>6.0</v>
      </c>
      <c r="H266" s="8">
        <f t="shared" si="2"/>
        <v>2</v>
      </c>
      <c r="I266" s="8">
        <f t="shared" si="3"/>
        <v>-2</v>
      </c>
    </row>
    <row r="267">
      <c r="A267" s="1">
        <v>265.0</v>
      </c>
      <c r="B267" s="1" t="s">
        <v>119</v>
      </c>
      <c r="C267" s="1" t="s">
        <v>222</v>
      </c>
      <c r="D267" s="1" t="s">
        <v>346</v>
      </c>
      <c r="E267" s="1">
        <v>7.0</v>
      </c>
      <c r="F267" s="7">
        <v>6.46922993659973E16</v>
      </c>
      <c r="G267" s="1">
        <v>7.0</v>
      </c>
      <c r="H267" s="8">
        <f t="shared" si="2"/>
        <v>0</v>
      </c>
      <c r="I267" s="8">
        <f t="shared" si="3"/>
        <v>0</v>
      </c>
    </row>
    <row r="268">
      <c r="A268" s="1">
        <v>266.0</v>
      </c>
      <c r="B268" s="1" t="s">
        <v>121</v>
      </c>
      <c r="C268" s="1" t="s">
        <v>222</v>
      </c>
      <c r="D268" s="1" t="s">
        <v>347</v>
      </c>
      <c r="E268" s="1">
        <v>5.0</v>
      </c>
      <c r="F268" s="7">
        <v>6.91288971900939E15</v>
      </c>
      <c r="G268" s="1">
        <v>4.0</v>
      </c>
      <c r="H268" s="8">
        <f t="shared" si="2"/>
        <v>1</v>
      </c>
      <c r="I268" s="8">
        <f t="shared" si="3"/>
        <v>1</v>
      </c>
    </row>
    <row r="269">
      <c r="A269" s="1">
        <v>267.0</v>
      </c>
      <c r="B269" s="1" t="s">
        <v>123</v>
      </c>
      <c r="C269" s="1" t="s">
        <v>222</v>
      </c>
      <c r="D269" s="1" t="s">
        <v>348</v>
      </c>
      <c r="E269" s="1">
        <v>5.0</v>
      </c>
      <c r="F269" s="7">
        <v>6.45361042022705E15</v>
      </c>
      <c r="G269" s="1">
        <v>6.0</v>
      </c>
      <c r="H269" s="8">
        <f t="shared" si="2"/>
        <v>1</v>
      </c>
      <c r="I269" s="8">
        <f t="shared" si="3"/>
        <v>-1</v>
      </c>
    </row>
    <row r="270">
      <c r="A270" s="1">
        <v>268.0</v>
      </c>
      <c r="B270" s="1" t="s">
        <v>125</v>
      </c>
      <c r="C270" s="1" t="s">
        <v>222</v>
      </c>
      <c r="D270" s="1" t="s">
        <v>349</v>
      </c>
      <c r="E270" s="1">
        <v>9.0</v>
      </c>
      <c r="F270" s="7">
        <v>7.01548171043396E14</v>
      </c>
      <c r="G270" s="1">
        <v>8.0</v>
      </c>
      <c r="H270" s="8">
        <f t="shared" si="2"/>
        <v>1</v>
      </c>
      <c r="I270" s="8">
        <f t="shared" si="3"/>
        <v>1</v>
      </c>
    </row>
    <row r="271">
      <c r="A271" s="1">
        <v>269.0</v>
      </c>
      <c r="B271" s="1" t="s">
        <v>127</v>
      </c>
      <c r="C271" s="1" t="s">
        <v>222</v>
      </c>
      <c r="D271" s="1" t="s">
        <v>350</v>
      </c>
      <c r="E271" s="1">
        <v>4.0</v>
      </c>
      <c r="F271" s="7">
        <v>6.45015907287597E15</v>
      </c>
      <c r="G271" s="1">
        <v>6.0</v>
      </c>
      <c r="H271" s="8">
        <f t="shared" si="2"/>
        <v>2</v>
      </c>
      <c r="I271" s="8">
        <f t="shared" si="3"/>
        <v>-2</v>
      </c>
    </row>
    <row r="272">
      <c r="A272" s="1">
        <v>270.0</v>
      </c>
      <c r="B272" s="1" t="s">
        <v>129</v>
      </c>
      <c r="C272" s="1" t="s">
        <v>222</v>
      </c>
      <c r="D272" s="1" t="s">
        <v>351</v>
      </c>
      <c r="E272" s="1">
        <v>0.0</v>
      </c>
      <c r="F272" s="7">
        <v>5.97235298156738E15</v>
      </c>
      <c r="G272" s="1">
        <v>0.0</v>
      </c>
      <c r="H272" s="8">
        <f t="shared" si="2"/>
        <v>0</v>
      </c>
      <c r="I272" s="8">
        <f t="shared" si="3"/>
        <v>0</v>
      </c>
    </row>
    <row r="273">
      <c r="A273" s="1">
        <v>271.0</v>
      </c>
      <c r="B273" s="1" t="s">
        <v>131</v>
      </c>
      <c r="C273" s="1" t="s">
        <v>222</v>
      </c>
      <c r="D273" s="1" t="s">
        <v>352</v>
      </c>
      <c r="E273" s="1">
        <v>2.0</v>
      </c>
      <c r="F273" s="7">
        <v>6.48336720466613E15</v>
      </c>
      <c r="G273" s="1">
        <v>6.0</v>
      </c>
      <c r="H273" s="8">
        <f t="shared" si="2"/>
        <v>4</v>
      </c>
      <c r="I273" s="8">
        <f t="shared" si="3"/>
        <v>-4</v>
      </c>
    </row>
    <row r="274">
      <c r="A274" s="1">
        <v>272.0</v>
      </c>
      <c r="B274" s="1" t="s">
        <v>133</v>
      </c>
      <c r="C274" s="1" t="s">
        <v>222</v>
      </c>
      <c r="D274" s="1" t="s">
        <v>353</v>
      </c>
      <c r="E274" s="1">
        <v>3.0</v>
      </c>
      <c r="F274" s="7">
        <v>6.35850691795349E15</v>
      </c>
      <c r="G274" s="1">
        <v>4.0</v>
      </c>
      <c r="H274" s="8">
        <f t="shared" si="2"/>
        <v>1</v>
      </c>
      <c r="I274" s="8">
        <f t="shared" si="3"/>
        <v>-1</v>
      </c>
    </row>
    <row r="275">
      <c r="A275" s="1">
        <v>273.0</v>
      </c>
      <c r="B275" s="1" t="s">
        <v>135</v>
      </c>
      <c r="C275" s="1" t="s">
        <v>222</v>
      </c>
      <c r="D275" s="1" t="s">
        <v>354</v>
      </c>
      <c r="E275" s="1">
        <v>1.0</v>
      </c>
      <c r="F275" s="7">
        <v>6.44216775894165E14</v>
      </c>
      <c r="G275" s="1">
        <v>4.0</v>
      </c>
      <c r="H275" s="8">
        <f t="shared" si="2"/>
        <v>3</v>
      </c>
      <c r="I275" s="8">
        <f t="shared" si="3"/>
        <v>-3</v>
      </c>
    </row>
    <row r="276">
      <c r="A276" s="1">
        <v>274.0</v>
      </c>
      <c r="B276" s="1" t="s">
        <v>137</v>
      </c>
      <c r="C276" s="1" t="s">
        <v>222</v>
      </c>
      <c r="D276" s="1" t="s">
        <v>355</v>
      </c>
      <c r="E276" s="1">
        <v>9.0</v>
      </c>
      <c r="F276" s="7">
        <v>7.46131253242492E15</v>
      </c>
      <c r="G276" s="1">
        <v>8.0</v>
      </c>
      <c r="H276" s="8">
        <f t="shared" si="2"/>
        <v>1</v>
      </c>
      <c r="I276" s="8">
        <f t="shared" si="3"/>
        <v>1</v>
      </c>
    </row>
    <row r="277">
      <c r="A277" s="1">
        <v>275.0</v>
      </c>
      <c r="B277" s="1" t="s">
        <v>139</v>
      </c>
      <c r="C277" s="1" t="s">
        <v>222</v>
      </c>
      <c r="D277" s="1" t="s">
        <v>356</v>
      </c>
      <c r="E277" s="1">
        <v>3.0</v>
      </c>
      <c r="F277" s="7">
        <v>6.89566445350647E14</v>
      </c>
      <c r="G277" s="1">
        <v>6.0</v>
      </c>
      <c r="H277" s="8">
        <f t="shared" si="2"/>
        <v>3</v>
      </c>
      <c r="I277" s="8">
        <f t="shared" si="3"/>
        <v>-3</v>
      </c>
    </row>
    <row r="278">
      <c r="A278" s="1">
        <v>276.0</v>
      </c>
      <c r="B278" s="1" t="s">
        <v>141</v>
      </c>
      <c r="C278" s="1" t="s">
        <v>222</v>
      </c>
      <c r="D278" s="1" t="s">
        <v>357</v>
      </c>
      <c r="E278" s="1">
        <v>2.0</v>
      </c>
      <c r="F278" s="7">
        <v>6.43208980560302E15</v>
      </c>
      <c r="G278" s="1">
        <v>4.0</v>
      </c>
      <c r="H278" s="8">
        <f t="shared" si="2"/>
        <v>2</v>
      </c>
      <c r="I278" s="8">
        <f t="shared" si="3"/>
        <v>-2</v>
      </c>
    </row>
    <row r="279">
      <c r="A279" s="1">
        <v>277.0</v>
      </c>
      <c r="B279" s="1" t="s">
        <v>143</v>
      </c>
      <c r="C279" s="1" t="s">
        <v>222</v>
      </c>
      <c r="D279" s="1" t="s">
        <v>358</v>
      </c>
      <c r="E279" s="1">
        <v>0.0</v>
      </c>
      <c r="F279" s="7">
        <v>5.93441915512085E14</v>
      </c>
      <c r="G279" s="1">
        <v>0.0</v>
      </c>
      <c r="H279" s="8">
        <f t="shared" si="2"/>
        <v>0</v>
      </c>
      <c r="I279" s="8">
        <f t="shared" si="3"/>
        <v>0</v>
      </c>
    </row>
    <row r="280">
      <c r="A280" s="1">
        <v>278.0</v>
      </c>
      <c r="B280" s="1" t="s">
        <v>145</v>
      </c>
      <c r="C280" s="1" t="s">
        <v>222</v>
      </c>
      <c r="D280" s="1" t="s">
        <v>359</v>
      </c>
      <c r="E280" s="1">
        <v>0.0</v>
      </c>
      <c r="F280" s="7">
        <v>5.90109181404113E15</v>
      </c>
      <c r="G280" s="1">
        <v>0.0</v>
      </c>
      <c r="H280" s="8">
        <f t="shared" si="2"/>
        <v>0</v>
      </c>
      <c r="I280" s="8">
        <f t="shared" si="3"/>
        <v>0</v>
      </c>
    </row>
    <row r="281">
      <c r="A281" s="1">
        <v>279.0</v>
      </c>
      <c r="B281" s="1" t="s">
        <v>147</v>
      </c>
      <c r="C281" s="1" t="s">
        <v>222</v>
      </c>
      <c r="D281" s="1" t="s">
        <v>360</v>
      </c>
      <c r="E281" s="1">
        <v>4.0</v>
      </c>
      <c r="F281" s="7">
        <v>6.46992993354797E15</v>
      </c>
      <c r="G281" s="1">
        <v>6.0</v>
      </c>
      <c r="H281" s="8">
        <f t="shared" si="2"/>
        <v>2</v>
      </c>
      <c r="I281" s="8">
        <f t="shared" si="3"/>
        <v>-2</v>
      </c>
    </row>
    <row r="282">
      <c r="A282" s="1">
        <v>280.0</v>
      </c>
      <c r="B282" s="1" t="s">
        <v>149</v>
      </c>
      <c r="C282" s="1" t="s">
        <v>222</v>
      </c>
      <c r="D282" s="1" t="s">
        <v>361</v>
      </c>
      <c r="E282" s="1">
        <v>6.0</v>
      </c>
      <c r="F282" s="7">
        <v>6.41762518882751E15</v>
      </c>
      <c r="G282" s="1">
        <v>4.0</v>
      </c>
      <c r="H282" s="8">
        <f t="shared" si="2"/>
        <v>2</v>
      </c>
      <c r="I282" s="8">
        <f t="shared" si="3"/>
        <v>2</v>
      </c>
    </row>
    <row r="283">
      <c r="A283" s="1">
        <v>281.0</v>
      </c>
      <c r="B283" s="1" t="s">
        <v>151</v>
      </c>
      <c r="C283" s="1" t="s">
        <v>222</v>
      </c>
      <c r="D283" s="1" t="s">
        <v>362</v>
      </c>
      <c r="E283" s="1">
        <v>8.0</v>
      </c>
      <c r="F283" s="7">
        <v>7.05758142471313E15</v>
      </c>
      <c r="G283" s="1">
        <v>8.0</v>
      </c>
      <c r="H283" s="8">
        <f t="shared" si="2"/>
        <v>0</v>
      </c>
      <c r="I283" s="8">
        <f t="shared" si="3"/>
        <v>0</v>
      </c>
    </row>
    <row r="284">
      <c r="A284" s="1">
        <v>282.0</v>
      </c>
      <c r="B284" s="1" t="s">
        <v>153</v>
      </c>
      <c r="C284" s="1" t="s">
        <v>222</v>
      </c>
      <c r="D284" s="1" t="s">
        <v>363</v>
      </c>
      <c r="E284" s="1">
        <v>5.0</v>
      </c>
      <c r="F284" s="7">
        <v>6.57031869888305E15</v>
      </c>
      <c r="G284" s="1">
        <v>6.0</v>
      </c>
      <c r="H284" s="8">
        <f t="shared" si="2"/>
        <v>1</v>
      </c>
      <c r="I284" s="8">
        <f t="shared" si="3"/>
        <v>-1</v>
      </c>
    </row>
    <row r="285">
      <c r="A285" s="1">
        <v>283.0</v>
      </c>
      <c r="B285" s="1" t="s">
        <v>155</v>
      </c>
      <c r="C285" s="1" t="s">
        <v>222</v>
      </c>
      <c r="D285" s="1" t="s">
        <v>364</v>
      </c>
      <c r="E285" s="1">
        <v>0.0</v>
      </c>
      <c r="F285" s="7">
        <v>5.95544052124023E15</v>
      </c>
      <c r="G285" s="1">
        <v>0.0</v>
      </c>
      <c r="H285" s="8">
        <f t="shared" si="2"/>
        <v>0</v>
      </c>
      <c r="I285" s="8">
        <f t="shared" si="3"/>
        <v>0</v>
      </c>
    </row>
  </sheetData>
  <drawing r:id="rId1"/>
</worksheet>
</file>