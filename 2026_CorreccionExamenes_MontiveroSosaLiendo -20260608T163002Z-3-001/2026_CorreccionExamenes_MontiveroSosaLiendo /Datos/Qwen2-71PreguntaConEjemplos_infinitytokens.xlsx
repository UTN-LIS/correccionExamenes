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wen2-71PreguntaConEjemplos_inf" sheetId="1" r:id="rId5"/>
  </sheets>
  <definedNames/>
  <calcPr/>
</workbook>
</file>

<file path=xl/sharedStrings.xml><?xml version="1.0" encoding="utf-8"?>
<sst xmlns="http://schemas.openxmlformats.org/spreadsheetml/2006/main" count="253" uniqueCount="163">
  <si>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</si>
  <si>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</si>
  <si>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</si>
  <si>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</si>
  <si>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</si>
  <si>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</si>
  <si>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</si>
  <si>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</si>
  <si>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</si>
  <si>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</si>
  <si>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</si>
  <si>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</si>
  <si>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</si>
  <si>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</si>
  <si>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['Eres un profesor experto en evaluación académica. Tu tarea es corregir respuestas de estudiantes comparándolas con ejemplos de correcciones reales. Proporciona una breve justificación de la nota indicando los conceptos correctamente mencionados, los errores detectados y los conceptos importantes que faltan. Además,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'Ejemplos de corrección: Respuesta del estudiante: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devuelve una función es lo mismo que se esperaba según la lógica definida del software. También pueden utilizarse para comprobar que el resultado de un método no es nulo o para verificar condiciones verdaderas o falsas mediante distintas aserciones. Son importantes porque constituyen el mecanismo que permite comprobar automáticamente que el código se comporta según lo esperado. Evaluación: Justificación: La respuesta explica correctamente qué son las aserciones, cómo se utilizan dentro de los tests y por qué son importantes para verificar el comportamiento del software. Además, proporciona ejemplos concretos de uso, como la comparación de valores, la comprobación de valores nulos y la validación de condiciones booleanas. Aunque la explicación es sólida y técnicamente correcta, podría ampliarse mencionando otros tipos de aserciones, como la verificación de excepciones o su papel dentro de metodologías de desarrollo guiado por pruebas. Por ello, no alcanza la puntuación máxima  Nota: 9. Respuesta del estudiante: Las assertions se pueden usar en los test para validar y comparar objetos o valores. Esto es importante porque, si una aserción falla, el test también falla. Esto ayuda a detectar errores en el código y a comprender mejor el comportamiento del programa. Evaluación: Justificación: La respuesta identifica correctamente que las aserciones sirven para comparar valores u objetos y que un fallo en una aserción provoca el fallo del test. Sin embargo, la explicación es breve y superficial. No desarrolla adecuadamente cómo las aserciones verifican que el comportamiento real del código coincida con el esperado ni aporta ejemplos concretos de uso. La comprensión básica es correcta, pero faltan detalles relevantes para una evaluación más alta Nota: 6. Respuesta del estudiante: Se pueden utilizar por ejemplo cuando un campo no puede ser nulo, poniendo @NotNull para evitar campos vacíos y generar un error cuando no se cumple la condición. Evaluación: Justificación: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relación con el concepto evaluado es muy limitada, por lo que la calificación es baja Nota: 2.', 'Pregunta: Describe cómo se pueden utilizar las aserciones en los tests y por qué son importantes.']</t>
  </si>
  <si>
    <t>Evaluación: Justificación: La respuesta intenta explicar el uso de las aserciones en los tests, pero contiene varios errores y falta información crucial. Menciona que las aserciones se usan para ejecutar los tests, pero esto no es exacto; las aserciones son herramientas para verificar el comportamiento del código, no para ejecutar los tests. No se menciona que se deben incluir en el código bajo prueba y que se usan para verificar condiciones específicas (como que un valor sea cierto o falso, que un objeto no sea nulo, etc.). La explicación carece de detalles técnicos importantes y no se enfoca en la importancia de las aserciones para verificar el comportamiento correcto del software.
Nota: 4
Se recomienda que la respuesta incluya información sobre cómo se añaden aserciones en el código, qué tipo de comprobaciones se pueden hacer (por ejemplo, comprobaciones de valores, de tipos, de excepciones), y cómo estas aserciones ayudan a garantizar que el código funcione correctamente y cumpla con los requisitos especificados.</t>
  </si>
  <si>
    <t>Respuesta: Las aserciones en el contexto del software, son muy relevantes para cubrir el codigo y evitar excepciones y errores que provocarian si no son revisados con este metodo asertivo.</t>
  </si>
  <si>
    <t>Evaluación: 
Justificación: La respuesta comienza identificando correctamente que las aserciones son importantes para prevenir excepciones y errores en el código. Sin embargo, la explicación es muy general y no aborda de manera precisa cómo se utilizan las aserciones en los tests ni cuál es su función específica para verificar el comportamiento del software.
Se menciona que las aserciones "cubren el código", pero esto no es precisamente correcto. Las aserciones se usan para verificar condiciones específicas dentro del código, no para cubrirlo. Además, no se proporcionan ejemplos de cómo se utilizan las aserciones en los tests, como comparaciones de valores, comprobaciones de excepciones, o verificaciones de estados del sistema. La respuesta carece de profundidad técnica y no explica el valor añadido que aportan las aserciones en el proceso de pruebas.
Nota: 4
Esta calificación refleja que aunque hay algunos elementos correctos, la respuesta carece de detalle técnico necesario para entender completamente el concepto de aserciones en pruebas de software.</t>
  </si>
  <si>
    <t>Respuesta: Las aserciones en los test son importantes ya que son los que nos dan la confirmación de que los tests están bien hechos y desarrollados y consiguen abarcar todas o la mayoria de los posibles errores de neustros test y codigo de proyecto.</t>
  </si>
  <si>
    <t>Evaluación: 
Justificación: La respuesta intenta explicar la importancia de las aserciones en los tests, sin embargo, contiene varios errores y carencias en la explicación.
- **Errores**: 
  - La respuesta mezcla conceptos. Menciona "las aserciones en los test" como si fueran una especie de confirmación sobre la calidad de los tests, lo cual es incorrecto. Las aserciones son herramientas específicas para verificar el comportamiento del código durante los tests, no un indicador de la calidad general de los tests.
  - Falta una explicación clara sobre cómo se utilizan las aserciones en los tests. 
  - No se mencionan ejemplos concretos de cómo se pueden utilizar las aserciones para verificar el comportamiento del código.
- **Conceptos importantes que faltan**:
  - Explicar qué son las aserciones (métodos que permiten comprobar la validez de un dato o de una variable).
  - Describir cómo se utilizan dentro de los tests (por ejemplo, para verificar que el resultado de una función es el esperado, o para comprobar que un valor no es nulo).
  - Explicar la importancia de las aserciones (verificar que el código se comporta como se espera, ayudar a detectar errores temprano en el proceso de desarrollo).
- **Precisión conceptual y claridad de la explicación**: La respuesta es confusa y no transmite correctamente la idea de cómo se utilizan las aserciones ni su importancia.
Nota: 3
La respuesta intenta tocar temas relevantes, pero la falta de precisión y la confusión en los conceptos hacen que sea difícil entender realmente lo que se quiere decir sobre las aserciones y su importancia en los tests.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</si>
  <si>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</si>
  <si>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Justificación: La respuesta intenta explicar el propósito de las aserciones en los tests, pero presenta varios errores y falta información crucial. 
- **Errores**: 
  - Se describe erróneamente las aserciones como "herramientas de test que te dicen cuales son funcionalidades correctas y cuales no". Las aserciones no evalúan directamente las funcionalidades del software, sino que se utilizan para verificar el estado interno del software (por ejemplo, que un método devuelva un valor esperado).
  - Se menciona que "si por ejemplo tienes unos test con una cobertura del 90% sabes que la mayoria se estan utilizando", lo cual es incorrecto. La cobertura del código solo indica qué partes del código han sido ejecutadas durante las pruebas, pero no garantiza que las pruebas sean correctas.
- **Falta de información**:
  - No se explican cómo se utilizan las aserciones en los tests (por ejemplo, con `assertTrue`, `assertNull`, etc.).
  - Falta la importancia de las aserciones para verificar que el código se comporta según lo esperado.
  - No se mencionan ejemplos concretos de cómo se podrían usar las aserciones.
- **Terminología incorrecta**:
  - Se usa "validador" en lugar de "assertión", lo cual es incorrecto.
Por estas razones, la respuesta no es precisa ni completa.
Nota: 4.</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</si>
  <si>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</si>
  <si>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Justificación: La respuesta contiene algunos elementos correctos, como la idea de que las aserciones se usan para verificar si un test funciona correctamente (aunque la forma en que se describe es inexacta). Sin embargo, hay varios errores y falta de información relevante:
1. **Precisión Conceptual**: El estudiante confunde las aserciones con la lógica de los tests en sí, no con la herramienta que usan para verificar la lógica de los tests. Las aserciones no "devuelven un false" sino que se usan para verificar la condición.
2. **Complejidad de la Respuesta**: Falta una explicación clara sobre cómo se utilizan las aserciones en los tests. No se menciona que se usan para verificar condiciones específicas, como la igualdad de valores, la nulidad, la excepción, etc.
3. **Uso Correcto de Terminología**: Se utiliza la terminología incorrecta ("dichas aserciones") y falta el uso de términos técnicos como "assertTrue", "assertNull", "assertEquals", etc., que son cruciales para entender el uso de las aserciones.
4. **Claridad de la Explicación**: La explicación es confusa y no proporciona un ejemplo claro de cómo se usan las aserciones en un test. Falta la parte sobre la importancia de las aserciones para detectar errores y asegurar que el código funcione como se espera.
**Nota:** 4
Esta calificación refleja que aunque el estudiante tiene una comprensión básica, la respuesta carece de detalles técnicos necesarios y la estructura de la explicación es confusa. Se recomienda que el estudiante revise cómo se utilizan las aserciones en la práctica y practique escribiendo ejemplos de aserciones en tests.</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</si>
  <si>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</si>
  <si>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{'response': 'respuesta no obtenida'}</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</si>
  <si>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</si>
  <si>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Justificación: La respuesta contiene elementos correctos sobre el uso de aserciones en pruebas, especialmente al referirse a la arquitectura AAA y mencionar funciones específicas como `assertEquals`, `assertTrue` y `assertFalse`. Sin embargo, falta una explicación más detallada de cómo se utilizan las aserciones en el contexto de los tests y se omite la importancia fundamental de verificar que el comportamiento del código coincida con lo esperado.
Se menciona correctamente que las aserciones se usan en la fase "Assert" del AAA, pero se podría expandir más sobre el proceso completo de la arquitectura y cómo las aserciones se integran en cada una de sus partes. Además, aunque se indica que son importantes para mantener la integridad de los datos, sería beneficioso aclarar que su principal propósito es garantizar que el código funcione correctamente y detectar errores temprano en el ciclo de desarrollo.
Nota: 7
Esta calificación refleja que la respuesta tiene una buena base y comprende algunos aspectos clave, pero carece de profundidad y claridad en algunos puntos importantes del tema.</t>
  </si>
  <si>
    <t>Respuesta: las aserciones permiten validar que el test haya pasado o no despues de haber declarado las variables con arrange y ejecutarlas con act, y assert valida que el test haya sido pasado con éxito, que es lo que buscamos</t>
  </si>
  <si>
    <t>Evaluación:
Justificación: La respuesta contiene algunos elementos correctos, como la idea de que las aserciones se usan para validar si un test ha pasado o no. Sin embargo, hay varios errores y falta información crucial. La respuesta confunde el uso de aserciones con la estructura Arrange-Act-Assert (AAA) de los tests, aunque no se especifica correctamente. Asimismo, no se explica qué son las aserciones ni cómo se utilizan para verificar que el comportamiento del código sea correcto.
Los errores principales incluyen:
1. Confusión entre el propósito de las aserciones y la estructura AAA de los tests.
2. Falta de explicación sobre qué son las aserciones y cómo se utilizan específicamente.
3. Falta de ejemplos concretos de cómo se implementan las aserciones.
4. Falta de información sobre la importancia de las aserciones en el proceso de pruebas.
Aunque hay algunos elementos correctos, la respuesta carece de profundidad y precisión necesarias para una evaluación adecuada.
Nota: 4.</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</si>
  <si>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</si>
  <si>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Justificación: La respuesta identifica correctamente que las aserciones miden si el resultado obtenido coincide con el resultado esperado y que un fallo en una aserción hace que el test falle. Sin embargo, la explicación es bastante básica y no profundiza en cómo se utilizan las aserciones en los tests ni en la importancia de verificar que el comportamiento del código coincide con lo esperado. Falta información sobre el uso específico de aserciones en pruebas, como la comparación de valores, comprobaciones de excepciones o la verificación de condiciones booleanas. La terminología está bien utilizada, pero la explicación es insuficiente para obtener una buena calificación.
Nota: 5
Esta calificación refleja que la respuesta tiene elementos correctos pero carece de profundidad y detalles necesarios para una explicación completa y precisa del tema.</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</si>
  <si>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</si>
  <si>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Justificación: La respuesta comienza correctamente identificando que las aserciones son herramientas de validación, pero luego se desvía del tema principal, confundiendo su uso en pruebas de software con simplemente "validaciones" en general. La explicación no menciona explícitamente que se usan en los tests, ni cómo se utilizan para verificar el comportamiento del código. Aunque se indica que las aserciones son útiles para clases, métodos y ramas, esto no se relaciona directamente con el uso en pruebas de software. La importancia de las aserciones para verificar que el código funcione correctamente según lo esperado tampoco está claramente expresada.
Nota: 4
La respuesta tiene elementos correctos pero carece de profundidad y claridad en la explicación. Es necesario aclarar que las aserciones se usan específicamente en pruebas de software, cómo se implementan y por qué son importantes para verificar el comportamiento del código.</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</si>
  <si>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</si>
  <si>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Justificación: La respuesta reconoce que las aserciones se utilizan para verificar si una condición es verdadera y menciona el uso de `AssertTrue` como un ejemplo. También señala que son importantes para optimizar el desarrollo y la verificación de tests. Sin embargo, la explicación es bastante general y no se profundiza en los detalles técnicos sobre cómo se utilizan las aserciones dentro de los tests ni en la importancia de verificar que el resultado real coincide con el esperado. Falta también aclarar que las aserciones se ejecutan durante el proceso de prueba y su propósito es detener la ejecución si alguna condición no se cumple.
Calificación: 5
La respuesta tiene elementos correctos pero carece de detalles técnicos importantes y no aborda completamente la pregunta. Se recomienda que el estudiante incluya información sobre cómo se usan aserciones específicas en pruebas (por ejemplo, `assertTrue`, `assertEquals`, etc.), cómo estas aserciones ayudan a verificar que el código se comporta como se espera y la importancia de este proceso en el desarrollo de software de alta calidad.</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</si>
  <si>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</si>
  <si>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Justificación: La respuesta identifica correctamente que las aserciones se utilizan para validar y comparar objetos o valores, y que si una aserción falla, el test también fallará. Sin embargo, la explicación es bastante limitada y no se profundiza en cómo se utilizan las aserciones dentro de los tests ni en por qué son importantes. Falta aclarar que las aserciones permiten verificar que el resultado de una ejecución de código coincida con lo esperado, y cómo esto es crucial para asegurar la calidad del software. La comprensión básica es correcta, pero falta una explicación más detallada y completa.
Nota: 5.</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</si>
  <si>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</si>
  <si>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Justificación
La respuesta tiene elementos correctos, pero falta profundizar en varios aspectos importantes y hay algunos errores menores. 
Los conceptos correctamente mencionados incluyen:
- Las aserciones son importantes en la especificación de pruebas.
- Existen múltiples tipos de aserciones que pueden evaluarse para diferentes tipos de datos (enteros, nulos, arrays).
- Las aserciones son esenciales en el desarrollo de pruebas.
Los errores detectados son:
- La frase "Las aserciones en los test es un apartado fundamental" es incorrecta, ya que las aserciones no son un apartado sino una herramienta.
- La aserción `assertEqual` no es comúnmente usada para "filtrar" si el dato es el esperado, sino para verificar si dos valores son iguales. La frase "nos permite especificar que es lo que esperamos recibir de la entrada de nuestro metodo o prueba" no es precisa.
- Falta una explicación clara de cómo se utilizan las aserciones para verificar que el resultado de un método sea el esperado según la lógica del software.
Conceptos importantes que faltan:
- Un ejemplo práctico de cómo se utiliza una aserción en un test (por ejemplo, `assertTrue`, `assertEquals`, etc.).
- El propósito de las aserciones en el contexto de la verificación automática del comportamiento del código.
- La importancia de las aserciones en metodologías de desarrollo guiado por pruebas.
Nota: 7
Esta calificación refleja que la respuesta contiene información relevante y una comprensión básica correcta, pero carece de detalles específicos y ejemplos prácticos, lo que la sitúa en un nivel intermedio entre lo correcto y lo incompleto.</t>
  </si>
  <si>
    <t>Respuesta: Los assert sirven para comprobar lo que devuelve o hacen las funciones, son unos de los pilares para poder hacer los test en el TDD.</t>
  </si>
  <si>
    <t>Evaluación: Justificación: La respuesta reconoce correctamente que las aserciones se utilizan para comprobar el resultado de las funciones y que forman parte de los fundamentos de la programación de prueba dirigida (TDD). Sin embargo, la explicación es bastante breve y no proporciona detalles sobre cómo se utilizan las aserciones en los tests ni por qué son importantes. Falta una descripción más detallada de cómo se implementan las aserciones en el código y cómo ayudan a verificar que el código se comporta según lo esperado. Además, no se mencionan ejemplos de aserciones específicas o sus beneficios en el proceso de desarrollo. 
Nota: 5.</t>
  </si>
  <si>
    <t>Respuesta: Las aserciones en los tests sirven para comparar un resultado, en estas se introduce un resultado esperado y un resultado actual, esto es importante para comparar resultados y mejorar el codigo o los tests en base a esto.</t>
  </si>
  <si>
    <t>Evaluación:
Justificación: La respuesta intenta describir el uso de las aserciones en los tests, pero contiene varios errores y falta información crucial. 
- **Errores**: 
  - El estudiante confunde las aserciones con el proceso de comparación de resultados en general, en lugar de entenderlas como un mecanismo específico para verificar el comportamiento del código durante las pruebas.
  - Falta la especificación de cómo se introducen los resultados esperados y actuales en las aserciones (por ejemplo, a través de métodos como `assertTrue`, `assertEquals`, etc.).
  - No se menciona que las aserciones permiten detectar errores en el código al fallar.
- **Conceptos importantes que faltan**:
  - La explicación no menciona que las aserciones se utilizan dentro de los tests para verificar que el comportamiento del código coincide con lo esperado.
  - No se proporcionan ejemplos de cómo se usan aserciones en diferentes situaciones (por ejemplo, comprobaciones de igualdad, comprobaciones de excepciones, etc.).
  - Falta la explicación de la importancia de las aserciones en la detección de errores y la mejora continua del código.
- **Precisión conceptual y claridad de la explicación**: La explicación es confusa y no precisa, ya que mezcla conceptos sin relacionarlos adecuadamente.
Nota: 4
Esta calificación refleja que aunque el estudiante intenta abordar el tema, la respuesta carece de precisión y omite muchos aspectos clave del concepto de aserciones en pruebas de software.</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</si>
  <si>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</si>
  <si>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Justificación: La respuesta intenta relacionar las aserciones con la ejecución ordenada y continua de los tests, aunque no está del todo claro. La idea de que las aserciones ayudan a garantizar que el código se ejecute correctamente hasta el final es parcialmente correcta, pero no se explica cómo se logra esto ni se mencionan los aspectos clave de las aserciones.
- **Precisión conceptual**: Falta una explicación clara de qué son las aserciones y cómo se utilizan específicamente en los tests. La respuesta no menciona términos técnicos relevantes como `assertTrue`, `assertNull`, etc., ni cómo estas aserciones se usan para verificar el comportamiento esperado del código.
- **Completitud de la respuesta**: La respuesta carece de detalles sobre el uso de aserciones en pruebas unitarias. No se proporcionan ejemplos de cómo se implementan aserciones en código de prueba. Además, no se menciona el propósito principal de las aserciones, que es verificar que el código funcione según lo esperado.
- **Uso correcto de la terminología**: La terminología utilizada (como "asegurarnos", "cobertura") es general y no técnica. No se usan términos específicos del ámbito de las pruebas de software, como "pruebas unitarias", "método de prueba", "asignación de valores esperados".
- **Claridad de la explicación**: La explicación es confusa y no directa. Hay varios errores gramaticales y ortográficos que dificultan la comprensión del mensaje.
Nota: 3
La respuesta intenta tocar temas relacionados con las aserciones, pero carece de precisión técnica y falta una explicación clara y detallada de cómo y por qué son importantes.</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</si>
  <si>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</si>
  <si>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Justificación: La respuesta intenta explicar la utilidad de las aserciones en los tests, pero presenta varios errores y carencias.
1. **Definición de Aserciones**: La descripción de las aserciones como "pequeños tests que validan soluciones concretas de las respectivas funciones del código" no es precisa. Las aserciones son declaraciones que se utilizan dentro de un test para verificar que ciertos valores o condiciones sean verdaderas. 
2. **Ejemplo Inexacto**: El ejemplo proporcionado ("al meter un valor x en una función, esta devuelve True") es demasiado genérico y no refleja completamente la funcionalidad de una aserción. Un ejemplo más preciso sería: `assertTrue(miFuncion(x) == y)`.
3. **Importancia de las Aserciones**: La explicación de la importancia de las aserciones es parcialmente correcta, pero falta profundizar sobre cómo contribuyen a verificar que el comportamiento del código coincida con lo esperado. 
4. **Complejidad y Versatilidad**: La respuesta no menciona que las aserciones pueden verificar más que solo valores booleanos (por ejemplo, que un objeto no sea nulo, que dos objetos sean iguales, etc.).
5. **Claridad y Completa**: Aunque se intenta explicar, la explicación no es clara ni completa, y falta la precisión técnica necesaria para entender completamente el concepto.
**Nota: 4/10**
La respuesta muestra un entendimiento básico de las aserciones, pero carece de precisión y profundidad técnica necesarias para evaluar correctamente su utilidad y funcionalidad.</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</si>
  <si>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</si>
  <si>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Justificación: La respuesta identifica correctamente que las aserciones se utilizan en los tests unitarios para comprobar el correcto funcionamiento del código y asegurar que el flujo de datos sea el esperado. Sin embargo, la explicación es bastante general y falta profundizar en cómo exactamente se utilizan las aserciones y cuáles son sus beneficios específicos. Además, hay un error en la ortografía de "corrector" (debería ser "correcto"). A pesar de esto, la idea principal está presente, pero la explicación no es lo suficientemente detallada o técnica como para merecer una puntuación alta.
Nota: 7.
La respuesta podría mejorar al proporcionar ejemplos de cómo se implementan las aserciones, como `assertTrue`, `assertEquals`, etc., y explicar cómo ayudan a identificar problemas en el código. También sería útil mencionar el papel de las aserciones en la detección de errores y en la mejora de la calidad del software.</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</si>
  <si>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</si>
  <si>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Respuesta: Las podemos usar en diferentes modos:
* Para clases.
* Para integraciones.
* Para tets.</t>
  </si>
  <si>
    <t>Evaluación:
Justificación: La respuesta es muy breve y general, sin entrar en los detalles necesarios sobre cómo utilizar las aserciones en los tests ni en qué consisten. Menciona incorrectamente que se usan "para clases" y "para integraciones", lo cual no tiene sentido en el contexto de las aserciones en pruebas de software. La respuesta carece de información relevante sobre el uso específico de las aserciones en tests y su importancia. 
Nota: 2
La respuesta no proporciona información precisa sobre el uso de las aserciones en pruebas de software ni sobre su importancia. La confusión entre aserciones y otras técnicas de validación o pruebas (como pruebas de integración) resta credibilidad a la respuesta.</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</si>
  <si>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</si>
  <si>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Justificación: La respuesta proporciona una descripción general precisa de lo que son las aserciones y cómo se utilizan en el contexto de los tests. Menciona correctamente que las aserciones son declaraciones que verifican si una condición se cumple o no, y que se utilizan dentro de los tests para comprobar que el código fuente funciona como se espera.
Sin embargo, la explicación es un poco simplista y falta profundizar en algunos aspectos clave:
- No se menciona explícitamente que las aserciones son útiles para detectar errores tempranos en el ciclo de desarrollo.
- Falta la explicación sobre cómo las aserciones se pueden utilizar para comprobar diferentes tipos de condiciones más allá de las simples igualdades (por ejemplo, verificaciones de valores nulos, rangos, etc.).
- No se explica el concepto de "assert true" o "assert false", que es fundamental para entender el uso de las aserciones.
- La respuesta no destaca el hecho de que las aserciones deben estar desactivadas en producción para evitar problemas de seguridad.
A pesar de estos puntos, la respuesta es clara y proporciona una buena base para entender el concepto de aserciones en pruebas de software. 
Nota: 7
Esta calificación refleja que la respuesta está cerca de ser completa y precisa, pero necesita un poco más de detalle y profundización en algunos aspectos clave del uso de las aserciones en pruebas de software.</t>
  </si>
  <si>
    <t>Respuesta: Se utilizan en los tests para comprobar trozos pequeños de codigo, y tienen importancia ya que validan el código, aportando seguridad al software.</t>
  </si>
  <si>
    <t>Evaluación: Justificación: La respuesta indica que las aserciones se utilizan para comprobar partes del código en los tests, lo cual es correcto. Sin embargo, la descripción de cómo se utilizan es muy genérica y no proporciona detalles sobre el proceso de validación ni sobre cómo se compara el resultado real con el esperado. Además, aunque se menciona que son importantes para validar el código, no se especifica cuál es el propósito exacto de esta validación ni se aportan ejemplos de situaciones en las que se utilizan las aserciones. La terminología es correcta, pero la explicación carece de profundidad y precisión.
Nota: 4
Esta calificación refleja que la respuesta contiene elementos correctos pero falta información crucial para entender completamente el concepto y su aplicación práctica.</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</si>
  <si>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</si>
  <si>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Justificación: La respuesta reconoce parcialmente la utilidad de las aserciones en pruebas de software, mencionando que se utilizan para comprobar fragmentos de código y que esto es útil para verificar valores. Sin embargo, la explicación es bastante incompleta y hay varios errores y omisiones:
- **Conceptos incorrectos**: La respuesta confunde las aserciones con la validación de datos, lo que se refleja en frases como "comprueban de manera eficiente un valor". Además, se utiliza el término "verde" en el contexto de los tests, lo cual es incorrecto; en pruebas unitarias, un resultado verde generalmente indica un éxito, no una comprobación de null.
- **Falta de precisión**: La respuesta no especifica claramente cómo se utilizan las aserciones para verificar el comportamiento del código. Falta información sobre cómo se relacionan las aserciones con el objetivo principal de las pruebas, que es verificar que el código se comporta como se espera.
- **Ejemplos insuficientes**: Solo se proporciona un ejemplo muy básico de `assertNull()`, que es una aserción simple. Faltarían ejemplos más detallados de cómo se usan aserciones para verificar diferentes tipos de condiciones.
- **Importancia**: La respuesta menciona que las aserciones son importantes, pero no explica por qué. Falta una explicación sobre cómo las aserciones ayudan a detectar errores, mejorar la calidad del código, etc.
Por estas razones, la nota es baja.
Nota: 4.</t>
  </si>
  <si>
    <t>Respuesta: assert.equals sirve para introducir valores en los parámetros a la hora de hacer tests</t>
  </si>
  <si>
    <t>Evaluación: Justificación: La respuesta contiene un error significativo ya que `assert.equals` no es una función válida en Java. En lugar de eso, se debe usar `assertEquals` para verificar si dos valores son iguales. Además, la respuesta es incompleta y no proporciona una descripción precisa de cómo se utilizan las aserciones en los tests ni sus importancias.
Se debe aclarar que las aserciones se utilizan dentro de los tests para verificar que el resultado de un método sea igual al resultado esperado. Por ejemplo, `assertEquals(valorEsperado, valorObtenido)` comprueba que ambos valores sean iguales. También se pueden utilizar para verificar condiciones booleanas, como `assertTrue(condicion)` para asegurarse de que una condición sea verdadera.
Las aserciones son importantes porque permiten comprobar automáticamente que el código se comporta según lo esperado, ayudando a detectar errores temprano en el proceso de desarrollo.
Nota: 4
Esta calificación refleja que aunque hay algunos elementos correctos (como la idea de comparar valores), la respuesta es insuficiente en términos de precisión y completitud. Se necesita una explicación más detallada sobre cómo se usan las aserciones y su importancia en la verificación del comportamiento del software.</t>
  </si>
  <si>
    <t>Respuesta: .</t>
  </si>
  <si>
    <t>Evaluación: Justificación: La respuesta proporcionada es incompleta y carece de detalles relevantes sobre cómo se utilizan las aserciones en los tests y sus importancias. No se mencionan ejemplos ni se explica la función principal de las aserciones, como verificar que el comportamiento del código coincida con lo esperado. La respuesta es insuficiente para evaluar adecuadamente el conocimiento del estudiante sobre este tema.
Nota: 3
Justificación detallada:
- Falta una definición clara de qué son las aserciones y cuáles son sus propósitos principales.
- No se proporcionan ejemplos de cómo se utilizan las aserciones en tests, como comparaciones de valores, comprobaciones de excepciones o verificaciones de condiciones booleanas.
- Falta explicar por qué las aserciones son importantes, por ejemplo, en términos de mejora de la calidad del código, facilitación de la depuración y automatización de la validación de resultados.
- La respuesta es demasiado breve y no desarrolla adecuadamente el tema, lo que indica un conocimiento incompleto del concepto.
Para mejorar, el estudiante debería incluir una definición precisa de las aserciones, ejemplos de uso en tests y una explicación de su importancia en el desarrollo de software.</t>
  </si>
  <si>
    <t>Respuesta: Las assertions sirven para realizar comprobaciones entre los resultados obtenidos en el test y los resultados esperados. Estas se utilizan en la parte final de los test, después de la parte de desarrollo.</t>
  </si>
  <si>
    <t>Evaluación: Justificación: La respuesta reconoce parcialmente el propósito de las aserciones, al mencionar que se usan para comparar resultados obtenidos con los esperados. Sin embargo, falta información crucial sobre cómo se implementan y cuándo se deben aplicar durante el proceso de prueba. Además, se comete un error al afirmar que se utilizan "en la parte final de los test", ya que las aserciones generalmente se integran durante todo el proceso de desarrollo y testing, no solo al final.
La explicación es incompleta y presenta un error conceptual importante. Falta información sobre el uso específico de aserciones en diferentes escenarios de prueba, así como su importancia en el proceso de asegurar que el código funcione correctamente.
Nota: 4/10</t>
  </si>
  <si>
    <t>Respuesta: Las aserciones sirven para evaluar concretamente un valor esperado del test ya sea en una comparación de valores, de referencias, booleanas, etc...</t>
  </si>
  <si>
    <t>Evaluación: Justificación: La respuesta identifica correctamente que las aserciones se utilizan para evaluar valores esperados en tests, aunque es bastante breve y general. Menciona que se aplican a comparaciones de valores, referencias y booleanas, pero carece de detalles sobre cómo se implementan específicamente en el código de prueba y por qué son importantes. Falta una explicación más completa sobre el propósito de las aserciones y cómo ayudan a garantizar que el código funcione correctamente.
Nota: 5
La respuesta tiene elementos correctos pero carece de profundidad. Se recomienda que el estudiante explique más detalladamente cómo se usan las aserciones en pruebas (por ejemplo, con `assertTrue`, `assertNull`, etc.) y el impacto que tienen en la calidad del software al asegurar que el comportamiento del código coincida con lo esperado.</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</si>
  <si>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</si>
  <si>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Justificación: La respuesta comienza de manera correcta al mencionar que existen diferentes tipos de aserciones, como `AssertionEquals`, aunque no se detalla cuál es su propósito. Sin embargo, hay varios errores y falta de información significativa:
1. **Precisión Conceptual**: La respuesta confunde aserciones con pruebas unitarias. `AssertionEquals` no es un tipo de aserción, sino que es una aserción específica que verifica si dos valores son iguales. La respuesta no explica claramente qué son las aserciones, cómo se utilizan en los tests ni cuál es su función para verificar resultados esperados.
2. **Completitud de la Respuesta**: Falta una descripción de cómo se utilizan las aserciones en los tests. La respuesta no proporciona ejemplos ni contextos de uso. Además, no se menciona la importancia de las aserciones en la detección de errores o la verificación del comportamiento del software.
3. **Uso Correcto de la Terminología**: La respuesta usa incorrectamente la terminología al referirse a `AssertionEquals` como un "tipo" de aserción. En realidad, es una aserción específica que pertenece a un marco de pruebas como JUnit.
4. **Claro de la Explicación**: La respuesta es confusa y no proporciona una explicación clara de los conceptos. No se hace una conexión clara entre las aserciones y su utilidad en la verificación del comportamiento del software.
Nota: 3
La respuesta no explica correctamente qué son las aserciones, cómo se utilizan en los tests ni cuál es su función para verificar resultados esperados. Falta un contexto y ejemplos de uso que ilustren la importancia de las aserciones en la detección de errores y la verificación del comportamiento del software.</t>
  </si>
  <si>
    <t>Respuesta: Las aserciones son verificaciones de las validaciones de entrada. Un ejemplo podría ser assertionNotNull(actual) / assertionNull(actual) que nos sirve para conocer si el valor de entrada (actual) es nulo o no.</t>
  </si>
  <si>
    <t>Evaluación: Justificación: La respuesta confunde las aserciones con las validaciones de entrada y no explica adecuadamente cómo se utilizan en los tests ni por qué son importantes. Menciona dos métodos, `assertionNotNull` y `assertionNull`, pero estos son nombres propios que no corresponden con los métodos estándar de Java para aserciones. En realidad, en Java, se usan `assertNotBeNull` y `assertNull`. Además, la respuesta carece de contexto sobre el propósito principal de las aserciones en el desarrollo de software y cómo ayudan a garantizar la integridad del código.
Nota: 3
La respuesta tiene elementos correctos en cuanto a la mención de que las aserciones se usan para verificar si un valor es nulo o no, pero falta una explicación más detallada y precisa. La terminología es incorrecta y falta el contexto sobre el uso en pruebas y la importancia de las aserciones en el desarrollo de software.</t>
  </si>
  <si>
    <t>Respuesta: Las aserciones se utilizan para estructurar y validar la forma en al que los tests se realizan. Esto hace que sean mas fiables y que tenga mayor cobertura.</t>
  </si>
  <si>
    <t>Evaluación: Justificación: La respuesta reconoce que las aserciones tienen un papel en la validación de tests, lo cual es correcto. Sin embargo, la explicación es muy general y carece de detalles sobre cómo se utilizan las aserciones específicamente. No se mencionan ejemplos de cómo se implementan ni se explica su importancia para verificar el correcto funcionamiento del software. La respuesta no proporciona una comprensión detallada y completa del tema.
Nota: 4.</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</si>
  <si>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</si>
  <si>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Justificación: La respuesta es bastante precisa y detallada, mencionando correctamente varios tipos de aserciones y sus usos específicos. La explicación sobre la importancia de las aserciones también es correcta, destacando que estas funciones predefinidas aseguran un resultado confiable para la verificación del código. Sin embargo, hay un aspecto que falta en la explicación: la importancia de las aserciones en el contexto de la metodología de desarrollo guiado por pruebas (TDD - Test-Driven Development), y cómo ayudan a identificar problemas temprano en el ciclo de desarrollo.
Nota: 8
La calificación de 8 refleja que la respuesta es generalmente correcta y completa, con una buena precisión en la terminología y una explicación clara. Sin embargo, la falta de mencionar la relevancia de las aserciones en TDD impide que alcance la puntuación máxima.</t>
  </si>
  <si>
    <t>Respuesta: La asserciones en los test son declaraciones dentro de los test que validan el código, es decir es uno de los elemento más importantes de los test ya que son las líneas del código del test que validan o invalidan un test.</t>
  </si>
  <si>
    <t>Evaluación: Justificación: La respuesta comienza con un error ortográfico (aserciones en lugar de asserciones) y presenta una explicación muy simplista y poco precisa sobre las aserciones. Menciona que las aserciones son declaraciones dentro de los tests que validan el código, pero no detalla cómo se utilizan para verificar el comportamiento del software ni por qué son importantes. Falta una explicación clara y completa sobre el propósito de las aserciones y cómo se aplican en el contexto de los tests.
Nota: 4
La respuesta debe incluir información sobre qué son las aserciones, cómo se utilizan para verificar que el código se comporta según lo esperado, y por qué son importantes para detectar errores y asegurar la calidad del software. Además, sería beneficioso proporcionar ejemplos de aserciones comunes y sus usos prácticos.</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</si>
  <si>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</si>
  <si>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Justificación: La respuesta identifica correctamente que las aserciones se utilizan en los tests para especificar valores esperados y comprobar que el código devuelva resultados predecibles. Sin embargo, la explicación es algo confusa y no se explica claramente cómo se usan las aserciones para verificar el correcto funcionamiento del código. Se menciona correctamente el uso de `assertEquals`, pero falta información sobre otros tipos de aserciones y cómo estas pueden ser utilizadas para verificar diferentes aspectos del comportamiento del código.
A pesar de que la idea principal está presente, la explicación es demasiado general y falta detalle técnico para considerarla como una respuesta completa. Falta mencionar el uso de aserciones para verificar condiciones booleanas, comprobar excepciones, y cómo ayudan a detectar errores en el código. 
Nota: 7.5
Esta nota refleja que la respuesta tiene elementos correctos pero necesita mayor precisión y detalle para ser considerada completa.</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</si>
  <si>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</si>
  <si>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Justificación: La respuesta tiene algunos puntos correctos, como la idea de que las aserciones se utilizan para comprobar escenarios y comparar valores, y menciona que el éxito o fracaso del test depende de ellas. Sin embargo, hay varios errores y falta de detalles importantes:
1. **Terminología Incorrecta**: Se usa "assercciones" en lugar de "assertions". El término correcto es "assertions".
2. **Falta de Contexto**: No se proporciona información sobre cómo se utilizan las aserciones específicamente en los tests.
3. **Complejidad Limitada**: La respuesta no explica la importancia de las aserciones en la verificación del comportamiento del software, ni proporciona ejemplos concretos de cómo se utilizan.
4. **Definición Incompleta**: Falta una definición clara de qué son las aserciones y cómo se integran en los tests.
A pesar de que hay elementos correctos, la respuesta es incompleta y carece de profundidad. Por lo tanto, la calificación es baja.
Nota: 5
La respuesta debería incluir más detalles sobre cómo se utilizan las aserciones en los tests, proporcionar ejemplos concretos y explicar por qué son importantes para verificar que el código se comporta según lo esperado.</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</si>
  <si>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</si>
  <si>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Justificación:
La respuesta identifica correctamente algunas aserciones comunes en Java, como `assertEquals`, `assertTrue` y `assertFalse`. Sin embargo, hay varios errores y carencias importantes:
1. **Terminología Incorrecta**: Se usa `assertrue` y `assertfalse` en lugar de `assertTrue` y `assertFalse`. Esto es un error de ortografía y falta de precisión técnica.
2. **Claridad y Complejidad**: La explicación es bastante simple y no proporciona una descripción detallada de cómo se utilizan las aserciones en los tests. Falta un contexto más amplio sobre su importancia y aplicaciones.
3. **Ejemplo Incompleto**: El ejemplo de `asserequals(a+b, 5)` no es correcto. Debería ser `assertEquals(a + b, 5)`.
4. **Uso de `asserttrue` Incorrecto**: El ejemplo `asserttrue(Taiwan.class, country)` no tiene sentido. `assertTrue` se utiliza para verificar si una condición lógica es verdadera, no para verificar si dos objetos son iguales.
5. **Complejidad de la Explicación**: La explicación es demasiado simple y no proporciona una comprensión completa de las aserciones y su importancia en el desarrollo de software.
A pesar de que se identifican algunos conceptos básicos, la respuesta no es completa ni precisa. Por ello, la calificación es baja.
Nota: 4
La respuesta mejora al identificar aserciones comunes, pero necesita mayor precisión en la terminología y una explicación más detallada y completa.</t>
  </si>
  <si>
    <t>Respuesta: Los assertions se pueden utilizar para los test como una declaración para verificar una condición y si la condición es falsa, el test fallará. Es importante por que ayuda a minimizar el código de los tests.</t>
  </si>
  <si>
    <t>Evaluación:
Justificación: La respuesta contiene elementos correctos, como la idea de que las aserciones se utilizan para verificar condiciones en los tests y que si la condición es falsa, el test fallará. Sin embargo, la explicación es incompleta y hay varios errores y falta de detalles significativos.
1. **Precisión Conceptual**: La idea de que las aserciones provocan que el test falte si la condición es falsa es correcta. Sin embargo, se omite mencionar cómo se utilizan específicamente para comprobar que el comportamiento del código coincide con lo esperado.
2. **Complejidad de la Respuesta**: La respuesta es muy corta y general. Falta un desarrollo más detallado sobre cómo se usan las aserciones en los tests y sus beneficios más allá de simplemente minimizar el código.
3. **Uso Correcto de la Terminología**: El uso de la terminología es parcialmente correcto, pero se omite la mención de métodos específicos como `assertTrue`, `assertEquals`, etc., que son esenciales para entender cómo se usan las aserciones.
4. **Claridad de la Explicación**: La explicación es clara en el sentido de que se entiende que las aserciones tienen que ver con los tests, pero carece de profundidad y contexto.
Por estas razones, la calificación es baja.
Nota: 5
Se recomienda que el estudiante desarrolle más la explicación, incluyendo ejemplos de cómo se utilizan las aserciones (como `assertTrue`, `assertEquals`), y explique por qué son importantes para garantizar que el código funcione correctamente y cumpla con las expectativas.</t>
  </si>
  <si>
    <t>Respuesta: Las aserciones son importantes ya que validad los resultados de los tests, al fin y al cabo son los encargados de decir si un test pasa o no. Se utilizan al final del test</t>
  </si>
  <si>
    <t>Evaluación: Justificación: La respuesta reconoce que las aserciones son fundamentales para determinar si un test ha pasado o no, pero la explicación es muy general y carece de profundidad. No se describe cómo se utilizan las aserciones en el código, ni se proporcionan ejemplos de situaciones específicas donde podrían ser útiles. Además, la idea de que se utilicen "al final del test" es imprecisa; las aserciones deben estar presentes en el código durante todo el flujo del test.
Nota: 4
Se espera que la respuesta incluya información sobre cómo implementar aserciones en diferentes escenarios de test, cómo comparar valores esperados con los obtenidos, y por qué estas verificaciones son esenciales para asegurar la calidad del software.</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</si>
  <si>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</si>
  <si>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Justificación: La respuesta tiene elementos correctos, como la idea de que las aserciones pueden usarse para verificar que ciertos métodos funcionen correctamente con valores específicos. Sin embargo, la explicación es bastante superficial y falta información crucial sobre cómo se implementan y utilizan las aserciones en los tests. No se mencionan ejemplos de aserciones más allá de la suma, y no se explica claramente el propósito de las aserciones en términos de garantizar que el código se comporta como se espera.
La respuesta carece de detalles técnicos sobre la sintaxis de las aserciones y cómo se integran en el proceso de prueba. No se mencionan conceptos importantes como el uso de `assertTrue`, `assertEquals` o cualquier otro método específico de aserción. Además, aunque se menciona la escala, la explicación no está clara y no se relaciona directamente con el uso de aserciones.
Nota: 4
Esta calificación refleja que hay algunos conceptos básicos correctos, pero la respuesta carece de profundidad y detalles técnicos necesarios para una explicación completa del uso y la importancia de las aserciones en los tests.</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</si>
  <si>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</si>
  <si>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Justificación: La respuesta menciona que las aserciones permiten comprobar si una condición se cumple, y que en caso contrario el test falla. Sin embargo, la explicación es bastante superficial y falta información crucial sobre cómo se utilizan las aserciones en los tests y sus importancias. Solo menciona un ejemplo generalizado de funciones de aserción (assertEquals, assertTrue), pero no se proporciona contexto ni se ilustra cómo estas funciones se aplican en el contexto de los tests. Además, la respuesta podría mejorar al incluir ejemplos más concretos de cómo las aserciones pueden utilizarse para verificar diferentes aspectos del comportamiento del código.
Nota: 5
Esta calificación refleja que la respuesta contiene elementos correctos, pero carece de profundidad y detalle necesario para una explicación completa y precisa del tema.</t>
  </si>
  <si>
    <t>Respuesta: Son importantes porque se pueden usar para distintas situaciones, ya sea para ver si funcionan, para ver si son iguales, para eliminar o añadir mas.</t>
  </si>
  <si>
    <t>Evaluación:
Justificación: La respuesta intenta abordar la importancia y el uso de las aserciones en los tests, pero contiene varios errores y falta información clave.
- **Errores detectados**: 
  - "Son importantes porque se pueden usar para distintas situaciones" es una afirmación vaga y no precisa.
  - "ya sea para ver si funcionan, para ver si son iguales, para eliminar o añadir más" es incorrecto y poco claro. Las aserciones se usan para verificar condiciones específicas, no para eliminar o añadir elementos.
- **Conceptos importantes que faltan**:
  - No se menciona qué son las aserciones.
  - Falta explicar cómo se utilizan en los tests (por ejemplo, `assertTrue`, `assertEquals`).
  - No se explica la importancia de verificar que el comportamiento real del código coincide con lo esperado.
  - No se proporcionan ejemplos concretos de uso.
La respuesta no proporciona una comprensión clara del concepto y carece de detalles técnicos necesarios para evaluar correctamente el uso de las aserciones en pruebas de software.
Nota: 3.</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</si>
  <si>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</si>
  <si>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Justificación: La respuesta contiene elementos correctos sobre la utilidad y el uso de las aserciones en pruebas de software. Menciona correctamente que las aserciones son utilizadas para verificar el resultado de una función y cita correctamente algunos métodos de aserción como `assertTrue`, `assertFalse` y `assertThrows`. Sin embargo, hay varios errores y falta de detalles significativos:
1. **Claridad y Precisión**: El ejemplo `asserTrue(5, clase.Suma(3,2))` es incorrecto. El primer argumento de `assertTrue` debe ser una expresión booleana, no un número. Debería ser algo como `assertTrue(clase.Suma(3,2) == 5)`.
2. **Complejidad de la Explicación**: La explicación sobre cómo las aserciones funcionan y su importancia es bastante superficial. Falta información sobre cómo se utilizan diferentes tipos de aserciones (por ejemplo, para verificar igualdad, no igualdad, excepciones, etc.) y su importancia en la detección de errores.
3. **Terminología**: Se usa el término `asserTrue` en lugar de `assertTrue`, lo cual es incorrecto.
4. **Ejemplos y Contexto**: Falta un contexto más amplio sobre cómo estas aserciones se integran en el proceso de prueba y cuáles son sus ventajas frente a otros métodos de pruebas.
Por estos motivos, la respuesta no es completa ni precisa en todos los aspectos requeridos.
Nota: 7
Se ha logrado capturar la idea principal de las aserciones y algunos usos básicos, pero falta profundizar en la explicación y corregir los errores terminológicos y de sintaxis.</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</si>
  <si>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</si>
  <si>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Justificación: La respuesta comienza con un concepto correcto sobre la importancia de las aserciones en el código, pero luego se desvía al mencionar etiquetas ficticias como `@AssertEqual`, `@AssertTrue`, `@AssertFalse`, `@AssertNotNull` y `@AssertNull`, que no existen en la programación real. Estas etiquetas no están relacionadas con las aserciones de Java o cualquier otro lenguaje de programación común. 
Aunque el estudiante menciona que las aserciones se usan para comprobar parámetros y verificar si son correctos, no proporciona detalles sobre cómo se usan específicamente en los tests. Falta información sobre el uso de `assert` en Java, por ejemplo `assert variable == valorEsperado;` y cómo se usa en conjunto con `assertTrue` y `assertFalse`. 
La explicación es confusa y no proporciona una comprensión clara de cómo se utilizan las aserciones en los tests ni de su importancia para verificar el comportamiento del software. Por lo tanto, la calificación es baja.
Nota: 4.</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</si>
  <si>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</si>
  <si>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**Justificación:** 
- **Conceptos correctamente mencionados:** La respuesta reconoce que las aserciones se usan para verificar si los datos son correctos y que si no lo son, el test fallará. Menciona correctamente `AssertNotNull`, `AssertEquals` y `AssertNull`, que son métodos de aserción comúnmente utilizados en frameworks de pruebas.
- **Errores detectados:** La explicación es bastante superficial y falta profundizar en cómo se utilizan estas aserciones dentro de los tests. No se proporciona una descripción clara de qué tipo de pruebas se pueden realizar utilizando estas aserciones ni se explica cómo se verifica que los datos introducidos sean correctos.
- **Conceptos importantes que faltan:** Falta explicar el contexto de uso de las aserciones, cómo se integran en el flujo de un test, y cómo se relacionan con la validación de comportamientos esperados. No se menciona que las aserciones sean útiles para probar diferentes escenarios y asegurar que el código funcione como se espera.
**Nota:** 5
Esta calificación refleja que aunque el estudiante ha identificado correctamente algunos métodos de aserción y su propósito general, la explicación es insuficiente y carece de detalles importantes para una comprensión completa del tema.</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</si>
  <si>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</si>
  <si>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**Justificación:** La respuesta tiene varios elementos correctos, pero también presenta algunas confusiones y falta claridad en algunos aspectos. 
- **Conceptos Correctos:** Menciona correctamente que las aserciones se usan para verificar si algo cumple con ciertas condiciones y que, en caso de no cumplirse, provocan un fallo en el test. Admite que las aserciones son importantes para verificar que los valores estén en el rango especificado.
- **Errores Detectados:** 
  - Confunde las aserciones con la lógica de validación de datos (como `@NotNull`).
  - No proporciona un ejemplo claro y preciso de cómo se utilizan las aserciones en los tests.
  - Falta detallar cómo se verifica que el comportamiento del código sea el esperado.
  - No se explica adecuadamente el uso de diferentes tipos de aserciones (por ejemplo, `assertTrue`, `assertNull`, etc.).
- **Conceptos Faltantes:** 
  - Falta explicar el uso específico de funciones como `assertTrue`, `assertNull`, `assertEquals`, entre otras.
  - No se menciona la importancia de las aserciones para la metodología de desarrollo guiado por pruebas (TDD).
  - Falta una explicación clara sobre cómo las aserciones ayudan a verificar que el código se comporta según lo esperado.
**Nota:** 5
Esta calificación refleja que la respuesta contiene elementos correctos pero carece de detalles necesarios y claridad en la explicación.</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</si>
  <si>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</si>
  <si>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Justificación: La respuesta comete varios errores conceptuales. Primero, asocia erróneamente las aserciones con el manejo de entrada de usuario en lugar de su uso en pruebas de software. Segundo, aunque menciona el término `ISNOTNULL`, no explica cómo se utiliza en el contexto de aserciones ni cómo contribuye a la verificación del comportamiento del software. Además, la importancia de las aserciones para evitar que el código falle se describe de manera inexacta y limitada.
Aunque hay un intento de relacionar las aserciones con el manejo de errores, la respuesta carece de precisión y completitud. Falta una explicación clara de cómo se utilizan las aserciones en los tests y su relevancia para verificar que el código funciona correctamente.
Nota: 3.</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</si>
  <si>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</si>
  <si>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Justificación: La respuesta tiene elementos correctos sobre cómo se utilizan las aserciones en los tests, mencionando la estructura AAA (Arrange-Act-Assert). Sin embargo, hay varios errores y falta información importante:
1. **Uso de la Estructura AAA**: La estructura AAA es bien identificada, aunque no se explica claramente cómo se aplica en el contexto de las aserciones.
2. **Función de las Aserciones**: La importancia de las aserciones es correctamente resumida, indicando que si una aserción falla, el test también falla. Sin embargo, se pierde la idea de que estas aserciones verifican si el resultado real coincide con lo esperado.
3. **Tipos de Aserciones**: Menciona algunos tipos de aserciones como `AssertTrue`, `False`, `Null` y `NotNull`. Esto es correcto, pero se pierde el detalle de cómo se usan estos tipos específicamente.
4. **Claridad y Complejidad**: La explicación es un poco confusa y podría ser más clara y detallada. Falta un ejemplo práctico para ilustrar cómo se utilizan las aserciones en un contexto real.
5. **Terminología**: La terminología utilizada es correcta, pero se podría mejorar la precisión y la coherencia.
En resumen, la respuesta tiene elementos correctos pero carece de claridad y detalle, además de confusión en algunos puntos.
Nota: 7
Se podría mejorar añadiendo un ejemplo práctico, explicando más detalladamente cómo se usan diferentes tipos de aserciones y proporcionando más contexto sobre su importancia en el desarrollo de software.</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</si>
  <si>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</si>
  <si>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Justificación: La respuesta intenta explicar el propósito de las aserciones, pero hay varios errores y falta de detalle que reducen significativamente su calidad.
- **Errores y Falta de Detalle**: La respuesta confunde las aserciones con la validación de datos. Menciona que las aserciones "validan los datos dentro del código", pero esto no es exacto. Las aserciones se usan para verificar que las condiciones esperadas se cumplan durante la ejecución del código, no para validar datos específicos.
- **Uso Incorrecto de la Terminología**: El término "desarrollo seguro" no es una expresión técnica comúnmente asociada con las aserciones. Las aserciones ayudan a detectar errores internos, pero no garantizan un desarrollo seguro en sí mismo.
- **Claridad de la Explicación**: La explicación es confusa y no proporciona una descripción clara de cómo se utilizan las aserciones en los tests ni sus beneficios.
- **Conceptos Importantes Faltantes**: Falta una explicación sobre cómo se utilizan las aserciones dentro de los tests (por ejemplo, assertTrue, assertFalse), la importancia de comprobar que el resultado de una función es el esperado, y cómo ayudan a entender el comportamiento del programa.
Nota: 4
La respuesta tiene un punto correcto en que las aserciones pueden ayudar a detectar errores internos, pero carece de detalles técnicos necesarios para una comprensión adecuada del tema. Se necesita una explicación más precisa y detallada sobre el uso de aserciones en pruebas y su importancia en la verificación del comportamiento del software.</t>
  </si>
  <si>
    <t>Respuesta: Las aserciones en los test sirven para que el codigo no influya en los datos, es decir, para que el codigo no pueda cambiar o eliminar cualquier tipo de dato que estamos verificando con los tests</t>
  </si>
  <si>
    <t>Evaluación: Justificación: La respuesta intenta explicar el propósito de las aserciones en los tests, pero presenta varios errores conceptuales. Se afirma que las aserciones evitan que el código cambie o elimine datos durante los tests, lo cual es incorrecto. Las aserciones no garantizan que el código no modifique los datos; en cambio, su función principal es verificar que los datos o los resultados del código sean los esperados. Además, la respuesta no proporciona ejemplos ni detalles sobre cómo se utilizan las aserciones en los tests, ni se menciona la importancia de estas en el proceso de verificación del código.
Nota: 3
La respuesta muestra un entendimiento básico incorrecto del concepto de aserciones y carece de detalles técnicos necesarios para una explicación precisa. Se necesita una corrección significativa para alcanzar una comprensión adecuada del tema.</t>
  </si>
  <si>
    <t>Respuesta: Se pueden utilizar por ejemplo cuando un campo no puede ser nulo, poniendo @NOTNULL para evitar campos que no se rellenen y sean obligatorios, saltando el error correspondiente para solucionarlo.</t>
  </si>
  <si>
    <t>Evaluación: Justificación: La respuesta confunde las anotaciones de validación de datos con las aserciones utilizadas en pruebas de software. Menciona correctamente que un campo no puede ser nulo, pero no explica cómo se usan las aserciones en los tests ni cuál es su función para verificar resultados esperados. La respuesta no proporciona información relevante sobre el uso de aserciones en pruebas y presenta un término incorrecto (@NOTNULL en lugar de @NotNull). La comprensión del concepto es mínima y hay varios errores en la terminología y la precisión.
Nota: 2.</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</si>
  <si>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</si>
  <si>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Justificación: La respuesta reconoce que las aserciones se usan para comparar valores, datos o resultados y proporciona un ejemplo simple de su uso. Sin embargo, falta una explicación más detallada sobre cómo se utilizan específicamente en los tests y por qué son importantes. La respuesta no menciona explícitamente que las aserciones ayudan a verificar que el código se comporta como se espera y no cubre aspectos importantes como la detección de errores, la validación de condiciones booleanas, la verificación de excepciones o su importancia en metodologías de desarrollo guiado por pruebas. Además, aunque indica que son importantes, no se detalla por qué son cruciales para la calidad del software.
Nota: 5.</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</si>
  <si>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</si>
  <si>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Justificación: La respuesta reconoce parcialmente el propósito de las aserciones, mencionando que ayudan a verificar el correcto funcionamiento de las funciones y a comprobar que un programa devuelve los valores esperados bajo ciertas condiciones. Sin embargo, la explicación es bastante superficial y falta información crucial.
- **Conceptos Correctos Mencionados:** 
  - El papel de las aserciones en verificar el correcto funcionamiento de las funciones.
  - La idea de que las aserciones comprueban que el programa devuelve los elementos esperados bajo ciertas condiciones.
- **Errores Detectados:**
  - Falta de detalle sobre cómo se usan las aserciones específicamente en los tests.
  - Falta de ejemplos prácticos de cómo implementar aserciones.
  - Falta de explicación sobre el uso de diferentes tipos de aserciones (por ejemplo, assertTrue, assertFalse, assertArrayEquals, etc.).
  - Falta de contexto sobre por qué las aserciones son importantes para el desarrollo de software.
- **Conceptos Faltantes:**
  - Uso específico de aserciones en tests.
  - Ejemplos concretos de cómo se usan aserciones en pruebas unitarias.
  - Explicación sobre el papel de las aserciones en la detección de errores y la mejora de la calidad del código.
  - Importancia de las aserciones en metodologías de desarrollo guiado por pruebas (TDD).
**Nota:** 4
Esta calificación refleja que la respuesta contiene elementos correctos pero carece de detalles necesarios para una explicación completa y precisa del tema.</t>
  </si>
  <si>
    <t>Respuesta: Las aserciones son comprobadores de datos que devueven valores de tipo bool (verdadero o falso) en los tests. Su importancia esta en que al utilizar las aserciones, ayudan a el desarrollo de codigo limpio y seguro.</t>
  </si>
  <si>
    <t>Evaluación: 
Justificación: La respuesta comienza identificando correctamente que las aserciones devuelven valores booleanos. Sin embargo, la descripción de lo que son las aserciones es bastante simplista y no cubre todos los aspectos necesarios. La importancia de las aserciones está bien identificada, pero la explicación es demasiado general y falta profundizar sobre cómo se utilizan específicamente en los tests y cómo contribuyen a verificar que el código se comporta según lo esperado.
Se menciona que ayudan a desarrollar código limpio y seguro, pero esto es demasiado genérico y no explica en qué consiste un código limpio y seguro en el contexto de las aserciones. Además, no se proporcionan ejemplos de cómo se utilizan las aserciones en tests, como la comparación de valores, comprobación de excepciones o verificación de condiciones booleanas.
Nota: 4.</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</si>
  <si>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</si>
  <si>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Justificación: La respuesta intenta explicar cómo funcionan las aserciones, mencionando que se usan para verificar si algo es verdadero o igual. Sin embargo, hay varios errores y falta información crucial:
1. **Terminología incorrecta**: Se usa "assertionsEqual" y "assertionsTrue" como si fueran términos específicos. En realidad, estos no son nombres de métodos estándar. El término correcto es "assertTrue" y "assertEquals", aunque el estudiante parece entender el concepto general.
2. **Explicación incompleta**: La explicación no es muy clara y no proporciona un ejemplo completo de cómo se usan estas aserciones en un contexto de prueba. Falta la parte sobre cómo se utilizan para verificar el comportamiento del código.
3. **Falta de contexto**: No se menciona que las aserciones se usan dentro de pruebas unitarias para verificar el comportamiento del código. 
4. **Uso inexacto de la lógica**: La parte final de la respuesta es correcta en cuanto a la lógica, pero se puede mejorar la claridad y precisión.
A pesar de esto, el estudiante muestra un entendimiento básico del concepto de aserciones y sus usos, pero necesitaría una explicación más detallada y precisa.
Nota: 5
La calificación se basa en que el estudiante tiene una idea general correcta, pero falta precisión en el lenguaje y falta información crucial para una explicación completa.</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</si>
  <si>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</si>
  <si>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Justificación:
La respuesta comienza confundiendo las aserciones de pruebas con anotaciones de validación de datos, lo cual es un error significativo. Menciona correctamente que las aserciones se utilizan para verificar si ciertas condiciones son verdaderas o falsas, pero no explica cómo se aplican en el contexto de los tests de software.
El estudiante menciona correctamente que las aserciones son importantes porque son las que determinan si un test pasa o falla, pero no proporciona una explicación detallada de cómo esto ocurre. Falta una descripción clara de cómo se utilizan las aserciones para verificar que el código se comporta como se espera.
Además, introduce varios ejemplos de anotaciones de validación (@NotNull, @Email, @MaxNum), lo cual es erróneo en este contexto, ya que estas son herramientas de validación de datos, no aserciones.
En resumen, aunque hay algunos elementos correctos, la respuesta es confusa y no proporciona una explicación precisa sobre cómo se utilizan las aserciones en los tests y su importancia.
Nota: 4
La respuesta contiene algunos conceptos correctos (importancia de las aserciones para los tests), pero carece de precisión y detalle en la explicación. Hay confusión entre aserciones y anotaciones de validación, y falta una descripción clara de cómo se utilizan las aserciones para verificar el comportamiento del código.</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</si>
  <si>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</si>
  <si>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Justificación: La respuesta comienza bien al mencionar que las aserciones permiten comprobar la validez de una variable/dato, aunque falta especificar que esto se realiza generalmente durante las pruebas unitarias. La parte sobre su importancia es incorrecta ya que dice que "son importantes porque se implementan dentro de los test", cuando en realidad son los tests que usan aserciones para evaluar si el código funciona correctamente.
El estudiante menciona que las aserciones "comprueban los métodos codificados", pero esta descripción es demasiado genérica y no proporciona detalles sobre cómo se realizan estas comprobaciones ni qué tipo de resultados se esperan verificar. Falta un enfoque más técnico y específico, como por ejemplo, la validación de valores esperados versus valores obtenidos, comprobación de condiciones booleanas, etc.
Además, la respuesta carece de claridad y precisión en varios aspectos, especialmente en la estructura y la coherencia de la información proporcionada. La terminología está mal utilizada, ya que se mezclan términos como "asserts" (correcto) y "asserts" (incorrecto).
Nota: 4
La respuesta tiene elementos correctos pero carece de profundidad técnica y claridad. Es necesario mejorar la explicación sobre cómo se utilizan las aserciones en los tests y por qué son importantes para garantizar que el código funcione correctamente.</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</si>
  <si>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</si>
  <si>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Justificación: La respuesta contiene algunos elementos correctos, como la idea de que las aserciones verifican condiciones y que estas son cruciales para determinar el éxito de un test. Sin embargo, hay varios aspectos que faltan para que la explicación sea completa y técnica.
1. **Precisión Conceptual**: La respuesta indica correctamente que las aserciones verifican condiciones (verdadero/falso), pero no especifica que esto se hace dentro de un contexto de pruebas unitarias. Falta explicar que las aserciones son herramientas de programación que se utilizan específicamente en pruebas de software.
2. **Completitud de la Respuesta**: La respuesta menciona que las aserciones se usan para comparar valores, pero no proporciona ejemplos concretos o detalla cómo se realizan estas comparaciones (por ejemplo, usando `assertEquals`, `assertTrue`, etc.). Además, no se menciona el uso de aserciones para verificar excepciones, que es otro aspecto importante.
3. **Uso Correcto de la Terminología**: Se utiliza correctamente la palabra "aserción", pero la terminología relacionada con las pruebas (como "test") está un poco descontextualizada.
4. **Claridad de la Explicación**: La explicación es clara en el sentido de que se entiende que las aserciones son útiles para validar resultados, pero falta profundizar en el proceso y en la importancia específica de cada tipo de aserción.
Por estas razones, la nota se sitúa en 7, ya que hay elementos correctos pero la explicación no es exhaustiva y falta información relevante.
Nota: 7</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</si>
  <si>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</si>
  <si>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**Justificación:** La respuesta comienza identificando correctamente el uso de `Assert.Equals()` para verificar si dos valores son iguales. Sin embargo, la descripción es bastante superficial y falta información crucial sobre otros tipos de aserciones y su uso en pruebas. Además, hay un error de ortografía en "Asssert.Equals()" (debería ser "Assert.Equals()"). La afirmación de que los asserts son "el motor básico del test" es correcta, pero se necesita más detalle para entender exactamente cómo y por qué son importantes.
**Nota:** 5
---
**Calificación detallada:**
- **Conceptualización:** La respuesta menciona correctamente un tipo de aserción (`Assert.Equals()`), lo cual es un punto positivo. Sin embargo, falta información sobre otros tipos de aserciones y cómo se usan en pruebas de software.
- **Complejidad de la respuesta:** La respuesta es breve y carece de profundidad. Falta una explicación más completa sobre cómo se utilizan las aserciones en diferentes contextos de prueba y sus beneficios específicos.
- **Uso de terminología:** El uso de la terminología es correcto para `Assert.Equals()`, pero se requiere un mayor uso de la terminología relacionada con las pruebas de software y las aserciones.
- **Claridad:** La respuesta es clara en lo que respecta a `Assert.Equals()`, pero sería más útil si se proporcionaran más ejemplos y se explicaran los demás tipos de aserciones.
Para mejorar la respuesta, sería necesario incluir más información sobre otros tipos de aserciones (como `Assert.IsNotNull()`, `Assert.IsTrue()`, etc.) y cómo se utilizan en pruebas de software. Además, se podrían añadir ejemplos de cómo se utilizan estas aserciones en diferentes escenarios para verificar que el código funciona correctamente.</t>
  </si>
  <si>
    <t>Respuesta: No lo se :(</t>
  </si>
  <si>
    <t>Evaluación:
Justificación: La respuesta es completamente incorrecta y vacía, ya que el estudiante no proporciona ninguna información relevante sobre cómo se utilizan las aserciones en los tests ni por qué son importantes. No muestra ningún conocimiento del tema y simplemente expresa desconocimiento.
Nota: 0
Esta respuesta no incluye ningún concepto correcto relacionado con las aserciones en pruebas de software, ni siquiera reconoce que no sabe la respuesta, lo cual sería una muestra de autenticidad. Para mejorar, el estudiante debería haber intentado buscar información sobre este tema antes de responder.</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</si>
  <si>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</si>
  <si>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Justificación: La respuesta comienza confundiendo las aserciones con anotaciones de validación de datos, como @NotNull y @Email, lo cual es incorrecto. Las aserciones se usan en pruebas de software para verificar que el comportamiento del código sea el esperado, no para validar datos en tiempo de ejecución. La respuesta menciona que las aserciones revisan datos antes del test, pero no explica cómo se utilizan en los tests ni por qué son importantes. Falta una explicación clara y precisa sobre su utilidad en pruebas de software y cómo ayudan a detectar errores en el código.
Nota: 3
Esta calificación refleja que la respuesta contiene algunos elementos correctos (la idea de que las aserciones validan datos), pero está significativamente desviada de la temática correcta y falta información crucial para una explicación adecuada del tema.</t>
  </si>
  <si>
    <t>Respuesta: Las aserciones de los test sirven para comprobar que el programa funciona de la manera esperada por el programador. Es una verificación del programa que funciona correctamente.</t>
  </si>
  <si>
    <t>Evaluación: Justificación: La respuesta identifica correctamente que las aserciones se utilizan para verificar que el programa funcione de la manera esperada, pero carece de detalles sobre cómo se aplican específicamente en los tests y por qué son importantes. La descripción es bastante general y no proporciona información técnica relevante sobre el uso de aserciones ni sus beneficios.
Nota: 4
La respuesta debería incluir información más específica sobre el uso de aserciones en tests, como la comparación de valores esperados vs. valores obtenidos, la verificación de condiciones booleanas, la detección de excepciones, etc. Además, se debe destacar el papel de las aserciones en mejorar la calidad del software al permitir la verificación automática del comportamiento del código.</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</si>
  <si>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</si>
  <si>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Justificación: La respuesta comienza confundiendo aserciones con anotaciones de validación de datos, como @NotNull. Menciona que las aserciones se declaran antes del test, pero no describe cómo se utilizan correctamente en el contexto de los tests. La explicación sobre la importancia de las aserciones es inexacta y poco clara; se centra en la idea de evitar datos incorrectos, pero no explica cómo esto se relaciona con verificar el comportamiento del código.
La respuesta carece de detalles sobre el uso de aserciones en pruebas unitarias, cómo se utilizan para verificar resultados específicos, y cómo contribuyen a la detección de errores. Además, la terminología no es precisa (por ejemplo, "aserciones de los test" es incorrecto; se deben referirse simplemente como "aserciones").
Nota: 3
Se recomienda que el estudiante revise la diferencia entre aserciones y anotaciones de validación, y explore cómo se utilizan aserciones en pruebas unitarias para verificar el comportamiento del código.</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</si>
  <si>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</si>
  <si>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Justificación: La respuesta inicia correctamente describiendo qué son las aserciones y cómo se utilizan en los tests para comprobar el correcto funcionamiento de los métodos. Sin embargo, hay varios errores en la gramática y ortografía ("valoresperado", "valorrecibido", "cummpla" - debe ser "cumpla"), lo que dificulta la comprensión. Además, aunque se menciona el uso de assertTrue para validar valores esperados, falta una explicación clara sobre cómo se utiliza y se entiende correctamente el concepto. Se explica que se pueden comprobar que la devolución de un método no sea nula, pero no se proporciona un ejemplo claro de cómo hacerlo. También se menciona el uso de assertFalse, pero no se explica cuándo y por qué sería útil. Finalmente, aunque se indica que las aserciones son importantes para comprobar el correcto funcionamiento del código, no se profundiza en la importancia específica de esta práctica.
Nota: 7. La respuesta contiene información correcta y relevante, pero presenta problemas de redacción y falta una explicación más detallada y clara de cómo se utilizan las aserciones y cuáles son sus beneficios específicos en el contexto de los tests.</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</si>
  <si>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</si>
  <si>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Justificación: La respuesta contiene algunos elementos correctos sobre aserciones, pero presenta confusiones y carencias significativas. Menciona correctamente que las aserciones se utilizan para validar datos en tests, pero mezcla este concepto con anotaciones de validación (como @Email y @NotNull), que son características de frameworks de validación de datos y no están relacionadas directamente con las aserciones en pruebas unitarias.
La respuesta menciona correctamente que hay varios tipos de aserciones, aunque no proporciona ejemplos precisos de cómo se usan estas aserciones en contextos de testing. No se explica cómo se implementan ni qué tipo de verificaciones realizan.
No se proporciona una explicación clara de por qué las aserciones son importantes para los tests, solo se sugiere que son útiles para evaluar posibles casos de respuesta, sin profundizar en la importancia de asegurar que el código funcione como se espera.
Nota: 4
La respuesta muestra un conocimiento básico pero confuso sobre aserciones. Falta una explicación clara de cómo se utilizan en pruebas unitarias, qué tipos de aserciones existen y su importancia en el proceso de testing. Se recomienda aclarar estos puntos para mejorar la comprensión del tema.</t>
  </si>
  <si>
    <t>Respuesta: Son importantes porque permiten un mayor control a la hora de hacer el testing, y permite el uso de una mayor cantidad de datos, permitiendo que el test sea más viable al cubrir mayor cantidad de datos .</t>
  </si>
  <si>
    <t>Evaluación: Justificación: La respuesta intenta abordar la importancia de las aserciones en los tests, pero la explicación es bastante imprecisa y confusa. Menciona que las aserciones permiten un mayor control y cubren una mayor cantidad de datos, pero estos puntos no están directamente relacionados con la función principal de las aserciones, que es verificar el comportamiento correcto del código. Falta una explicación clara sobre cómo se utilizan las aserciones en los tests y cuál es su propósito en términos de garantizar que el software funcione correctamente. La terminología es correcta, pero la explicación es insuficiente y no transmite el concepto de manera efectiva.
Nota: 4.</t>
  </si>
  <si>
    <t>Respuesta: No
se
la
respuesta</t>
  </si>
  <si>
    <t>**Evaluación:**
**Justificación:** La respuesta es completamente incorrecta y vacía. El estudiante no ha proporcionado ninguna información relevante sobre cómo se utilizan las aserciones en los tests ni por qué son importantes. La respuesta está compuesta solo por fragmentos de palabras sin sentido, lo cual no contribuye en absoluto a una comprensión del tema.
**Nota:** 0
Esta respuesta carece de contenido técnico relevante, no desarrolla ningún aspecto del tema y no muestra ningún conocimiento sobre aserciones en pruebas de software.</t>
  </si>
  <si>
    <t>Respuesta: NO SE</t>
  </si>
  <si>
    <t>Evaluación: Justificación: La respuesta es una simple "NO SE", lo cual indica una total falta de conocimiento o esfuerzo para responder la pregunta. No se han mencionado ni una sola idea relacionada con las aserciones, su uso en pruebas o su importancia. La respuesta no contiene ningún concepto correcto, ni ejemplos ni explicaciones.
Nota: 0</t>
  </si>
  <si>
    <t>Respuesta: Con la libreria Jakarta puedes usar aserciones en los test de forma sencilla ya que te añade las funciones como por ejemplo assertequals, son importantes ya que te permiten agilizar y cubrir mejor ciertas cosas a testear.</t>
  </si>
  <si>
    <t>Evaluación: Justificación
La respuesta menciona que las aserciones pueden usarse en tests y hace referencia a una librería específica (Jakarta), aunque esta información no es necesariamente incorrecta, no proporciona una explicación detallada sobre cómo se utilizan las aserciones en los tests ni por qué son importantes.
El estudiante no ha explicado adecuadamente cómo se utilizan las aserciones dentro de un test, como por ejemplo utilizando `assertEquals` para comprobar que dos valores sean iguales, o cómo se utilizan para verificar condiciones booleanas. Además, no se menciona el papel crucial de las aserciones en detectar errores de lógica en el código o cómo contribuyen a la metodología de desarrollo guiado por pruebas (TDD).
Además, la respuesta es algo confusa en cuanto al uso de "librería Jakarta" ya que esta es una biblioteca de utilidades Java, pero no está directamente relacionada con las aserciones en sí, que son características del lenguaje de programación. La terminología utilizada ("agilizar") es poco clara en este contexto y no refleja correctamente la importancia de las aserciones.
Nota: 4
Esta calificación se debe a que la respuesta contiene algunos elementos correctos, pero carece de detalles cruciales sobre cómo se utilizan las aserciones y por qué son importantes. La explicación es incompleta y hay un error conceptual en la mención de la librería Jakarta.</t>
  </si>
  <si>
    <t>Respuesta: Las aserciones se pueden utilizar para comprobar las salidas de los test en función de las entradas. Esto es muy importante para comprobar si la salida tiene sentido teniendo en cuenta las entradas del test.</t>
  </si>
  <si>
    <t>Evaluación: Justificación: La respuesta identifica correctamente una parte importante de cómo se utilizan las aserciones en los tests, es decir, para comprobar si la salida es coherente con las entradas. Sin embargo, la explicación es bastante superficial y limitada. Falta especificar claramente que las aserciones se utilizan dentro de los tests para verificar que el comportamiento del código coincide con lo esperado, y no solo que la salida tenga sentido con las entradas. Además, la respuesta omite mencionar ejemplos de aserciones específicas, como assertTrue, assertFalse, assertArrayEquals, etc., que son fundamentales para entender su uso y aplicabilidad. También se pierde la importancia de las aserciones para detectar errores en el código y garantizar su correcto funcionamiento.
Nota: 4/10. La respuesta muestra un entendimiento básico del concepto, pero carece de profundidad y detalles necesarios para una explicación completa y precisa de cómo se utilizan las aserciones en los tests y su importancia.</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</si>
  <si>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</si>
  <si>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Justificación: La respuesta es más precisa y completa que en las anteriores, aunque aún hay espacio para mejorar. El estudiante ha comprendido que las aserciones se usan para validar la salida de una función en función de sus parámetros de entrada, lo cual es correcto. Sin embargo, la explicación podría ser más detallada y clara al respecto.
El estudiante ha mencionado correctamente que las aserciones son fundamentales en los tests para comprobar si la función ha realizado las operaciones esperadas. Aunque no se ha especificado explícitamente que un fallo en la aserción provoca que el test falle, esta es una consecuencia lógica de su uso.
Además, el ejemplo proporcionado (uso de `assertEquals`) es apropiado y muestra cómo se pueden usar las aserciones para verificar que la salida de una función es la esperada. Sin embargo, el estudiante podría haber añadido información adicional sobre otros tipos de aserciones que se pueden utilizar en tests, como `assertTrue`, `assertNull`, etc., para hacer la respuesta más completa.
En cuanto a la terminología, se utiliza correctamente y de manera coherente.
Por último, la respuesta es clara y fácil de entender, aunque se podría mejorar la fluidez del texto para que sea aún más legible.
Nota: 7
Esta calificación refleja que la respuesta es correcta en términos generales y proporciona un ejemplo relevante, pero tiene lugar para ser más exhaustiva y detallada al describir cómo se utilizan las aserciones y su importancia en los tests.</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</si>
  <si>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</si>
  <si>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Justificación: La respuesta reconoce la importancia de las aserciones en los tests y menciona que son cruciales para la creación de pruebas robustas y precisas. Sin embargo, hay varios errores y falta de claridad en la explicación:
1. **Uso de "assert.Equals"**: El término "assert.Equals" no es correcto. En Java, por ejemplo, se usa `assertEquals` (no `assertEquals`). Este error en la terminología es significativo.
2. **Falta de explicación sobre el uso de aserciones**: La respuesta no explica cómo se utilizan las aserciones dentro de los tests ni qué tipo de comprobaciones se pueden realizar. Falta un ejemplo de cómo se podría escribir una aserción, como `assertEquals(expectedValue, actualValue)`.
3. **Brevedad y falta de detalle**: La respuesta es demasiado breve y no proporciona suficiente información para entender completamente el concepto.
4. **Claridad**: La frase "¡un test más relevante, seguro y preciso gracias a la implementación en los datos empleados" no está clara y no transmite información útil sobre el uso de las aserciones.
Por estos motivos, la nota es baja, ya que aunque se reconoce la importancia de las aserciones, la explicación es insuficiente y contiene errores técnicos.
Nota: 4.</t>
  </si>
  <si>
    <t>Respuesta: digo lo mismo que en la anterior pregunta</t>
  </si>
  <si>
    <t>Evaluación: Justificación: La respuesta copia exactamente el contenido de la respuesta anterior, por lo que no proporciona ninguna nueva información o aportación. No se muestra ningún conocimiento adicional sobre cómo se utilizan las aserciones en los tests ni por qué son importantes. La falta de originalidad y la simple repetición de información previa resultan en una baja calificación.
Nota: 2.</t>
  </si>
  <si>
    <t>Evaluación: Justificación: La respuesta intenta explicar la función de las aserciones en los tests, pero presenta varios errores y carencias en la explicación. Se afirma que las aserciones se usan "para ejecutar los test ya implementados", lo cual no es exacto; las aserciones se usan dentro de los tests para verificar el comportamiento del código, no para ejecutar los tests. Además, la explicación es bastante confusa y no proporciona ejemplos concretos de cómo se usan las aserciones.
El concepto de que las aserciones se añaden para validar el funcionamiento de los tests es incorrecto, ya que las aserciones son parte del código de prueba y no se añaden para validar los tests, sino para validar las suposiciones sobre el comportamiento del código bajo prueba.
En cuanto a la importancia de las aserciones, la respuesta no aborda este aspecto, lo que resta valía a la explicación.
Nota: 3. La respuesta tiene algunos elementos correctos, pero hay muchos errores y falta información crucial para una explicación completa y precisa del uso y la importancia de las aserciones en los tests.</t>
  </si>
  <si>
    <t>Evaluación: Justificación: La respuesta comienza reconociendo la importancia de las aserciones, pero luego se desvía hacia un concepto incorrecto al referirse a "cubrir el código" y "evitar excepciones y errores". Estas son tareas típicas de la validación de entrada o manejo de excepciones, no de las aserciones. 
Las aserciones son usadas principalmente para comprobar supuestos de programación durante la ejecución de los tests, asegurándose de que el código funcione como se espera. Por ejemplo, se pueden usar para verificar que una variable no sea nula antes de usarla, o que el resultado de una operación matemática sea correcto.
Además, si una aserción falla, el test también falla, lo cual es útil para detectar problemas en el código. Este proceso de comprobación automática de que el código funciona correctamente es crucial para garantizar la calidad del software.
La respuesta carece de precisión conceptual, no proporciona ejemplos concretos de uso ni explica la función de las aserciones en el contexto de los tests. 
Nota: 3.</t>
  </si>
  <si>
    <t>Evaluación:
Justificación: La respuesta intenta abordar la importancia de las aserciones en los tests, pero presenta varios errores y carencias en la explicación.
- **Conceptos correctamente mencionados**: Se reconoce que las aserciones tienen una importancia en los tests, aunque se mezcla con información incorrecta sobre lo que hacen exactamente.
- **Errores detectados**: Hay un mal uso del término "aserciones" al referirse a ellos como algo que confirma que los tests están bien hechos y desarrollados. En realidad, las aserciones son herramientas de verificación dentro de los tests, no un indicador de que los tests están correctamente escritos.
- **Conceptos importantes que faltan**: Falta una descripción clara de qué son las aserciones, cómo se utilizan (por ejemplo, con `assertTrue`, `assertEquals`, etc.) y cómo contribuyen a verificar que el código se comporta según lo esperado. También falta mencionar que su principal función es ayudar a detectar errores en el código y asegurar que el comportamiento del programa sea el correcto.
La respuesta no proporciona una explicación técnica o detallada sobre cómo se utilizan las aserciones en los tests, ni sus beneficios específicos en términos de verificación del código.
Nota: 4
Esta calificación refleja que la respuesta contiene un concepto básico correcto (las aserciones son importantes para los tests), pero carece de precisión técnica y detalles necesarios para una explicación adecuada del tema.</t>
  </si>
  <si>
    <t>Evaluación: Justificación: La respuesta intenta describir las aserciones y su importancia en los tests, pero presenta varios errores y falta información crucial.
Los errores incluyen:
- La idea de que "las aserciones son herramientas de test que te dicen cuales son funcionalidades correctas y cuales no" es incorrecta. Las aserciones no evalúan funcionalidades directamente, sino que validan resultados específicos de la ejecución del código.
- Confundir las aserciones con un "validador" es un error, ya que las aserciones son parte de los tests y no algo externo que los evalúa.
- Mencionar la cobertura del 90% como un contexto en el que se usan las aserciones es irrelevante y no contribuye a la explicación.
Conceptos importantes que faltan:
- Las aserciones se usan para verificar que los resultados del código coinciden con lo esperado.
- Se pueden usar en distintos puntos del código, no solo en tests.
- Ejemplos de aserciones como assertTrue, assertFalse, assertEquals, assertNotNull, etc.
- El propósito de asegurar que el código se comporta correctamente según lo esperado.
- La importancia de las aserciones en metodologías de desarrollo guiado por pruebas (TDD).
Calificación: 4
Esta respuesta tiene un concepto básico correcto sobre la utilidad de las aserciones, pero carece de precisión técnica, detalles y contexto necesario para ser considerada completa y precisa.</t>
  </si>
  <si>
    <t>Evaluación:
Justificación: La respuesta tiene varios errores y falta información crucial para una explicación adecuada. El estudiante confunde las aserciones con el resultado final de un test (true o false), cuando en realidad, las aserciones son herramientas que permiten verificar que ciertas condiciones se cumplan durante la ejecución del test. Además, menciona que las aserciones evitan casos duplicados y huecos en blanco, pero no explica cómo se usan para hacer comparaciones de arrays o cualquier otro tipo de dato.
La respuesta carece de precisión conceptual, ya que no define correctamente qué son las aserciones y cómo se utilizan. Falta una explicación sobre la importancia de las aserciones en la detección de errores y en la verificación del comportamiento correcto del código. No se proporcionan ejemplos concretos de cómo se utilizan las aserciones en tests, como la comparación de valores, de excepciones, o la verificación de condiciones booleanas.
Nota: 3
Esta calificación refleja que aunque hay algunos elementos correctos, la respuesta es incompleta y carece de profundidad y claridad necesarias para una explicación adecuada del tema.</t>
  </si>
  <si>
    <t>Evaluación: Justificación: La respuesta contiene elementos correctos sobre el uso de las aserciones en los tests, específicamente en la arquitectura AAA (Arrange, Act, Assert), y menciona ejemplos de métodos como `assertEquals`, `assertTrue` y `assertFalse`. Sin embargo, falta una explicación más detallada sobre cómo se utilizan exactamente dentro de los tests y por qué son importantes.
La respuesta carece de información sobre cómo las aserciones verifican que el comportamiento del código coincida con lo esperado, no se profundiza en la importancia de las aserciones para detectar errores y asegurar que el software funcione correctamente, y no se menciona su utilidad para verificar condiciones más complejas o excepciones.
A pesar de estos aspectos positivos, la respuesta es incompleta y no proporciona una explicación clara y completa del concepto. 
Nota: 7.</t>
  </si>
  <si>
    <t>Evaluación: Justificación: La respuesta intenta relacionar las aserciones con el proceso de pruebas de software, pero contiene varios errores y falta mucha información relevante. Se confunden las aserciones con la estructura Arrange-Act-Assert, donde "assert" es solo una parte del proceso de prueba y no es una aserción en sí misma. Además, no se especifica cómo se utilizan las aserciones dentro de los tests ni se explica su importancia para verificar el correcto funcionamiento del código. La información proporcionada es incompleta y hay confusiones conceptuales. 
Nota: 4.</t>
  </si>
  <si>
    <t>Evaluación: Justificación: La respuesta identifica correctamente que las aserciones miden si el resultado obtenido coincide con el esperado y que un fallo en una aserción provoca que el test falle, lo que se refleja en un color rojo. Sin embargo, la explicación es bastante básica y no profundiza en cómo se utilizan las aserciones en los tests ni en el valor añadido que aportan para verificar el comportamiento del código. Además, se pierde el detalle de que un test que pasa correctamente debería mostrar un color verde, no "salta verde". La terminología utilizada es correcta, pero la explicación carece de profundidad y no se proporcionan ejemplos concretos de uso.
Nota: 5
Se recomienda que la respuesta incluya información sobre cómo se implementan las aserciones en el código (por ejemplo, usando `assertThat` o `assertTrue`), y cómo estas pueden ser utilizadas para verificar diferentes aspectos del comportamiento del código (como comparaciones de valores, comprobaciones de excepciones, etc.). También sería útil mencionar que las aserciones ayudan a garantizar que el código se comporta correctamente y facilitan la detección y localización de errores durante la fase de pruebas.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</si>
</sst>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b/>
      <color theme="1"/>
      <name val="Arial"/>
    </font>
    <font>
      <color theme="1"/>
      <name val="Arial"/>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2" fontId="3" numFmtId="0" xfId="0" applyAlignment="1" applyFill="1" applyFont="1">
      <alignment vertical="bottom"/>
    </xf>
    <xf borderId="0" fillId="2" fontId="3" numFmtId="0" xfId="0" applyAlignment="1" applyFont="1">
      <alignment horizontal="right" vertical="bottom"/>
    </xf>
    <xf borderId="0" fillId="0" fontId="1" numFmtId="3" xfId="0" applyAlignment="1" applyFont="1" applyNumberFormat="1">
      <alignment readingOrder="0"/>
    </xf>
    <xf borderId="0" fillId="0" fontId="3" numFmtId="0" xfId="0" applyAlignment="1" applyFont="1">
      <alignment horizontal="right" vertical="bottom"/>
    </xf>
    <xf borderId="0" fillId="2" fontId="3" numFmtId="2" xfId="0" applyAlignment="1" applyFont="1" applyNumberFormat="1">
      <alignment horizontal="right" vertical="bottom"/>
    </xf>
    <xf borderId="0" fillId="2" fontId="3" numFmtId="9" xfId="0" applyAlignment="1" applyFont="1" applyNumberFormat="1">
      <alignment horizontal="right" vertical="bottom"/>
    </xf>
    <xf borderId="0" fillId="2" fontId="3" numFmtId="164" xfId="0" applyAlignment="1" applyFont="1" applyNumberFormat="1">
      <alignment horizontal="right" vertical="bottom"/>
    </xf>
    <xf borderId="0" fillId="2" fontId="3"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H1" s="2" t="s">
        <v>6</v>
      </c>
      <c r="I1" s="2" t="s">
        <v>7</v>
      </c>
      <c r="J1" s="3"/>
      <c r="K1" s="3"/>
      <c r="L1" s="3"/>
      <c r="M1" s="4" t="s">
        <v>8</v>
      </c>
      <c r="N1" s="4" t="s">
        <v>9</v>
      </c>
      <c r="O1" s="4" t="s">
        <v>10</v>
      </c>
      <c r="P1" s="4" t="s">
        <v>11</v>
      </c>
      <c r="Q1" s="5">
        <v>1.0</v>
      </c>
      <c r="R1" s="5">
        <v>2.0</v>
      </c>
      <c r="S1" s="5">
        <v>3.0</v>
      </c>
      <c r="T1" s="5">
        <v>4.0</v>
      </c>
      <c r="U1" s="5">
        <v>5.0</v>
      </c>
      <c r="V1" s="5">
        <v>-1.0</v>
      </c>
      <c r="W1" s="5">
        <v>-2.0</v>
      </c>
      <c r="X1" s="5">
        <v>-3.0</v>
      </c>
      <c r="Y1" s="5">
        <v>-4.0</v>
      </c>
      <c r="Z1" s="5">
        <v>-5.0</v>
      </c>
      <c r="AA1" s="4" t="s">
        <v>12</v>
      </c>
    </row>
    <row r="2">
      <c r="A2" s="1">
        <v>0.0</v>
      </c>
      <c r="B2" s="1" t="s">
        <v>13</v>
      </c>
      <c r="C2" s="1" t="s">
        <v>14</v>
      </c>
      <c r="D2" s="1" t="s">
        <v>15</v>
      </c>
      <c r="E2" s="1">
        <v>4.0</v>
      </c>
      <c r="F2" s="6">
        <v>1.75592142105102E16</v>
      </c>
      <c r="G2" s="1">
        <v>4.0</v>
      </c>
      <c r="H2" s="7">
        <f t="shared" ref="H2:H19" si="1">ABS(I2)</f>
        <v>0</v>
      </c>
      <c r="I2" s="7">
        <f t="shared" ref="I2:I19" si="2">E2-G2</f>
        <v>0</v>
      </c>
      <c r="J2" s="3"/>
      <c r="K2" s="3"/>
      <c r="L2" s="3"/>
      <c r="M2" s="5">
        <f>MAX(H1:H72)</f>
        <v>6</v>
      </c>
      <c r="N2" s="8">
        <f>AVERAGE(H2:H72)</f>
        <v>1.635714286</v>
      </c>
      <c r="O2" s="8">
        <f>AVERAGE(I1:I72)</f>
        <v>0.8928571429</v>
      </c>
      <c r="P2" s="9">
        <f>COUNTIF(I2:I72, 0) / COUNT(I2:I72)
</f>
        <v>0.1714285714</v>
      </c>
      <c r="Q2" s="10">
        <f>COUNTIF(I2:I72, 1) / COUNT(I2:I72)</f>
        <v>0.2285714286</v>
      </c>
      <c r="R2" s="11">
        <f>COUNTIF(I2:I72, 2) / COUNT(I2:I72)</f>
        <v>0.1571428571</v>
      </c>
      <c r="S2" s="11">
        <f>COUNTIF(I2:I72, 3) / COUNT(I2:I72)</f>
        <v>0.1142857143</v>
      </c>
      <c r="T2" s="11">
        <f>COUNTIF(I2:I72, 4) / COUNT(I2:I72)</f>
        <v>0.07142857143</v>
      </c>
      <c r="U2" s="11">
        <f>COUNTIF(I2:I72, 5) / COUNT(I2:I72)</f>
        <v>0</v>
      </c>
      <c r="V2" s="11">
        <f>COUNTIF(I2:I72, -1) / COUNT(I2:I72)</f>
        <v>0.1142857143</v>
      </c>
      <c r="W2" s="11">
        <f>COUNTIF(I2:I72, -2) / COUNT(I2:I72)</f>
        <v>0.08571428571</v>
      </c>
      <c r="X2" s="11">
        <f>COUNTIF(I2:I72, -3) / COUNT(I2:I72)</f>
        <v>0.02857142857</v>
      </c>
      <c r="Y2" s="11">
        <f>COUNTIF(I2:I72, -4) / COUNT(I2:I72)</f>
        <v>0</v>
      </c>
      <c r="Z2" s="11">
        <f>COUNTIF(I2:I72, -5) / COUNT(I2:I72)</f>
        <v>0</v>
      </c>
      <c r="AA2" s="11">
        <f>COUNTIF(H2:H72, "&lt;=1") / COUNT(H2:H72)</f>
        <v>0.5285714286</v>
      </c>
    </row>
    <row r="3">
      <c r="A3" s="1">
        <v>1.0</v>
      </c>
      <c r="B3" s="1" t="s">
        <v>16</v>
      </c>
      <c r="C3" s="1" t="s">
        <v>14</v>
      </c>
      <c r="D3" s="1" t="s">
        <v>17</v>
      </c>
      <c r="E3" s="1">
        <v>2.0</v>
      </c>
      <c r="F3" s="6">
        <v>1.67826689481735E16</v>
      </c>
      <c r="G3" s="1">
        <v>4.0</v>
      </c>
      <c r="H3" s="7">
        <f t="shared" si="1"/>
        <v>2</v>
      </c>
      <c r="I3" s="7">
        <f t="shared" si="2"/>
        <v>-2</v>
      </c>
    </row>
    <row r="4">
      <c r="A4" s="1">
        <v>2.0</v>
      </c>
      <c r="B4" s="1" t="s">
        <v>18</v>
      </c>
      <c r="C4" s="1" t="s">
        <v>14</v>
      </c>
      <c r="D4" s="1" t="s">
        <v>19</v>
      </c>
      <c r="E4" s="1">
        <v>5.0</v>
      </c>
      <c r="F4" s="6">
        <v>2.71596002340316E15</v>
      </c>
      <c r="G4" s="1">
        <v>3.0</v>
      </c>
      <c r="H4" s="7">
        <f t="shared" si="1"/>
        <v>2</v>
      </c>
      <c r="I4" s="7">
        <f t="shared" si="2"/>
        <v>2</v>
      </c>
    </row>
    <row r="5">
      <c r="A5" s="1">
        <v>3.0</v>
      </c>
      <c r="B5" s="1" t="s">
        <v>20</v>
      </c>
      <c r="C5" s="1" t="s">
        <v>14</v>
      </c>
      <c r="D5" s="1" t="s">
        <v>21</v>
      </c>
      <c r="E5" s="1">
        <v>4.0</v>
      </c>
      <c r="F5" s="6">
        <v>2.26875488042831E16</v>
      </c>
      <c r="G5" s="1">
        <v>4.0</v>
      </c>
      <c r="H5" s="7">
        <f t="shared" si="1"/>
        <v>0</v>
      </c>
      <c r="I5" s="7">
        <f t="shared" si="2"/>
        <v>0</v>
      </c>
    </row>
    <row r="6">
      <c r="A6" s="1">
        <v>4.0</v>
      </c>
      <c r="B6" s="1" t="s">
        <v>22</v>
      </c>
      <c r="C6" s="1" t="s">
        <v>14</v>
      </c>
      <c r="D6" s="1" t="s">
        <v>23</v>
      </c>
      <c r="E6" s="1">
        <v>6.0</v>
      </c>
      <c r="F6" s="6">
        <v>2.74675848007202E16</v>
      </c>
      <c r="G6" s="1">
        <v>4.0</v>
      </c>
      <c r="H6" s="7">
        <f t="shared" si="1"/>
        <v>2</v>
      </c>
      <c r="I6" s="7">
        <f t="shared" si="2"/>
        <v>2</v>
      </c>
    </row>
    <row r="7">
      <c r="A7" s="1">
        <v>5.0</v>
      </c>
      <c r="B7" s="1" t="s">
        <v>24</v>
      </c>
      <c r="C7" s="1" t="s">
        <v>14</v>
      </c>
      <c r="D7" s="1" t="s">
        <v>25</v>
      </c>
      <c r="E7" s="1">
        <v>6.0</v>
      </c>
      <c r="F7" s="1">
        <v>300.0</v>
      </c>
      <c r="H7" s="7">
        <f t="shared" si="1"/>
        <v>6</v>
      </c>
      <c r="I7" s="7">
        <f t="shared" si="2"/>
        <v>6</v>
      </c>
    </row>
    <row r="8">
      <c r="A8" s="1">
        <v>6.0</v>
      </c>
      <c r="B8" s="1" t="s">
        <v>26</v>
      </c>
      <c r="C8" s="1" t="s">
        <v>14</v>
      </c>
      <c r="D8" s="1" t="s">
        <v>27</v>
      </c>
      <c r="E8" s="1">
        <v>7.0</v>
      </c>
      <c r="F8" s="6">
        <v>1.74400380373001E15</v>
      </c>
      <c r="G8" s="1">
        <v>7.0</v>
      </c>
      <c r="H8" s="7">
        <f t="shared" si="1"/>
        <v>0</v>
      </c>
      <c r="I8" s="7">
        <f t="shared" si="2"/>
        <v>0</v>
      </c>
    </row>
    <row r="9">
      <c r="A9" s="1">
        <v>7.0</v>
      </c>
      <c r="B9" s="1" t="s">
        <v>28</v>
      </c>
      <c r="C9" s="1" t="s">
        <v>14</v>
      </c>
      <c r="D9" s="1" t="s">
        <v>29</v>
      </c>
      <c r="E9" s="1">
        <v>5.0</v>
      </c>
      <c r="F9" s="6">
        <v>1.64494554281234E16</v>
      </c>
      <c r="G9" s="1">
        <v>4.0</v>
      </c>
      <c r="H9" s="7">
        <f t="shared" si="1"/>
        <v>1</v>
      </c>
      <c r="I9" s="7">
        <f t="shared" si="2"/>
        <v>1</v>
      </c>
    </row>
    <row r="10">
      <c r="A10" s="1">
        <v>8.0</v>
      </c>
      <c r="B10" s="1" t="s">
        <v>30</v>
      </c>
      <c r="C10" s="1" t="s">
        <v>14</v>
      </c>
      <c r="D10" s="1" t="s">
        <v>31</v>
      </c>
      <c r="E10" s="1">
        <v>7.0</v>
      </c>
      <c r="F10" s="6">
        <v>1.33635958671569E16</v>
      </c>
      <c r="G10" s="1">
        <v>5.0</v>
      </c>
      <c r="H10" s="7">
        <f t="shared" si="1"/>
        <v>2</v>
      </c>
      <c r="I10" s="7">
        <f t="shared" si="2"/>
        <v>2</v>
      </c>
    </row>
    <row r="11">
      <c r="A11" s="1">
        <v>9.0</v>
      </c>
      <c r="B11" s="1" t="s">
        <v>32</v>
      </c>
      <c r="C11" s="1" t="s">
        <v>14</v>
      </c>
      <c r="D11" s="1" t="s">
        <v>33</v>
      </c>
      <c r="E11" s="1">
        <v>6.0</v>
      </c>
      <c r="F11" s="6">
        <v>1.51727444887161E16</v>
      </c>
      <c r="G11" s="1">
        <v>4.0</v>
      </c>
      <c r="H11" s="7">
        <f t="shared" si="1"/>
        <v>2</v>
      </c>
      <c r="I11" s="7">
        <f t="shared" si="2"/>
        <v>2</v>
      </c>
    </row>
    <row r="12">
      <c r="A12" s="1">
        <v>10.0</v>
      </c>
      <c r="B12" s="1" t="s">
        <v>34</v>
      </c>
      <c r="C12" s="1" t="s">
        <v>14</v>
      </c>
      <c r="D12" s="1" t="s">
        <v>35</v>
      </c>
      <c r="E12" s="1">
        <v>6.0</v>
      </c>
      <c r="F12" s="6">
        <v>1.68154831647872E16</v>
      </c>
      <c r="G12" s="1">
        <v>5.0</v>
      </c>
      <c r="H12" s="7">
        <f t="shared" si="1"/>
        <v>1</v>
      </c>
      <c r="I12" s="7">
        <f t="shared" si="2"/>
        <v>1</v>
      </c>
    </row>
    <row r="13">
      <c r="A13" s="1">
        <v>11.0</v>
      </c>
      <c r="B13" s="1" t="s">
        <v>36</v>
      </c>
      <c r="C13" s="1" t="s">
        <v>14</v>
      </c>
      <c r="D13" s="1" t="s">
        <v>37</v>
      </c>
      <c r="E13" s="1">
        <v>6.0</v>
      </c>
      <c r="F13" s="6">
        <v>1.06054373264312E16</v>
      </c>
      <c r="G13" s="1">
        <v>5.0</v>
      </c>
      <c r="H13" s="7">
        <f t="shared" si="1"/>
        <v>1</v>
      </c>
      <c r="I13" s="7">
        <f t="shared" si="2"/>
        <v>1</v>
      </c>
    </row>
    <row r="14">
      <c r="A14" s="1">
        <v>12.0</v>
      </c>
      <c r="B14" s="1" t="s">
        <v>38</v>
      </c>
      <c r="C14" s="1" t="s">
        <v>14</v>
      </c>
      <c r="D14" s="1" t="s">
        <v>39</v>
      </c>
      <c r="E14" s="1">
        <v>8.0</v>
      </c>
      <c r="F14" s="6">
        <v>2.66655016183853E16</v>
      </c>
      <c r="G14" s="1">
        <v>7.0</v>
      </c>
      <c r="H14" s="7">
        <f t="shared" si="1"/>
        <v>1</v>
      </c>
      <c r="I14" s="7">
        <f t="shared" si="2"/>
        <v>1</v>
      </c>
    </row>
    <row r="15">
      <c r="A15" s="1">
        <v>13.0</v>
      </c>
      <c r="B15" s="1" t="s">
        <v>40</v>
      </c>
      <c r="C15" s="1" t="s">
        <v>14</v>
      </c>
      <c r="D15" s="1" t="s">
        <v>41</v>
      </c>
      <c r="E15" s="1">
        <v>5.0</v>
      </c>
      <c r="F15" s="6">
        <v>1.09197907447814E16</v>
      </c>
      <c r="G15" s="1">
        <v>5.0</v>
      </c>
      <c r="H15" s="7">
        <f t="shared" si="1"/>
        <v>0</v>
      </c>
      <c r="I15" s="7">
        <f t="shared" si="2"/>
        <v>0</v>
      </c>
    </row>
    <row r="16">
      <c r="A16" s="1">
        <v>14.0</v>
      </c>
      <c r="B16" s="1" t="s">
        <v>42</v>
      </c>
      <c r="C16" s="1" t="s">
        <v>14</v>
      </c>
      <c r="D16" s="1" t="s">
        <v>43</v>
      </c>
      <c r="E16" s="1">
        <v>7.0</v>
      </c>
      <c r="F16" s="6">
        <v>2.44367850542068E16</v>
      </c>
      <c r="G16" s="1">
        <v>4.0</v>
      </c>
      <c r="H16" s="7">
        <f t="shared" si="1"/>
        <v>3</v>
      </c>
      <c r="I16" s="7">
        <f t="shared" si="2"/>
        <v>3</v>
      </c>
    </row>
    <row r="17">
      <c r="A17" s="1">
        <v>15.0</v>
      </c>
      <c r="B17" s="1" t="s">
        <v>44</v>
      </c>
      <c r="C17" s="1" t="s">
        <v>14</v>
      </c>
      <c r="D17" s="1" t="s">
        <v>45</v>
      </c>
      <c r="E17" s="1">
        <v>2.0</v>
      </c>
      <c r="F17" s="6">
        <v>2.73348845005035E15</v>
      </c>
      <c r="G17" s="1">
        <v>3.0</v>
      </c>
      <c r="H17" s="7">
        <f t="shared" si="1"/>
        <v>1</v>
      </c>
      <c r="I17" s="7">
        <f t="shared" si="2"/>
        <v>-1</v>
      </c>
    </row>
    <row r="18">
      <c r="A18" s="1">
        <v>16.0</v>
      </c>
      <c r="B18" s="1" t="s">
        <v>46</v>
      </c>
      <c r="C18" s="1" t="s">
        <v>14</v>
      </c>
      <c r="D18" s="1" t="s">
        <v>47</v>
      </c>
      <c r="E18" s="1">
        <v>7.0</v>
      </c>
      <c r="F18" s="6">
        <v>2.5117738866806E15</v>
      </c>
      <c r="G18" s="1">
        <v>4.0</v>
      </c>
      <c r="H18" s="7">
        <f t="shared" si="1"/>
        <v>3</v>
      </c>
      <c r="I18" s="7">
        <f t="shared" si="2"/>
        <v>3</v>
      </c>
    </row>
    <row r="19">
      <c r="A19" s="1">
        <v>17.0</v>
      </c>
      <c r="B19" s="1" t="s">
        <v>48</v>
      </c>
      <c r="C19" s="1" t="s">
        <v>14</v>
      </c>
      <c r="D19" s="1" t="s">
        <v>49</v>
      </c>
      <c r="E19" s="1">
        <v>9.0</v>
      </c>
      <c r="F19" s="6">
        <v>1.56583741426467E15</v>
      </c>
      <c r="G19" s="1">
        <v>7.0</v>
      </c>
      <c r="H19" s="7">
        <f t="shared" si="1"/>
        <v>2</v>
      </c>
      <c r="I19" s="7">
        <f t="shared" si="2"/>
        <v>2</v>
      </c>
    </row>
    <row r="20">
      <c r="A20" s="1">
        <v>18.0</v>
      </c>
      <c r="B20" s="1" t="s">
        <v>50</v>
      </c>
      <c r="C20" s="1" t="s">
        <v>14</v>
      </c>
      <c r="D20" s="1" t="s">
        <v>25</v>
      </c>
      <c r="E20" s="1">
        <v>7.0</v>
      </c>
      <c r="F20" s="1">
        <v>300.0</v>
      </c>
      <c r="H20" s="7"/>
      <c r="I20" s="7"/>
    </row>
    <row r="21">
      <c r="A21" s="1">
        <v>19.0</v>
      </c>
      <c r="B21" s="1" t="s">
        <v>51</v>
      </c>
      <c r="C21" s="1" t="s">
        <v>14</v>
      </c>
      <c r="D21" s="1" t="s">
        <v>52</v>
      </c>
      <c r="E21" s="1">
        <v>0.0</v>
      </c>
      <c r="F21" s="6">
        <v>1.24789566993713E16</v>
      </c>
      <c r="G21" s="1">
        <v>2.0</v>
      </c>
      <c r="H21" s="7">
        <f t="shared" ref="H21:H81" si="3">ABS(I21)</f>
        <v>2</v>
      </c>
      <c r="I21" s="7">
        <f t="shared" ref="I21:I81" si="4">E21-G21</f>
        <v>-2</v>
      </c>
    </row>
    <row r="22">
      <c r="A22" s="1">
        <v>20.0</v>
      </c>
      <c r="B22" s="1" t="s">
        <v>53</v>
      </c>
      <c r="C22" s="1" t="s">
        <v>14</v>
      </c>
      <c r="D22" s="1" t="s">
        <v>54</v>
      </c>
      <c r="E22" s="1">
        <v>8.0</v>
      </c>
      <c r="F22" s="6">
        <v>2.24444304466247E16</v>
      </c>
      <c r="G22" s="1">
        <v>7.0</v>
      </c>
      <c r="H22" s="7">
        <f t="shared" si="3"/>
        <v>1</v>
      </c>
      <c r="I22" s="7">
        <f t="shared" si="4"/>
        <v>1</v>
      </c>
    </row>
    <row r="23">
      <c r="A23" s="1">
        <v>21.0</v>
      </c>
      <c r="B23" s="1" t="s">
        <v>55</v>
      </c>
      <c r="C23" s="1" t="s">
        <v>14</v>
      </c>
      <c r="D23" s="1" t="s">
        <v>56</v>
      </c>
      <c r="E23" s="1">
        <v>4.0</v>
      </c>
      <c r="F23" s="6">
        <v>1.26582524299621E16</v>
      </c>
      <c r="G23" s="1">
        <v>4.0</v>
      </c>
      <c r="H23" s="7">
        <f t="shared" si="3"/>
        <v>0</v>
      </c>
      <c r="I23" s="7">
        <f t="shared" si="4"/>
        <v>0</v>
      </c>
    </row>
    <row r="24">
      <c r="A24" s="1">
        <v>22.0</v>
      </c>
      <c r="B24" s="1" t="s">
        <v>57</v>
      </c>
      <c r="C24" s="1" t="s">
        <v>14</v>
      </c>
      <c r="D24" s="1" t="s">
        <v>58</v>
      </c>
      <c r="E24" s="1">
        <v>7.0</v>
      </c>
      <c r="F24" s="6">
        <v>2.40887283325195E15</v>
      </c>
      <c r="G24" s="1">
        <v>4.0</v>
      </c>
      <c r="H24" s="7">
        <f t="shared" si="3"/>
        <v>3</v>
      </c>
      <c r="I24" s="7">
        <f t="shared" si="4"/>
        <v>3</v>
      </c>
    </row>
    <row r="25">
      <c r="A25" s="1">
        <v>23.0</v>
      </c>
      <c r="B25" s="1" t="s">
        <v>59</v>
      </c>
      <c r="C25" s="1" t="s">
        <v>14</v>
      </c>
      <c r="D25" s="1" t="s">
        <v>60</v>
      </c>
      <c r="E25" s="1">
        <v>1.0</v>
      </c>
      <c r="F25" s="6">
        <v>1.95003661394119E16</v>
      </c>
      <c r="G25" s="1">
        <v>4.0</v>
      </c>
      <c r="H25" s="7">
        <f t="shared" si="3"/>
        <v>3</v>
      </c>
      <c r="I25" s="7">
        <f t="shared" si="4"/>
        <v>-3</v>
      </c>
    </row>
    <row r="26">
      <c r="A26" s="1">
        <v>24.0</v>
      </c>
      <c r="B26" s="1" t="s">
        <v>61</v>
      </c>
      <c r="C26" s="1" t="s">
        <v>14</v>
      </c>
      <c r="D26" s="1" t="s">
        <v>62</v>
      </c>
      <c r="E26" s="1">
        <v>0.0</v>
      </c>
      <c r="F26" s="6">
        <v>2.00521569013595E16</v>
      </c>
      <c r="G26" s="1">
        <v>3.0</v>
      </c>
      <c r="H26" s="7">
        <f t="shared" si="3"/>
        <v>3</v>
      </c>
      <c r="I26" s="7">
        <f t="shared" si="4"/>
        <v>-3</v>
      </c>
    </row>
    <row r="27">
      <c r="A27" s="1">
        <v>25.0</v>
      </c>
      <c r="B27" s="1" t="s">
        <v>63</v>
      </c>
      <c r="C27" s="1" t="s">
        <v>14</v>
      </c>
      <c r="D27" s="1" t="s">
        <v>64</v>
      </c>
      <c r="E27" s="1">
        <v>7.0</v>
      </c>
      <c r="F27" s="6">
        <v>1.21706190347671E16</v>
      </c>
      <c r="G27" s="1">
        <v>4.0</v>
      </c>
      <c r="H27" s="7">
        <f t="shared" si="3"/>
        <v>3</v>
      </c>
      <c r="I27" s="7">
        <f t="shared" si="4"/>
        <v>3</v>
      </c>
    </row>
    <row r="28">
      <c r="A28" s="1">
        <v>26.0</v>
      </c>
      <c r="B28" s="1" t="s">
        <v>65</v>
      </c>
      <c r="C28" s="1" t="s">
        <v>14</v>
      </c>
      <c r="D28" s="1" t="s">
        <v>66</v>
      </c>
      <c r="E28" s="1">
        <v>7.0</v>
      </c>
      <c r="F28" s="6">
        <v>1.34336558341979E16</v>
      </c>
      <c r="G28" s="1">
        <v>5.0</v>
      </c>
      <c r="H28" s="7">
        <f t="shared" si="3"/>
        <v>2</v>
      </c>
      <c r="I28" s="7">
        <f t="shared" si="4"/>
        <v>2</v>
      </c>
    </row>
    <row r="29">
      <c r="A29" s="1">
        <v>27.0</v>
      </c>
      <c r="B29" s="1" t="s">
        <v>67</v>
      </c>
      <c r="C29" s="1" t="s">
        <v>14</v>
      </c>
      <c r="D29" s="1" t="s">
        <v>68</v>
      </c>
      <c r="E29" s="1">
        <v>4.0</v>
      </c>
      <c r="F29" s="6">
        <v>2.80111207485199E14</v>
      </c>
      <c r="G29" s="1">
        <v>3.0</v>
      </c>
      <c r="H29" s="7">
        <f t="shared" si="3"/>
        <v>1</v>
      </c>
      <c r="I29" s="7">
        <f t="shared" si="4"/>
        <v>1</v>
      </c>
    </row>
    <row r="30">
      <c r="A30" s="1">
        <v>28.0</v>
      </c>
      <c r="B30" s="1" t="s">
        <v>69</v>
      </c>
      <c r="C30" s="1" t="s">
        <v>14</v>
      </c>
      <c r="D30" s="1" t="s">
        <v>70</v>
      </c>
      <c r="E30" s="1">
        <v>4.0</v>
      </c>
      <c r="F30" s="6">
        <v>1.52723140001297E14</v>
      </c>
      <c r="G30" s="1">
        <v>3.0</v>
      </c>
      <c r="H30" s="7">
        <f t="shared" si="3"/>
        <v>1</v>
      </c>
      <c r="I30" s="7">
        <f t="shared" si="4"/>
        <v>1</v>
      </c>
    </row>
    <row r="31">
      <c r="A31" s="1">
        <v>29.0</v>
      </c>
      <c r="B31" s="1" t="s">
        <v>71</v>
      </c>
      <c r="C31" s="1" t="s">
        <v>14</v>
      </c>
      <c r="D31" s="1" t="s">
        <v>72</v>
      </c>
      <c r="E31" s="1">
        <v>3.0</v>
      </c>
      <c r="F31" s="6">
        <v>8.0782547712326E15</v>
      </c>
      <c r="G31" s="1">
        <v>4.0</v>
      </c>
      <c r="H31" s="7">
        <f t="shared" si="3"/>
        <v>1</v>
      </c>
      <c r="I31" s="7">
        <f t="shared" si="4"/>
        <v>-1</v>
      </c>
    </row>
    <row r="32">
      <c r="A32" s="1">
        <v>30.0</v>
      </c>
      <c r="B32" s="1" t="s">
        <v>73</v>
      </c>
      <c r="C32" s="1" t="s">
        <v>14</v>
      </c>
      <c r="D32" s="1" t="s">
        <v>74</v>
      </c>
      <c r="E32" s="1">
        <v>9.0</v>
      </c>
      <c r="F32" s="6">
        <v>1.45060835599899E15</v>
      </c>
      <c r="G32" s="1">
        <v>8.0</v>
      </c>
      <c r="H32" s="7">
        <f t="shared" si="3"/>
        <v>1</v>
      </c>
      <c r="I32" s="7">
        <f t="shared" si="4"/>
        <v>1</v>
      </c>
    </row>
    <row r="33">
      <c r="A33" s="1">
        <v>31.0</v>
      </c>
      <c r="B33" s="1" t="s">
        <v>75</v>
      </c>
      <c r="C33" s="1" t="s">
        <v>14</v>
      </c>
      <c r="D33" s="1" t="s">
        <v>76</v>
      </c>
      <c r="E33" s="1">
        <v>8.0</v>
      </c>
      <c r="F33" s="6">
        <v>1.37830857753753E16</v>
      </c>
      <c r="G33" s="1">
        <v>4.0</v>
      </c>
      <c r="H33" s="7">
        <f t="shared" si="3"/>
        <v>4</v>
      </c>
      <c r="I33" s="7">
        <f t="shared" si="4"/>
        <v>4</v>
      </c>
    </row>
    <row r="34">
      <c r="A34" s="1">
        <v>32.0</v>
      </c>
      <c r="B34" s="1" t="s">
        <v>77</v>
      </c>
      <c r="C34" s="1" t="s">
        <v>14</v>
      </c>
      <c r="D34" s="1" t="s">
        <v>78</v>
      </c>
      <c r="E34" s="1">
        <v>8.0</v>
      </c>
      <c r="F34" s="6">
        <v>1.52591653823852E16</v>
      </c>
      <c r="G34" s="1">
        <v>7.5</v>
      </c>
      <c r="H34" s="7">
        <f t="shared" si="3"/>
        <v>0.5</v>
      </c>
      <c r="I34" s="7">
        <f t="shared" si="4"/>
        <v>0.5</v>
      </c>
    </row>
    <row r="35">
      <c r="A35" s="1">
        <v>33.0</v>
      </c>
      <c r="B35" s="1" t="s">
        <v>79</v>
      </c>
      <c r="C35" s="1" t="s">
        <v>14</v>
      </c>
      <c r="D35" s="1" t="s">
        <v>80</v>
      </c>
      <c r="E35" s="1">
        <v>9.0</v>
      </c>
      <c r="F35" s="6">
        <v>2.04835893392562E16</v>
      </c>
      <c r="G35" s="1">
        <v>5.0</v>
      </c>
      <c r="H35" s="7">
        <f t="shared" si="3"/>
        <v>4</v>
      </c>
      <c r="I35" s="7">
        <f t="shared" si="4"/>
        <v>4</v>
      </c>
    </row>
    <row r="36">
      <c r="A36" s="1">
        <v>34.0</v>
      </c>
      <c r="B36" s="1" t="s">
        <v>81</v>
      </c>
      <c r="C36" s="1" t="s">
        <v>14</v>
      </c>
      <c r="D36" s="1" t="s">
        <v>82</v>
      </c>
      <c r="E36" s="1">
        <v>7.0</v>
      </c>
      <c r="F36" s="6">
        <v>2.43206379890441E15</v>
      </c>
      <c r="G36" s="1">
        <v>4.0</v>
      </c>
      <c r="H36" s="7">
        <f t="shared" si="3"/>
        <v>3</v>
      </c>
      <c r="I36" s="7">
        <f t="shared" si="4"/>
        <v>3</v>
      </c>
    </row>
    <row r="37">
      <c r="A37" s="1">
        <v>35.0</v>
      </c>
      <c r="B37" s="1" t="s">
        <v>83</v>
      </c>
      <c r="C37" s="1" t="s">
        <v>14</v>
      </c>
      <c r="D37" s="1" t="s">
        <v>84</v>
      </c>
      <c r="E37" s="1">
        <v>6.0</v>
      </c>
      <c r="F37" s="6">
        <v>2.56606016874313E16</v>
      </c>
      <c r="G37" s="1">
        <v>5.0</v>
      </c>
      <c r="H37" s="7">
        <f t="shared" si="3"/>
        <v>1</v>
      </c>
      <c r="I37" s="7">
        <f t="shared" si="4"/>
        <v>1</v>
      </c>
    </row>
    <row r="38">
      <c r="A38" s="1">
        <v>36.0</v>
      </c>
      <c r="B38" s="1" t="s">
        <v>85</v>
      </c>
      <c r="C38" s="1" t="s">
        <v>14</v>
      </c>
      <c r="D38" s="1" t="s">
        <v>86</v>
      </c>
      <c r="E38" s="1">
        <v>6.0</v>
      </c>
      <c r="F38" s="6">
        <v>1.23631315946578E16</v>
      </c>
      <c r="G38" s="1">
        <v>4.0</v>
      </c>
      <c r="H38" s="7">
        <f t="shared" si="3"/>
        <v>2</v>
      </c>
      <c r="I38" s="7">
        <f t="shared" si="4"/>
        <v>2</v>
      </c>
    </row>
    <row r="39">
      <c r="A39" s="1">
        <v>37.0</v>
      </c>
      <c r="B39" s="1" t="s">
        <v>87</v>
      </c>
      <c r="C39" s="1" t="s">
        <v>14</v>
      </c>
      <c r="D39" s="1" t="s">
        <v>88</v>
      </c>
      <c r="E39" s="1">
        <v>8.0</v>
      </c>
      <c r="F39" s="6">
        <v>1.83273718595504E16</v>
      </c>
      <c r="G39" s="1">
        <v>4.0</v>
      </c>
      <c r="H39" s="7">
        <f t="shared" si="3"/>
        <v>4</v>
      </c>
      <c r="I39" s="7">
        <f t="shared" si="4"/>
        <v>4</v>
      </c>
    </row>
    <row r="40">
      <c r="A40" s="1">
        <v>38.0</v>
      </c>
      <c r="B40" s="1" t="s">
        <v>89</v>
      </c>
      <c r="C40" s="1" t="s">
        <v>14</v>
      </c>
      <c r="D40" s="1" t="s">
        <v>90</v>
      </c>
      <c r="E40" s="1">
        <v>8.0</v>
      </c>
      <c r="F40" s="6">
        <v>1.31803022146224E16</v>
      </c>
      <c r="G40" s="1">
        <v>5.0</v>
      </c>
      <c r="H40" s="7">
        <f t="shared" si="3"/>
        <v>3</v>
      </c>
      <c r="I40" s="7">
        <f t="shared" si="4"/>
        <v>3</v>
      </c>
    </row>
    <row r="41">
      <c r="A41" s="1">
        <v>39.0</v>
      </c>
      <c r="B41" s="1" t="s">
        <v>91</v>
      </c>
      <c r="C41" s="1" t="s">
        <v>14</v>
      </c>
      <c r="D41" s="1" t="s">
        <v>92</v>
      </c>
      <c r="E41" s="1">
        <v>1.0</v>
      </c>
      <c r="F41" s="6">
        <v>1.79033720016479E15</v>
      </c>
      <c r="G41" s="1">
        <v>3.0</v>
      </c>
      <c r="H41" s="7">
        <f t="shared" si="3"/>
        <v>2</v>
      </c>
      <c r="I41" s="7">
        <f t="shared" si="4"/>
        <v>-2</v>
      </c>
    </row>
    <row r="42">
      <c r="A42" s="1">
        <v>40.0</v>
      </c>
      <c r="B42" s="1" t="s">
        <v>93</v>
      </c>
      <c r="C42" s="1" t="s">
        <v>14</v>
      </c>
      <c r="D42" s="1" t="s">
        <v>94</v>
      </c>
      <c r="E42" s="1">
        <v>8.0</v>
      </c>
      <c r="F42" s="6">
        <v>2.59156005144119E16</v>
      </c>
      <c r="G42" s="1">
        <v>7.0</v>
      </c>
      <c r="H42" s="7">
        <f t="shared" si="3"/>
        <v>1</v>
      </c>
      <c r="I42" s="7">
        <f t="shared" si="4"/>
        <v>1</v>
      </c>
    </row>
    <row r="43">
      <c r="A43" s="1">
        <v>41.0</v>
      </c>
      <c r="B43" s="1" t="s">
        <v>95</v>
      </c>
      <c r="C43" s="1" t="s">
        <v>14</v>
      </c>
      <c r="D43" s="1" t="s">
        <v>96</v>
      </c>
      <c r="E43" s="1">
        <v>7.0</v>
      </c>
      <c r="F43" s="6">
        <v>1.72882620334625E16</v>
      </c>
      <c r="G43" s="1">
        <v>4.0</v>
      </c>
      <c r="H43" s="7">
        <f t="shared" si="3"/>
        <v>3</v>
      </c>
      <c r="I43" s="7">
        <f t="shared" si="4"/>
        <v>3</v>
      </c>
    </row>
    <row r="44">
      <c r="A44" s="1">
        <v>42.0</v>
      </c>
      <c r="B44" s="1" t="s">
        <v>97</v>
      </c>
      <c r="C44" s="1" t="s">
        <v>14</v>
      </c>
      <c r="D44" s="1" t="s">
        <v>98</v>
      </c>
      <c r="E44" s="1">
        <v>6.0</v>
      </c>
      <c r="F44" s="6">
        <v>2.04570928096771E16</v>
      </c>
      <c r="G44" s="1">
        <v>5.0</v>
      </c>
      <c r="H44" s="7">
        <f t="shared" si="3"/>
        <v>1</v>
      </c>
      <c r="I44" s="7">
        <f t="shared" si="4"/>
        <v>1</v>
      </c>
    </row>
    <row r="45">
      <c r="A45" s="1">
        <v>43.0</v>
      </c>
      <c r="B45" s="1" t="s">
        <v>99</v>
      </c>
      <c r="C45" s="1" t="s">
        <v>14</v>
      </c>
      <c r="D45" s="1" t="s">
        <v>100</v>
      </c>
      <c r="E45" s="1">
        <v>9.0</v>
      </c>
      <c r="F45" s="6">
        <v>2.33858928680419E16</v>
      </c>
      <c r="G45" s="1">
        <v>5.0</v>
      </c>
      <c r="H45" s="7">
        <f t="shared" si="3"/>
        <v>4</v>
      </c>
      <c r="I45" s="7">
        <f t="shared" si="4"/>
        <v>4</v>
      </c>
    </row>
    <row r="46">
      <c r="A46" s="1">
        <v>44.0</v>
      </c>
      <c r="B46" s="1" t="s">
        <v>101</v>
      </c>
      <c r="C46" s="1" t="s">
        <v>14</v>
      </c>
      <c r="D46" s="1" t="s">
        <v>102</v>
      </c>
      <c r="E46" s="1">
        <v>3.0</v>
      </c>
      <c r="F46" s="6">
        <v>1.31387156486511E16</v>
      </c>
      <c r="G46" s="1">
        <v>3.0</v>
      </c>
      <c r="H46" s="7">
        <f t="shared" si="3"/>
        <v>0</v>
      </c>
      <c r="I46" s="7">
        <f t="shared" si="4"/>
        <v>0</v>
      </c>
    </row>
    <row r="47">
      <c r="A47" s="1">
        <v>45.0</v>
      </c>
      <c r="B47" s="1" t="s">
        <v>103</v>
      </c>
      <c r="C47" s="1" t="s">
        <v>14</v>
      </c>
      <c r="D47" s="1" t="s">
        <v>104</v>
      </c>
      <c r="E47" s="1">
        <v>8.0</v>
      </c>
      <c r="F47" s="6">
        <v>2.60524685382843E14</v>
      </c>
      <c r="G47" s="1">
        <v>7.0</v>
      </c>
      <c r="H47" s="7">
        <f t="shared" si="3"/>
        <v>1</v>
      </c>
      <c r="I47" s="7">
        <f t="shared" si="4"/>
        <v>1</v>
      </c>
    </row>
    <row r="48">
      <c r="A48" s="1">
        <v>46.0</v>
      </c>
      <c r="B48" s="1" t="s">
        <v>105</v>
      </c>
      <c r="C48" s="1" t="s">
        <v>14</v>
      </c>
      <c r="D48" s="1" t="s">
        <v>106</v>
      </c>
      <c r="E48" s="1">
        <v>3.0</v>
      </c>
      <c r="F48" s="6">
        <v>2.5337448143959E16</v>
      </c>
      <c r="G48" s="1">
        <v>4.0</v>
      </c>
      <c r="H48" s="7">
        <f t="shared" si="3"/>
        <v>1</v>
      </c>
      <c r="I48" s="7">
        <f t="shared" si="4"/>
        <v>-1</v>
      </c>
    </row>
    <row r="49">
      <c r="A49" s="1">
        <v>47.0</v>
      </c>
      <c r="B49" s="1" t="s">
        <v>107</v>
      </c>
      <c r="C49" s="1" t="s">
        <v>14</v>
      </c>
      <c r="D49" s="1" t="s">
        <v>108</v>
      </c>
      <c r="E49" s="1">
        <v>2.0</v>
      </c>
      <c r="F49" s="6">
        <v>1.39165056943893E16</v>
      </c>
      <c r="G49" s="1">
        <v>3.0</v>
      </c>
      <c r="H49" s="7">
        <f t="shared" si="3"/>
        <v>1</v>
      </c>
      <c r="I49" s="7">
        <f t="shared" si="4"/>
        <v>-1</v>
      </c>
    </row>
    <row r="50">
      <c r="A50" s="1">
        <v>48.0</v>
      </c>
      <c r="B50" s="1" t="s">
        <v>109</v>
      </c>
      <c r="C50" s="1" t="s">
        <v>14</v>
      </c>
      <c r="D50" s="1" t="s">
        <v>110</v>
      </c>
      <c r="E50" s="1">
        <v>2.0</v>
      </c>
      <c r="F50" s="6">
        <v>9.7775337934494E15</v>
      </c>
      <c r="G50" s="1">
        <v>2.0</v>
      </c>
      <c r="H50" s="7">
        <f t="shared" si="3"/>
        <v>0</v>
      </c>
      <c r="I50" s="7">
        <f t="shared" si="4"/>
        <v>0</v>
      </c>
    </row>
    <row r="51">
      <c r="A51" s="1">
        <v>49.0</v>
      </c>
      <c r="B51" s="1" t="s">
        <v>111</v>
      </c>
      <c r="C51" s="1" t="s">
        <v>14</v>
      </c>
      <c r="D51" s="1" t="s">
        <v>112</v>
      </c>
      <c r="E51" s="1">
        <v>8.0</v>
      </c>
      <c r="F51" s="6">
        <v>1.17774344921112E16</v>
      </c>
      <c r="G51" s="1">
        <v>5.0</v>
      </c>
      <c r="H51" s="7">
        <f t="shared" si="3"/>
        <v>3</v>
      </c>
      <c r="I51" s="7">
        <f t="shared" si="4"/>
        <v>3</v>
      </c>
    </row>
    <row r="52">
      <c r="A52" s="1">
        <v>50.0</v>
      </c>
      <c r="B52" s="1" t="s">
        <v>113</v>
      </c>
      <c r="C52" s="1" t="s">
        <v>14</v>
      </c>
      <c r="D52" s="1" t="s">
        <v>114</v>
      </c>
      <c r="E52" s="1">
        <v>8.0</v>
      </c>
      <c r="F52" s="6">
        <v>2.48341083049774E16</v>
      </c>
      <c r="G52" s="1">
        <v>4.0</v>
      </c>
      <c r="H52" s="7">
        <f t="shared" si="3"/>
        <v>4</v>
      </c>
      <c r="I52" s="7">
        <f t="shared" si="4"/>
        <v>4</v>
      </c>
    </row>
    <row r="53">
      <c r="A53" s="1">
        <v>51.0</v>
      </c>
      <c r="B53" s="1" t="s">
        <v>115</v>
      </c>
      <c r="C53" s="1" t="s">
        <v>14</v>
      </c>
      <c r="D53" s="1" t="s">
        <v>116</v>
      </c>
      <c r="E53" s="1">
        <v>4.0</v>
      </c>
      <c r="F53" s="6">
        <v>1.43336730957031E16</v>
      </c>
      <c r="G53" s="1">
        <v>4.0</v>
      </c>
      <c r="H53" s="7">
        <f t="shared" si="3"/>
        <v>0</v>
      </c>
      <c r="I53" s="7">
        <f t="shared" si="4"/>
        <v>0</v>
      </c>
    </row>
    <row r="54">
      <c r="A54" s="1">
        <v>52.0</v>
      </c>
      <c r="B54" s="1" t="s">
        <v>117</v>
      </c>
      <c r="C54" s="1" t="s">
        <v>14</v>
      </c>
      <c r="D54" s="1" t="s">
        <v>118</v>
      </c>
      <c r="E54" s="1">
        <v>7.0</v>
      </c>
      <c r="F54" s="6">
        <v>2.30318090200424E15</v>
      </c>
      <c r="G54" s="1">
        <v>5.0</v>
      </c>
      <c r="H54" s="7">
        <f t="shared" si="3"/>
        <v>2</v>
      </c>
      <c r="I54" s="7">
        <f t="shared" si="4"/>
        <v>2</v>
      </c>
    </row>
    <row r="55">
      <c r="A55" s="1">
        <v>53.0</v>
      </c>
      <c r="B55" s="1" t="s">
        <v>119</v>
      </c>
      <c r="C55" s="1" t="s">
        <v>14</v>
      </c>
      <c r="D55" s="1" t="s">
        <v>120</v>
      </c>
      <c r="E55" s="1">
        <v>5.0</v>
      </c>
      <c r="F55" s="6">
        <v>2.23471968889236E16</v>
      </c>
      <c r="G55" s="1">
        <v>4.0</v>
      </c>
      <c r="H55" s="7">
        <f t="shared" si="3"/>
        <v>1</v>
      </c>
      <c r="I55" s="7">
        <f t="shared" si="4"/>
        <v>1</v>
      </c>
    </row>
    <row r="56">
      <c r="A56" s="1">
        <v>54.0</v>
      </c>
      <c r="B56" s="1" t="s">
        <v>121</v>
      </c>
      <c r="C56" s="1" t="s">
        <v>14</v>
      </c>
      <c r="D56" s="1" t="s">
        <v>122</v>
      </c>
      <c r="E56" s="1">
        <v>5.0</v>
      </c>
      <c r="F56" s="6">
        <v>2.16708948612213E16</v>
      </c>
      <c r="G56" s="1">
        <v>4.0</v>
      </c>
      <c r="H56" s="7">
        <f t="shared" si="3"/>
        <v>1</v>
      </c>
      <c r="I56" s="7">
        <f t="shared" si="4"/>
        <v>1</v>
      </c>
    </row>
    <row r="57">
      <c r="A57" s="1">
        <v>55.0</v>
      </c>
      <c r="B57" s="1" t="s">
        <v>123</v>
      </c>
      <c r="C57" s="1" t="s">
        <v>14</v>
      </c>
      <c r="D57" s="1" t="s">
        <v>124</v>
      </c>
      <c r="E57" s="1">
        <v>9.0</v>
      </c>
      <c r="F57" s="6">
        <v>2.52012549400329E15</v>
      </c>
      <c r="G57" s="1">
        <v>7.0</v>
      </c>
      <c r="H57" s="7">
        <f t="shared" si="3"/>
        <v>2</v>
      </c>
      <c r="I57" s="7">
        <f t="shared" si="4"/>
        <v>2</v>
      </c>
    </row>
    <row r="58">
      <c r="A58" s="1">
        <v>56.0</v>
      </c>
      <c r="B58" s="1" t="s">
        <v>125</v>
      </c>
      <c r="C58" s="1" t="s">
        <v>14</v>
      </c>
      <c r="D58" s="1" t="s">
        <v>126</v>
      </c>
      <c r="E58" s="1">
        <v>4.0</v>
      </c>
      <c r="F58" s="6">
        <v>2.78183372735977E15</v>
      </c>
      <c r="G58" s="1">
        <v>5.0</v>
      </c>
      <c r="H58" s="7">
        <f t="shared" si="3"/>
        <v>1</v>
      </c>
      <c r="I58" s="7">
        <f t="shared" si="4"/>
        <v>-1</v>
      </c>
    </row>
    <row r="59">
      <c r="A59" s="1">
        <v>57.0</v>
      </c>
      <c r="B59" s="1" t="s">
        <v>127</v>
      </c>
      <c r="C59" s="1" t="s">
        <v>14</v>
      </c>
      <c r="D59" s="1" t="s">
        <v>128</v>
      </c>
      <c r="E59" s="1">
        <v>0.0</v>
      </c>
      <c r="F59" s="6">
        <v>9.64921779632568E15</v>
      </c>
      <c r="G59" s="1">
        <v>0.0</v>
      </c>
      <c r="H59" s="7">
        <f t="shared" si="3"/>
        <v>0</v>
      </c>
      <c r="I59" s="7">
        <f t="shared" si="4"/>
        <v>0</v>
      </c>
    </row>
    <row r="60">
      <c r="A60" s="1">
        <v>58.0</v>
      </c>
      <c r="B60" s="1" t="s">
        <v>129</v>
      </c>
      <c r="C60" s="1" t="s">
        <v>14</v>
      </c>
      <c r="D60" s="1" t="s">
        <v>130</v>
      </c>
      <c r="E60" s="1">
        <v>2.0</v>
      </c>
      <c r="F60" s="6">
        <v>1.40753490924835E15</v>
      </c>
      <c r="G60" s="1">
        <v>3.0</v>
      </c>
      <c r="H60" s="7">
        <f t="shared" si="3"/>
        <v>1</v>
      </c>
      <c r="I60" s="7">
        <f t="shared" si="4"/>
        <v>-1</v>
      </c>
    </row>
    <row r="61">
      <c r="A61" s="1">
        <v>59.0</v>
      </c>
      <c r="B61" s="1" t="s">
        <v>131</v>
      </c>
      <c r="C61" s="1" t="s">
        <v>14</v>
      </c>
      <c r="D61" s="1" t="s">
        <v>132</v>
      </c>
      <c r="E61" s="1">
        <v>3.0</v>
      </c>
      <c r="F61" s="6">
        <v>1.20104182958602E15</v>
      </c>
      <c r="G61" s="1">
        <v>4.0</v>
      </c>
      <c r="H61" s="7">
        <f t="shared" si="3"/>
        <v>1</v>
      </c>
      <c r="I61" s="7">
        <f t="shared" si="4"/>
        <v>-1</v>
      </c>
    </row>
    <row r="62">
      <c r="A62" s="1">
        <v>60.0</v>
      </c>
      <c r="B62" s="1" t="s">
        <v>133</v>
      </c>
      <c r="C62" s="1" t="s">
        <v>14</v>
      </c>
      <c r="D62" s="1" t="s">
        <v>134</v>
      </c>
      <c r="E62" s="1">
        <v>1.0</v>
      </c>
      <c r="F62" s="6">
        <v>1.66387229442596E16</v>
      </c>
      <c r="G62" s="1">
        <v>3.0</v>
      </c>
      <c r="H62" s="7">
        <f t="shared" si="3"/>
        <v>2</v>
      </c>
      <c r="I62" s="7">
        <f t="shared" si="4"/>
        <v>-2</v>
      </c>
    </row>
    <row r="63">
      <c r="A63" s="1">
        <v>61.0</v>
      </c>
      <c r="B63" s="1" t="s">
        <v>135</v>
      </c>
      <c r="C63" s="1" t="s">
        <v>14</v>
      </c>
      <c r="D63" s="1" t="s">
        <v>136</v>
      </c>
      <c r="E63" s="1">
        <v>9.0</v>
      </c>
      <c r="F63" s="6">
        <v>1.9459727191925E15</v>
      </c>
      <c r="G63" s="1">
        <v>7.0</v>
      </c>
      <c r="H63" s="7">
        <f t="shared" si="3"/>
        <v>2</v>
      </c>
      <c r="I63" s="7">
        <f t="shared" si="4"/>
        <v>2</v>
      </c>
    </row>
    <row r="64">
      <c r="A64" s="1">
        <v>62.0</v>
      </c>
      <c r="B64" s="1" t="s">
        <v>137</v>
      </c>
      <c r="C64" s="1" t="s">
        <v>14</v>
      </c>
      <c r="D64" s="1" t="s">
        <v>138</v>
      </c>
      <c r="E64" s="1">
        <v>3.0</v>
      </c>
      <c r="F64" s="6">
        <v>1.9564201259613E16</v>
      </c>
      <c r="G64" s="1">
        <v>4.0</v>
      </c>
      <c r="H64" s="7">
        <f t="shared" si="3"/>
        <v>1</v>
      </c>
      <c r="I64" s="7">
        <f t="shared" si="4"/>
        <v>-1</v>
      </c>
    </row>
    <row r="65">
      <c r="A65" s="1">
        <v>63.0</v>
      </c>
      <c r="B65" s="1" t="s">
        <v>139</v>
      </c>
      <c r="C65" s="1" t="s">
        <v>14</v>
      </c>
      <c r="D65" s="1" t="s">
        <v>140</v>
      </c>
      <c r="E65" s="1">
        <v>2.0</v>
      </c>
      <c r="F65" s="6">
        <v>1.15966858386993E16</v>
      </c>
      <c r="G65" s="1">
        <v>4.0</v>
      </c>
      <c r="H65" s="7">
        <f t="shared" si="3"/>
        <v>2</v>
      </c>
      <c r="I65" s="7">
        <f t="shared" si="4"/>
        <v>-2</v>
      </c>
    </row>
    <row r="66">
      <c r="A66" s="1">
        <v>64.0</v>
      </c>
      <c r="B66" s="1" t="s">
        <v>141</v>
      </c>
      <c r="C66" s="1" t="s">
        <v>14</v>
      </c>
      <c r="D66" s="1" t="s">
        <v>142</v>
      </c>
      <c r="E66" s="1">
        <v>0.0</v>
      </c>
      <c r="F66" s="6">
        <v>8.6965707540512E15</v>
      </c>
      <c r="G66" s="1">
        <v>0.0</v>
      </c>
      <c r="H66" s="7">
        <f t="shared" si="3"/>
        <v>0</v>
      </c>
      <c r="I66" s="7">
        <f t="shared" si="4"/>
        <v>0</v>
      </c>
    </row>
    <row r="67">
      <c r="A67" s="1">
        <v>65.0</v>
      </c>
      <c r="B67" s="1" t="s">
        <v>143</v>
      </c>
      <c r="C67" s="1" t="s">
        <v>14</v>
      </c>
      <c r="D67" s="1" t="s">
        <v>144</v>
      </c>
      <c r="E67" s="1">
        <v>0.0</v>
      </c>
      <c r="F67" s="6">
        <v>6.38683958053588E15</v>
      </c>
      <c r="G67" s="1">
        <v>0.0</v>
      </c>
      <c r="H67" s="7">
        <f t="shared" si="3"/>
        <v>0</v>
      </c>
      <c r="I67" s="7">
        <f t="shared" si="4"/>
        <v>0</v>
      </c>
    </row>
    <row r="68">
      <c r="A68" s="1">
        <v>66.0</v>
      </c>
      <c r="B68" s="1" t="s">
        <v>145</v>
      </c>
      <c r="C68" s="1" t="s">
        <v>14</v>
      </c>
      <c r="D68" s="1" t="s">
        <v>146</v>
      </c>
      <c r="E68" s="1">
        <v>4.0</v>
      </c>
      <c r="F68" s="6">
        <v>2.23812364339828E15</v>
      </c>
      <c r="G68" s="1">
        <v>4.0</v>
      </c>
      <c r="H68" s="7">
        <f t="shared" si="3"/>
        <v>0</v>
      </c>
      <c r="I68" s="7">
        <f t="shared" si="4"/>
        <v>0</v>
      </c>
    </row>
    <row r="69">
      <c r="A69" s="1">
        <v>67.0</v>
      </c>
      <c r="B69" s="1" t="s">
        <v>147</v>
      </c>
      <c r="C69" s="1" t="s">
        <v>14</v>
      </c>
      <c r="D69" s="1" t="s">
        <v>148</v>
      </c>
      <c r="E69" s="1">
        <v>6.0</v>
      </c>
      <c r="F69" s="6">
        <v>1.60345533132553E15</v>
      </c>
      <c r="G69" s="1">
        <v>4.0</v>
      </c>
      <c r="H69" s="7">
        <f t="shared" si="3"/>
        <v>2</v>
      </c>
      <c r="I69" s="7">
        <f t="shared" si="4"/>
        <v>2</v>
      </c>
    </row>
    <row r="70">
      <c r="A70" s="1">
        <v>68.0</v>
      </c>
      <c r="B70" s="1" t="s">
        <v>149</v>
      </c>
      <c r="C70" s="1" t="s">
        <v>14</v>
      </c>
      <c r="D70" s="1" t="s">
        <v>150</v>
      </c>
      <c r="E70" s="1">
        <v>8.0</v>
      </c>
      <c r="F70" s="6">
        <v>2.41186590671539E15</v>
      </c>
      <c r="G70" s="1">
        <v>7.0</v>
      </c>
      <c r="H70" s="7">
        <f t="shared" si="3"/>
        <v>1</v>
      </c>
      <c r="I70" s="7">
        <f t="shared" si="4"/>
        <v>1</v>
      </c>
    </row>
    <row r="71">
      <c r="A71" s="1">
        <v>69.0</v>
      </c>
      <c r="B71" s="1" t="s">
        <v>151</v>
      </c>
      <c r="C71" s="1" t="s">
        <v>14</v>
      </c>
      <c r="D71" s="1" t="s">
        <v>152</v>
      </c>
      <c r="E71" s="1">
        <v>5.0</v>
      </c>
      <c r="F71" s="6">
        <v>2.07393391370773E16</v>
      </c>
      <c r="G71" s="1">
        <v>4.0</v>
      </c>
      <c r="H71" s="7">
        <f t="shared" si="3"/>
        <v>1</v>
      </c>
      <c r="I71" s="7">
        <f t="shared" si="4"/>
        <v>1</v>
      </c>
    </row>
    <row r="72">
      <c r="A72" s="1">
        <v>70.0</v>
      </c>
      <c r="B72" s="1" t="s">
        <v>153</v>
      </c>
      <c r="C72" s="1" t="s">
        <v>14</v>
      </c>
      <c r="D72" s="1" t="s">
        <v>154</v>
      </c>
      <c r="E72" s="1">
        <v>0.0</v>
      </c>
      <c r="F72" s="6">
        <v>6.53664729595184E15</v>
      </c>
      <c r="G72" s="1">
        <v>2.0</v>
      </c>
      <c r="H72" s="7">
        <f t="shared" si="3"/>
        <v>2</v>
      </c>
      <c r="I72" s="7">
        <f t="shared" si="4"/>
        <v>-2</v>
      </c>
    </row>
    <row r="73">
      <c r="A73" s="1">
        <v>71.0</v>
      </c>
      <c r="B73" s="1" t="s">
        <v>13</v>
      </c>
      <c r="C73" s="1" t="s">
        <v>14</v>
      </c>
      <c r="D73" s="1" t="s">
        <v>155</v>
      </c>
      <c r="E73" s="1">
        <v>4.0</v>
      </c>
      <c r="F73" s="6">
        <v>1.77939490079879E16</v>
      </c>
      <c r="G73" s="1">
        <v>3.0</v>
      </c>
      <c r="H73" s="7">
        <f t="shared" si="3"/>
        <v>1</v>
      </c>
      <c r="I73" s="7">
        <f t="shared" si="4"/>
        <v>1</v>
      </c>
    </row>
    <row r="74">
      <c r="A74" s="1">
        <v>72.0</v>
      </c>
      <c r="B74" s="1" t="s">
        <v>16</v>
      </c>
      <c r="C74" s="1" t="s">
        <v>14</v>
      </c>
      <c r="D74" s="1" t="s">
        <v>156</v>
      </c>
      <c r="E74" s="1">
        <v>2.0</v>
      </c>
      <c r="F74" s="6">
        <v>1.76411461353302E14</v>
      </c>
      <c r="G74" s="1">
        <v>3.0</v>
      </c>
      <c r="H74" s="7">
        <f t="shared" si="3"/>
        <v>1</v>
      </c>
      <c r="I74" s="7">
        <f t="shared" si="4"/>
        <v>-1</v>
      </c>
    </row>
    <row r="75">
      <c r="A75" s="1">
        <v>73.0</v>
      </c>
      <c r="B75" s="1" t="s">
        <v>18</v>
      </c>
      <c r="C75" s="1" t="s">
        <v>14</v>
      </c>
      <c r="D75" s="1" t="s">
        <v>157</v>
      </c>
      <c r="E75" s="1">
        <v>5.0</v>
      </c>
      <c r="F75" s="6">
        <v>2.29655349016189E16</v>
      </c>
      <c r="G75" s="1">
        <v>4.0</v>
      </c>
      <c r="H75" s="7">
        <f t="shared" si="3"/>
        <v>1</v>
      </c>
      <c r="I75" s="7">
        <f t="shared" si="4"/>
        <v>1</v>
      </c>
    </row>
    <row r="76">
      <c r="A76" s="1">
        <v>74.0</v>
      </c>
      <c r="B76" s="1" t="s">
        <v>20</v>
      </c>
      <c r="C76" s="1" t="s">
        <v>14</v>
      </c>
      <c r="D76" s="1" t="s">
        <v>158</v>
      </c>
      <c r="E76" s="1">
        <v>4.0</v>
      </c>
      <c r="F76" s="6">
        <v>2.27232804536819E16</v>
      </c>
      <c r="G76" s="1">
        <v>4.0</v>
      </c>
      <c r="H76" s="7">
        <f t="shared" si="3"/>
        <v>0</v>
      </c>
      <c r="I76" s="7">
        <f t="shared" si="4"/>
        <v>0</v>
      </c>
    </row>
    <row r="77">
      <c r="A77" s="1">
        <v>75.0</v>
      </c>
      <c r="B77" s="1" t="s">
        <v>22</v>
      </c>
      <c r="C77" s="1" t="s">
        <v>14</v>
      </c>
      <c r="D77" s="1" t="s">
        <v>159</v>
      </c>
      <c r="E77" s="1">
        <v>6.0</v>
      </c>
      <c r="F77" s="6">
        <v>1.81923084497451E16</v>
      </c>
      <c r="G77" s="1">
        <v>3.0</v>
      </c>
      <c r="H77" s="7">
        <f t="shared" si="3"/>
        <v>3</v>
      </c>
      <c r="I77" s="7">
        <f t="shared" si="4"/>
        <v>3</v>
      </c>
    </row>
    <row r="78">
      <c r="A78" s="1">
        <v>76.0</v>
      </c>
      <c r="B78" s="1" t="s">
        <v>24</v>
      </c>
      <c r="C78" s="1" t="s">
        <v>14</v>
      </c>
      <c r="D78" s="1" t="s">
        <v>25</v>
      </c>
      <c r="E78" s="1">
        <v>6.0</v>
      </c>
      <c r="F78" s="1">
        <v>300.0</v>
      </c>
      <c r="H78" s="7">
        <f t="shared" si="3"/>
        <v>6</v>
      </c>
      <c r="I78" s="7">
        <f t="shared" si="4"/>
        <v>6</v>
      </c>
    </row>
    <row r="79">
      <c r="A79" s="1">
        <v>77.0</v>
      </c>
      <c r="B79" s="1" t="s">
        <v>26</v>
      </c>
      <c r="C79" s="1" t="s">
        <v>14</v>
      </c>
      <c r="D79" s="1" t="s">
        <v>160</v>
      </c>
      <c r="E79" s="1">
        <v>7.0</v>
      </c>
      <c r="F79" s="6">
        <v>1.85612570524215E15</v>
      </c>
      <c r="G79" s="1">
        <v>7.0</v>
      </c>
      <c r="H79" s="7">
        <f t="shared" si="3"/>
        <v>0</v>
      </c>
      <c r="I79" s="7">
        <f t="shared" si="4"/>
        <v>0</v>
      </c>
    </row>
    <row r="80">
      <c r="A80" s="1">
        <v>78.0</v>
      </c>
      <c r="B80" s="1" t="s">
        <v>28</v>
      </c>
      <c r="C80" s="1" t="s">
        <v>14</v>
      </c>
      <c r="D80" s="1" t="s">
        <v>161</v>
      </c>
      <c r="E80" s="1">
        <v>5.0</v>
      </c>
      <c r="F80" s="6">
        <v>9.72474172115325E15</v>
      </c>
      <c r="G80" s="1">
        <v>4.0</v>
      </c>
      <c r="H80" s="7">
        <f t="shared" si="3"/>
        <v>1</v>
      </c>
      <c r="I80" s="7">
        <f t="shared" si="4"/>
        <v>1</v>
      </c>
    </row>
    <row r="81">
      <c r="A81" s="1">
        <v>79.0</v>
      </c>
      <c r="B81" s="1" t="s">
        <v>30</v>
      </c>
      <c r="C81" s="1" t="s">
        <v>14</v>
      </c>
      <c r="D81" s="1" t="s">
        <v>162</v>
      </c>
      <c r="E81" s="1">
        <v>7.0</v>
      </c>
      <c r="F81" s="6">
        <v>1.92055203914642E16</v>
      </c>
      <c r="G81" s="1">
        <v>5.0</v>
      </c>
      <c r="H81" s="7">
        <f t="shared" si="3"/>
        <v>2</v>
      </c>
      <c r="I81" s="7">
        <f t="shared" si="4"/>
        <v>2</v>
      </c>
    </row>
  </sheetData>
  <drawing r:id="rId1"/>
</worksheet>
</file>