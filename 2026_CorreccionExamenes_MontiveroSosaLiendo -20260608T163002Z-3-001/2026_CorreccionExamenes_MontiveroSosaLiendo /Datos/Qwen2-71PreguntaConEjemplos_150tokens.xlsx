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wen2-71PreguntaConEjemplos_150" sheetId="1" r:id="rId5"/>
  </sheets>
  <definedNames/>
  <calcPr/>
</workbook>
</file>

<file path=xl/sharedStrings.xml><?xml version="1.0" encoding="utf-8"?>
<sst xmlns="http://schemas.openxmlformats.org/spreadsheetml/2006/main" count="230" uniqueCount="160">
  <si>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</si>
  <si>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</si>
  <si>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</si>
  <si>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</si>
  <si>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</si>
  <si>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</si>
  <si>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</si>
  <si>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</si>
  <si>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</si>
  <si>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</si>
  <si>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</si>
  <si>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</si>
  <si>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</si>
  <si>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</si>
  <si>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</si>
  <si>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Evaluación: Nota: 4
Justificación: La respuesta intenta explicar el uso de aserciones en pruebas, pero contiene varios errores y falta claridad. Se indica que las aserciones se usan para "ejecutar los test ya implementados", lo cual es incorrecto. Las aserciones no ejecutan los tests; en cambio, se utilizan dentro de los tests para validar ciertos comportamientos o resultados.
Además, la respuesta no proporciona una descripción precisa de qué son las aserciones y cómo se utilizan. Falta información sobre la estructura típica de una aserción (como assertTrue, assertFalse, assertEquals, etc.) y su importancia en el</t>
  </si>
  <si>
    <t>Respuesta: Las aserciones en el contexto del software, son muy relevantes para cubrir el codigo y evitar excepciones y errores que provocarian si no son revisados con este metodo asertivo.</t>
  </si>
  <si>
    <t>Evaluación:
Nota: 3
Justificación: 
La respuesta reconoce la importancia de las aserciones para evitar excepciones y errores, pero esta idea es demasiado general y no explora adecuadamente cómo se utilizan específicamente en los tests ni por qué son importantes. No se proporcionan ejemplos de cómo se implementan las aserciones en pruebas de software, ni se explica su utilidad para verificar que el código funcione según lo esperado. La respuesta carece de detalle técnico relevante y no se centra en la naturaleza de las aserciones como herramientas de verificación de tests. Por lo tanto, se le asigna una calificación baja.</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</si>
  <si>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</si>
  <si>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</si>
  <si>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</si>
  <si>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</si>
  <si>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</si>
  <si>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la importancia de las aserciones en los tests, pero la explicación es demasiado general y no detalla cómo se utilizan ni por qué son importantes. Menciona que las aserciones confirman que los tests están bien hechos, pero no se especifica cómo realizan esta verificación ni qué tipo de errores pueden detectar. Además, la frase "consiguen abarcar todas o la mayoria de los posibles errores de neustros test y codigo de proyecto" contiene errores ortográficos y gramaticales que afectan la claridad de la explicación. Para mejorar, sería necesario proporcionar ejemplos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</si>
  <si>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</si>
  <si>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intenta describir el propósito y uso de las aserciones en los tests, señalando que sirven para validar si las funcionalidades son correctas. Sin embargo, hay varios errores y falta de claridad:
1. **Terminología incorrecta**: Se dice "herramientas de test que te dicen cuales son funcionalidades correctas y cuales no", lo cual es incorrecto. Las aserciones no dicen directamente si las funcionalidades son correctas o no, sino que validan si ciertas condiciones son verdaderas.
2. **Concepto incompleto**: Falta una descripción clara de cómo</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</si>
  <si>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</si>
  <si>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La respuesta intenta explicar el propósito de las aserciones, pero contiene varios errores y carencias.
1. **Precisión Conceptual**: La descripción de las aserciones es inexacta. Las aserciones no son simplemente una comprobación de si un test funciona correctamente o no; son herramientas específicas dentro de los tests para verificar condiciones booleanas. La respuesta debería enfocarse en cómo se utilizan para validar resultados esperados.
2. **Completitud de la Respuesta**: Falta información crucial sobre cómo se utilizan las aserciones (por ejemplo, `assertEquals`, `assertTrue`, etc.) y sus aplicaciones en pr</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</si>
  <si>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</si>
  <si>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contiene algunos elementos correctos sobre las aserciones, como que se usan en pruebas unitarias y que pueden fallar si no se cumplen las condiciones. Sin embargo, hay varios errores y falta información crucial:
1. **Concepto Incorrecto**: Las aserciones no solo funcionan "únicamente cuando se cumple una condición". En realidad, las aserciones se utilizan para verificar que ciertas condiciones sean verdaderas y, si no lo son, provocan una excepción (AssertionError), lo cual indica que algo ha salido mal.
2. **Uso de Anotaciones**: La respuesta menciona anotaciones</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</si>
  <si>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</si>
  <si>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detallada. Menciona correctamente que las aserciones se utilizan para validar entradas en los tests, y especifica su uso en la etapa "Assert" del patrón AAA (Arrange, Act, Assert). También proporciona ejemplos concretos de cómo se pueden utilizar, como `assertEquals` para comprobar igualdad y `assertTrue`/`assertFalse` para verificar condiciones booleanas.
Sin embargo, hay algunas áreas que podrían mejorar:
1. **Claridad sobre el propósito**: La respuesta menciona que son importantes para mantener la integridad de los datos, pero sería útil añadir que las</t>
  </si>
  <si>
    <t>Respuesta: las aserciones permiten validar que el test haya pasado o no despues de haber declarado las variables con arrange y ejecutarlas con act, y assert valida que el test haya sido pasado con éxito, que es lo que buscamos</t>
  </si>
  <si>
    <t>Evaluación: Nota: 4
Justificación: La respuesta intenta describir el uso de aserciones en los tests, pero contiene varios errores y falta información crucial.
- **Errores detectados**:
  - Confunde aserciones con el proceso de "arrange", "act" y "assert". El término "arrange" no está relacionado directamente con las aserciones; es parte del patrón de diseño Arrange-Act-Assert (AAA), que es una forma de estructurar pruebas unitarias.
  - Sostiene que "assert valida que el test haya sido pasado con éxito", lo cual no es exacto. Las aserciones no "validan" que el</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</si>
  <si>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</si>
  <si>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5
Justificación: La respuesta proporciona una idea general sobre el propósito de las aserciones en los tests, mencionando que miden si los resultados obtenidos coinciden con los esperados y que indican si un test ha pasado o fallado. Sin embargo, la explicación es bastante simplista y carece de detalles técnicos importantes. Por ejemplo, no se menciona explícitamente que las aserciones deben utilizarse dentro de los bloques de prueba (tests) para verificar el comportamiento del código. Además, la terminología no es precisa; "instrucción" no es el término técnico correcto para referirse a las aserciones. La respuesta carece</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</si>
  <si>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</si>
  <si>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4
Justificación: La respuesta menciona parcialmente que las aserciones son validaciones que comprueban si una afirmación es correcta, pero esta descripción es bastante básica y no es suficiente para entender completamente el concepto. Además, la respuesta no distingue claramente entre aserciones en pruebas y validaciones en general.
El estudiante señala correctamente que las aserciones se pueden utilizar tanto en clases, métodos y ramas, aunque esta información podría ser más precisa al especificar que usualmente se usan en métodos de prueba (assertions en métodos de test). 
La parte sobre la importancia de las aserciones es más</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</si>
  <si>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</si>
  <si>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5
Justificación: La respuesta reconoce correctamente que las aserciones en los tests permiten comprobar si una condición es verdadera y proporciona un ejemplo concreto usando `AssertTrue`. También señala que las aserciones son importantes para optimizar el desarrollo y la verificación de tests. Sin embargo, la explicación es bastante breve y general, carece de profundidad y detalles adicionales que podrían mejorar la comprensión.
Los conceptos correctamente mencionados incluyen:
- La función de las aserciones en los tests.
- Un ejemplo específico de uso (`AssertTrue`).
- La importancia de las aserciones para optimizar y simpl</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</si>
  <si>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</si>
  <si>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5
Justificación: La respuesta identifica correctamente que las aserciones se usan para validar y comparar objetos o valores, y que si una aserción falla, el test también fallará. Esta información es relevante y se relaciona con el concepto evaluado. Sin embargo, la explicación es bastante breve y no desarrolla completamente el tema. Falta explicar más sobre cómo se utilizan las aserciones dentro de los tests y por qué son importantes. Además, la frase "esto nos ayuda a la hora de resolver errores en el código o ver como es el flujo del programa" es demasiado genérica y no proporciona una explicación clara de</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</si>
  <si>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</si>
  <si>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contiene información relevante sobre cómo se utilizan las aserciones en los tests y su importancia. El estudiante menciona correctamente que las aserciones permiten especificar qué se espera de la salida de un método o prueba, y menciona ejemplos como `assertEqual` para comparar valores esperados contra los obtenidos. También indica que existen múltiples tipos de aserciones para diferentes tipos de datos, incluyendo la comprobación de valores nulos.
Sin embargo, la respuesta carece de claridad y coherencia en algunos aspectos:
1. La frase "las aserciones en los test es un apart</t>
  </si>
  <si>
    <t>Respuesta: Los assert sirven para comprobar lo que devuelve o hacen las funciones, son unos de los pilares para poder hacer los test en el TDD.</t>
  </si>
  <si>
    <t>Evaluación: Nota: 5
Justificación: La respuesta identifica correctamente que las aserciones se utilizan para comprobar lo que devuelven o realizan las funciones, y reconoce su importancia en el Test-Driven Development (TDD). Sin embargo, la explicación es bastante general y no proporciona detalles sobre cómo se utilizan específicamente en los tests ni por qué son importantes. Falta una descripción más detallada de cómo se implementan las aserciones y cuáles son sus beneficios en la verificación del comportamiento del código.</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</si>
  <si>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</si>
  <si>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reconoce correctamente que las aserciones se utilizan para comparar resultados, lo cual es una parte importante de su función. Sin embargo, la explicación es bastante superficial y falta información crucial sobre cómo exactamente se usan las aserciones dentro de los tests y por qué son importantes.
- **Conceptos correctamente mencionados**: La respuesta reconoce que las aserciones se utilizan para comparar resultados, identificando un resultado esperado y uno actual.
- **Errores detectados**: 
  - Falta especificar que las aserciones se utilizan dentro del cuerpo de los tests para verificar que el comportamiento del código coincide con</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</si>
  <si>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</si>
  <si>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3
**Justificación:** 
La respuesta intenta abordar el uso de las aserciones en los tests y su importancia, pero presenta varios errores y falta información relevante. 
- **Precisión Conceptual:** La respuesta confunde las aserciones con la ejecución ordenada de los tests y la cobertura del código. No se menciona correctamente qué son las aserciones, cómo se utilizan ni cuál es su propósito principal.
- **Complejidad de la Respuesta:** La respuesta es corta y no desarrolla adecuadamente el tema. Falta una explicación clara y detallada sobre cómo se utilizan las aserciones</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</si>
  <si>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</si>
  <si>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5
Justificación: La respuesta reconoce que las aserciones se utilizan para validar soluciones específicas en las funciones del código y menciona un ejemplo básico. Sin embargo, hay varios aspectos importantes que faltan:
1. **Terminología y Concepto**: La respuesta usa la palabra "soliuciones" en lugar de "soluciones", lo cual es un error tipográfico. Además, no se menciona explícitamente que las aserciones se usan dentro de los tests.
2. **Uso Correcto de la Terminología**: Falta una descripción precisa de lo que son las aserciones y cómo se utilizan. Por ejemplo,</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</si>
  <si>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</si>
  <si>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5
Justificación: La respuesta identifica correctamente que las aserciones se utilizan para hacer comparaciones entre valores introducidos y deseados y que son fundamentales para los test unitarios. Sin embargo, la explicación es bastante general y carece de profundidad técnica. La idea de que las aserciones ayudan a garantizar el correcto flujo de datos y robustez del programa es correcta, pero falta explicar cómo exactamente se utilizan dentro de los tests y por qué son importantes. 
Se recomienda incluir detalles sobre el uso de métodos como `assertTrue`, `assertEquals` y otros, así como mencionar cómo las aserciones permiten</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</si>
  <si>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</si>
  <si>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6
Justificación: La respuesta contiene elementos correctos sobre el uso de aserciones en pruebas, pero presenta algunas confusiones y falta claridad en la explicación.
Correctos:
- Menciona que las aserciones se usan para comprobar entradas inválidas y excepciones.
- Indica que son importantes para la robustez del software.
Incorrectos:
- La respuesta mezcla el uso de aserciones con la excepción de división por cero, lo cual no es preciso. Las aserciones se utilizan para comprobar supuestos o precondiciones, no para manejar excepciones directamente.
- La descripción del AAA</t>
  </si>
  <si>
    <t>Respuesta: Las podemos usar en diferentes modos:
* Para clases.
* Para integraciones.
* Para tets.</t>
  </si>
  <si>
    <t>Evaluación: Nota: 3
Justificación: La respuesta intenta abordar el tema de las aserciones en los tests, pero la información proporcionada es confusa y poco detallada. Menciona que se pueden usar en diferentes modos, pero no especifica correctamente cómo se utilizan ni por qué son importantes.
Los errores principales incluyen:
- Confusión sobre el uso de aserciones, ya que se menciona "clases" y "integraciones", conceptos diferentes a los de pruebas unitarias o de integración.
- Falta de detalles sobre cómo se utilizan las aserciones en los tests, como comparar valores, comprobar condiciones booleanas, etc</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</si>
  <si>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</si>
  <si>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7
Justificación: 
La respuesta proporciona una descripción general correcta de las aserciones y su uso en pruebas de software. Menciona correctamente que las aserciones son declaraciones que verifican si una condición se cumple o no, y que se utilizan para asegurar que el código fuente funciona como se espera.
Sin embargo, hay algunos aspectos que podrían mejorar la respuesta:
1. **Ejemplos concretos**: La respuesta incluye un ejemplo básico de cómo usar `assertEquals`, pero sería útil proporcionar más ejemplos de diferentes tipos de aserciones (por ejemplo, `assertTrue`, `assertNull`, etc.) para il</t>
  </si>
  <si>
    <t>Respuesta: Se utilizan en los tests para comprobar trozos pequeños de codigo, y tienen importancia ya que validan el código, aportando seguridad al software.</t>
  </si>
  <si>
    <t>Evaluación:
Nota: 4
Justificación: La respuesta reconoce correctamente que las aserciones se utilizan en pruebas para comprobar partes del código y menciona que son importantes para validar el código. Sin embargo, la explicación es bastante superficial. Falta detallar cómo se utilizan específicamente (por ejemplo, con assertTrue, assertFalse, assertEquals), y no se mencionan las ventajas adicionales de las aserciones, como la capacidad de verificar que el comportamiento del código coincide con lo esperado, o su utilidad para identificar errores temprano en el ciclo de desarrollo. Además, aunque se indica que aportan seguridad al software, no se explica cómo lo hacen.</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</si>
  <si>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</si>
  <si>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4
Justificación: La respuesta contiene elementos correctos sobre el uso de aserciones en pruebas de software, como la idea de que se utilizan para comprobar partes individuales de código (un método o una clase). Sin embargo, hay varios errores y falta de detalle que reducen la calidad de la respuesta:
1. **Precisión Conceptual**: La respuesta no define claramente qué son las aserciones y cómo se utilizan. Menciona que se usan para comprobar "pequeños trozos de código", pero esto es demasiado vago y no explica cómo se integran en el proceso de prueba.
2. **Completitud de</t>
  </si>
  <si>
    <t>Respuesta: assert.equals sirve para introducir valores en los parámetros a la hora de hacer tests</t>
  </si>
  <si>
    <t>Evaluación: Nota: 3
Justificación: La respuesta comienza correctamente al mencionar que `assert` se utiliza para introducir valores en los parámetros de los tests. Sin embargo, hay varios errores y faltantes:
1. **Uso incorrecto de la terminología**: La frase "assert.equals" no es correcta. En Java, por ejemplo, se usa `assertEquals` para verificar igualdad entre dos valores.
2. **Falta de explicación sobre cómo se utilizan las aserciones**: La respuesta no explica cómo se utilizan las aserciones en los tests. Debería detallar que `assertEquals`, por ejemplo, se usa para comprobar que dos</t>
  </si>
  <si>
    <t>Respuesta: .</t>
  </si>
  <si>
    <t>Evaluación: Nota: 3
Justificación: La respuesta comienza bien al mencionar que las aserciones se utilizan en los tests, pero luego pierde coherencia y relevancia. No se proporciona una explicación clara de cómo se utilizan las aserciones para verificar el comportamiento del código ni se detalla por qué son importantes. La respuesta carece de ejemplos concretos y no desarrolla suficientemente la idea principal. Por lo tanto, aunque hay una mención correcta al uso de aserciones en los tests, la falta de profundidad y claridad en la explicación reduce significativamente la puntuación.
Para mejorar, la respuesta debería incl</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</si>
  <si>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</si>
  <si>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correctamente que las aserciones se utilizan para comparar los resultados obtenidos con los esperados, lo cual es un concepto básico. Sin embargo, la descripción es bastante general y no proporciona detalles sobre cómo se implementan específicamente dentro de los tests o por qué son importantes. La mención de que se usan "en la parte final de los test" sugiere una comprensión parcial, ya que las aserciones pueden y deben utilizarse en cualquier punto del código que se esté probando, no solo al final. Falta información sobre el impacto en la detección de errores y la mejora de</t>
  </si>
  <si>
    <t>Respuesta: Las aserciones sirven para evaluar concretamente un valor esperado del test ya sea en una comparación de valores, de referencias, booleanas, etc...</t>
  </si>
  <si>
    <t>Evaluación: Nota: 5
Justificación: La respuesta identifica correctamente que las aserciones se utilizan para evaluar valores esperados en pruebas, aunque no es tan precisa al describir exactamente qué son las aserciones. La respuesta menciona varias posibles usos (comparaciones de valores, referencias, booleanas), lo cual es una buena señal, pero carece de profundidad.
Los errores principales incluyen:
- Falta de definición clara de qué son las aserciones y cómo se implementan.
- Falta de contexto sobre su uso en el desarrollo de pruebas.
- Falta de explicación sobre por qué son importantes.
Conceptos importantes que faltan</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</si>
  <si>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</si>
  <si>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4
Justificación: La respuesta contiene algunos elementos correctos sobre aserciones, como la idea de que hay diferentes tipos de aserciones y que su uso puede influir en los resultados de los tests. Sin embargo, hay varios problemas:
1. **Precisión Conceptual**: La respuesta no explica correctamente cómo se utilizan las aserciones en los tests. Menciona solo un ejemplo (AssertionEquals), pero no describe cómo funciona realmente. Falta información sobre cómo se compara el resultado esperado con el obtenido.
2. **Completitud de la Respuesta**: La respuesta no aborda completamente el tema. Falta una explicación sobre el propósito principal de las as</t>
  </si>
  <si>
    <t>Respuesta: Las aserciones son verificaciones de las validaciones de entrada. Un ejemplo podría ser assertionNotNull(actual) / assertionNull(actual) que nos sirve para conocer si el valor de entrada (actual) es nulo o no.</t>
  </si>
  <si>
    <t>Evaluación: Nota: 4
Justificación: La respuesta comienza con un concepto incorrecto, ya que asume que las aserciones son "verificaciones de las validaciones de entrada", cuando en realidad son herramientas utilizadas para verificar el comportamiento del código durante la ejecución de pruebas unitarias.
Menciona correctamente dos métodos de aserción: `assertionNotNull` y `assertionNull`, pero solo proporciona un ejemplo muy básico y limitado sobre cómo se usan para verificar si un valor es nulo o no. 
No se explica cómo se utilizan en los tests para validar el comportamiento del código, ni se menciona la importancia de las aserc</t>
  </si>
  <si>
    <t>Respuesta: Las aserciones se utilizan para estructurar y validar la forma en al que los tests se realizan. Esto hace que sean mas fiables y que tenga mayor cobertura.</t>
  </si>
  <si>
    <t>Evaluación: Nota: 4
Justificación: La respuesta reconoce que las aserciones son útiles para mejorar la fiabilidad y la cobertura de los tests, lo cual es correcto. Sin embargo, la explicación es bastante genérica y no profundiza en los detalles sobre cómo se utilizan las aserciones ni en sus beneficios específicos en términos de validación del comportamiento del código. Falta una descripción más precisa de cómo se implementan y ejemplos de uso, así como la explicación de por qué son importantes para verificar que el código se comporta como se espera.
Para obtener una puntuación más alta, se deberían incluir detalles sobre cómo se escri</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</si>
  <si>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</si>
  <si>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7
Justificación: La respuesta menciona correctamente que las aserciones en los tests se utilizan para comprobar el funcionamiento correcto del código y proporciona ejemplos de diferentes tipos de aserciones como `assertEquals`, `assertThrows` y `assertNotNull`. Esto demuestra una comprensión básica de cómo y para qué se utilizan las aserciones.
Sin embargo, hay algunos aspectos que podrían mejorar:
- La respuesta podría aclarar que estas funciones son parte de la librería JUnit o similar, y no simplemente "funciones predefinidas" en general.
- Falta mencionar explícitamente que estas aserc</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</si>
  <si>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</si>
  <si>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identifica que las aserciones tienen un papel crucial en los tests, aunque la descripción es bastante simplista y no profundiza en los detalles necesarios para entender completamente el concepto.
Los errores principales incluyen:
- **Precisión conceptual**: La palabra "assercciones" está mal escrita (debería ser "assertiones"). Además, la descripción de las aserciones es demasiado genérica y no proporciona información sobre cómo se utilizan ni cuáles son sus beneficios específicos.
- **Completitud de la respuesta**: Falta una explicación clara sobre cómo se utilizan las aserciones en los tests</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</si>
  <si>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</si>
  <si>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reconoce correctamente la función principal de las aserciones en los tests, que es verificar que el código produzca los resultados esperados. Menciona el uso de `assertEquals` para comparar valores, lo cual es correcto. Además, la idea de aislamiento de valores variables dentro del código también está presente, aunque no se explica con gran detalle.
Sin embargo, hay algunos puntos que podrían mejorar la respuesta:
1. **Precisión Conceptual**: La respuesta menciona "valores que pueden diferir dentro del código" sin entrar en detalles sobre cómo estas aserciones ayudan a detectar errores. Se podría agregar información sobre cómo</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</si>
  <si>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</si>
  <si>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7
Justificación: La respuesta reconoce que las aserciones se utilizan en los tests para comprobar escenarios y menciona algunas de sus aplicaciones, como comparar igualdades y verificar que una variable no sea null. Sin embargo, hay algunos aspectos que faltan para mejorar la precisión y completitud de la respuesta:
- **Precisión Conceptual**: La respuesta es general y no profundiza en la naturaleza específica de las aserciones. Es correcto decir que existen diferentes tipos de aserciones, pero no se menciona explícitamente que las aserciones son una parte del marco de pruebas y que se utilizan dentro de</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</si>
  <si>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</si>
  <si>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 **Nota:** 4
**Justificación:**
La respuesta contiene algunos elementos correctos, como la mención de diferentes métodos de aserción (assertEquals, assertTrue, assertFalse) y un ejemplo de cómo podrían usarse en un contexto de prueba. Sin embargo, hay varios errores y falta información crucial:
1. **Uso Incorrecto de la Terminología:** Se usa "asserequals" en lugar de "assertEquals". Además, "assertrue" y "assertfalse" no son términos válidos; el correcto sería "assertTrue" y "assertFalse".
2. **Complejidad Insuficiente:** La explicación es bastante superficial. Falta una</t>
  </si>
  <si>
    <t>Respuesta: Los assertions se pueden utilizar para los test como una declaración para verificar una condición y si la condición es falsa, el test fallará. Es importante por que ayuda a minimizar el código de los tests.</t>
  </si>
  <si>
    <t>Evaluación:
Nota: 5
Justificación: La respuesta reconoce que las aserciones se utilizan en los tests para verificar condiciones y que si estas condiciones son falsas, el test fallará. Esto es correcto desde un punto de vista técnico. Sin embargo, hay varios aspectos que faltan:
1. **Precisión Conceptual**: Menciona correctamente que las aserciones se usan para verificar condiciones, pero no explica cómo se utilizan específicamente dentro de los tests.
2. **Completitud de la Respuesta**: Falta información sobre cómo exactamente se implementan las aserciones en los tests (por ejemplo, usando `assertThat`, `assertTrue`, etc.). Además,</t>
  </si>
  <si>
    <t>Respuesta: Las aserciones son importantes ya que validad los resultados de los tests, al fin y al cabo son los encargados de decir si un test pasa o no. Se utilizan al final del test</t>
  </si>
  <si>
    <t>Evaluación: Nota: 4
Justificación: La respuesta reconoce que las aserciones determinan si un test ha pasado o no, lo cual es correcto. Sin embargo, la explicación es bastante limitada y no proporciona detalles sobre cómo se utilizan las aserciones dentro de un test o ejemplos de situaciones en las que podrían aplicarse. Además, se indica que se utilizan "al final del test", pero no se explica el contexto ni el propósito de su uso en esa etapa. La respuesta carece de profundidad y no cubre aspectos cruciales como la verificación de condiciones específicas, la comparación de valores esperados con los obtenidos, o</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</si>
  <si>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</si>
  <si>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proporciona una idea básica sobre cómo se utilizan las aserciones en los tests y su importancia, destacando que ayudan a verificar que los métodos funcionen correctamente con valores concretos. Además, sugiere que este uso puede escalar a métodos más complejos, lo cual es una buena observación.
Sin embargo, la explicación puede mejorar al ser más detallada y técnica. La respuesta carece de ejemplos concretos de aserciones (como `assertTrue`, `assertEquals`, etc.) y no se expande sobre cómo las aserciones ayudan a detectar errores específicos o a verificar condiciones complejas.</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</si>
  <si>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</si>
  <si>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5
Justificación: La respuesta reconoce que las aserciones se utilizan para verificar si una condición se cumple, y menciona que si no se cumple, el test falla. Sin embargo, hay varios aspectos que faltan para una explicación completa:
1. **Uso específico**: Menciona `assertEquals` y `assertTrue`, pero no explica cómo se usan estos métodos específicamente. Falta una descripción más detallada de cómo estas aserciones se aplican en el contexto de los tests.
2. **Importancia**: La respuesta menciona que las aserciones miden si una condición es verdadera, pero no</t>
  </si>
  <si>
    <t>Respuesta: Son importantes porque se pueden usar para distintas situaciones, ya sea para ver si funcionan, para ver si son iguales, para eliminar o añadir mas.</t>
  </si>
  <si>
    <t>Evaluación: Nota: 3
Justificación: La respuesta intenta abordar la importancia y el uso de las aserciones, pero presenta varias inexactitudes y falta de claridad. Menciona correctamente que las aserciones se usan para verificar si algo funciona, pero confunde esto con verificar si dos cosas son iguales, lo cual no es correcto. Además, la parte final de la respuesta ("para ver si... eliminar o añadir más") no tiene sentido en el contexto de las aserciones y parece estar mal formulada.
La respuesta carece de detalles sobre cómo se usan las aserciones en los tests (por ejemplo, con assertTrue, assertFalse, assertEquals, etc.)</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</si>
  <si>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</si>
  <si>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Nota: 7
Justificación: La respuesta contiene elementos correctos sobre el uso y la importancia de las aserciones en pruebas de software. Menciona correctamente que las aserciones son una parte fundamental en el testing y proporciona ejemplos de métodos como `assertTrue`, `assertFalse` y `assertThrow`. La respuesta también explica de forma adecuada que estas aserciones validan si el resultado de una función es el esperado y cómo esto se puede demostrar con un ejemplo.
Sin embargo, hay algunas áreas que podrían mejorar:
1. **Claridad en el ejemplo**: El ejemplo dado `asserTrue(5, clase.Suma(3,2))`</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</si>
  <si>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</si>
  <si>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5
Justificación: La respuesta intenta explicar la importancia de las aserciones y menciona varios usos posibles, aunque con algunas inexactitudes y falta de claridad.
Los conceptos básicos que se mencionan correctamente son:
- Que las aserciones son importantes en el código.
- Que existen diferentes tipos de aserciones (verdadero/falso, valores nulos/no nulos).
Sin embargo, hay varios errores y aspectos importantes que faltan:
- **Terminología incorrecta**: Se utiliza "etiquetas" en lugar de "métodos" o "funciones", y se mencionan nombres de métodos como</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</si>
  <si>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</si>
  <si>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5
Justificación: 
La respuesta contiene elementos correctos, como la idea de que las aserciones se utilizan para verificar si los datos son correctos y que un fallo en la aserción hace que el test falle. Sin embargo, la explicación es bastante superficial y falta una descripción más detallada de cómo se utilizan las aserciones en los tests y cuáles son sus beneficios.
Los conceptos correctamente mencionados incluyen:
- Que las aserciones se utilizan para verificar la validez de los datos.
- Que un fallo en la aserción hace que el test falle.
Los errores detectados son:
- Falta</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</si>
  <si>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</si>
  <si>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5
**Justificación:**
La respuesta identifica correctamente la función principal de las aserciones, que es verificar si una condición se cumple y provocar un fallo en el test si no se cumple. Menciona correctamente que si las aserciones no se cumplen, los tests también fallan. Sin embargo, hay algunos errores y faltantes importantes:
1. **Precisión Conceptual:**
   - **Error:** La respuesta mezcla aserciones con anotaciones de validación, confundiendo `asserEquals` con `@NotNull`. Esto es incorrecto y confuso.
   - **Falta:** No se menciona explíc</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</si>
  <si>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</si>
  <si>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intenta explicar cómo se utilizan las aserciones, pero hay varios errores y falta información relevante. El estudiante menciona que las aserciones se utilizan para "saber que ha introducido un usuario", lo cual es incorrecto, ya que las aserciones se usan principalmente para verificar el comportamiento del código, no para recoger datos del usuario. Además, el ejemplo dado (ISNOTNULL) es incorrecto, ya que no existe tal método; el correcto sería `assertNotEquals(null, objeto);` o similar.
El estudiante reconoce que las aserciones son importantes para evitar que el código falle</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</si>
  <si>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</si>
  <si>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7
Justificación: La respuesta contiene información correcta sobre cómo se utilizan las aserciones en los tests y su importancia. Menciona correctamente la estructura AAA (Arrange-Act-Assert) y explica que las aserciones ayudan a verificar si el resultado obtenido coincide con el esperado. Además, se hace referencia a varios tipos de aserciones, aunque no todos son precisos (por ejemplo, "AssertTrue o False" debería ser "assertTrue o assertFalse").
Sin embargo, la respuesta carece de profundidad en algunos aspectos:
1. No se detalla cómo se implementan las aserciones específicamente.
2. Falta información sobre el uso</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</si>
  <si>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</si>
  <si>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reconoce parcialmente el propósito de las aserciones en los tests, mencionando que ayudan a validar los datos y a evitar errores internos. Sin embargo, la explicación es bastante superficial y carece de profundidad técnica.
Conceptos correctamente mencionados:
- Las aserciones se utilizan para validar datos.
- Ayudan a evitar errores internos.
Errores detectados:
- La respuesta no proporciona una descripción clara de cómo se utilizan las aserciones en los tests (por ejemplo, no se mencionan ejemplos de cómo se implementan).
- Falta información sobre por qué las aserc</t>
  </si>
  <si>
    <t>Respuesta: Las aserciones en los test sirven para que el codigo no influya en los datos, es decir, para que el codigo no pueda cambiar o eliminar cualquier tipo de dato que estamos verificando con los tests</t>
  </si>
  <si>
    <t>Evaluación: Nota: 3
Justificación: La respuesta intenta explicar el propósito de las aserciones, pero contiene varios errores y falta mucha precisión y claridad.
- **Errores y Falta de Precisión:** La respuesta confunde el concepto de aserciones con la inmutabilidad de datos. Las aserciones no garantizan que el código no influya en los datos; en cambio, verifican que los datos sean correctos según ciertas condiciones. La aserción `assert` no protege contra cambios en los datos, sino que comprueba que el estado actual del programa es correcto.
- **Falta de Detalles Relevantes:** No se menciona</t>
  </si>
  <si>
    <t>Respuesta: Se pueden utilizar por ejemplo cuando un campo no puede ser nulo, poniendo @NOTNULL para evitar campos que no se rellenen y sean obligatorios, saltando el error correspondiente para solucionarlo.</t>
  </si>
  <si>
    <t>Evaluación: Nota: 2
Justificación: La respuesta confunde las aserciones utilizadas en pruebas de software con anotaciones de validación de datos, como @NotNull. Menciona la comprobación de restricciones, pero no explica qué son las aserciones, cómo se utilizan dentro de los tests ni cuál es su función para verificar resultados esperados. La relación con el concepto evaluado es muy limitada, por lo que la calificación es baja.</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</si>
  <si>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</si>
  <si>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5
Justificación: La respuesta identifica correctamente que las aserciones se utilizan para comparar valores, datos o resultados y proporciona un ejemplo de cómo se pueden utilizar. Sin embargo, la explicación es bastante general y falta detalle sobre cómo se implementan específicamente en los tests y qué tipo de aserciones existen. La importancia de las aserciones para tener tests completos es reconocida, pero no se profundiza en la relevancia de estas para garantizar que el código funcione correctamente y se comporta como se espera.
Para mejorar, sería útil incluir información sobre diferentes tipos de aserciones (como assertEquals, assertTrue, assertFalse), cómo se utilizan para verificar</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</si>
  <si>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</si>
  <si>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Nota: 4
Justificación: La respuesta reconoce parcialmente la función de las aserciones en los tests, mencionando que permiten verificar el correcto funcionamiento de las funciones y que ayudan a comprobar que un programa devuelve los elementos esperados bajo ciertas condiciones. Sin embargo, falta una explicación más detallada sobre cómo se utilizan específicamente dentro de los tests y los beneficios más amplios de su uso.
Se omite información crucial, como:
- El uso de aserciones en sentencias `assertTrue`, `assertEquals`, etc., para verificar diferentes aspectos del comportamiento de una función.
- La importancia de las aserciones para detectar</t>
  </si>
  <si>
    <t>Respuesta: Las aserciones son comprobadores de datos que devueven valores de tipo bool (verdadero o falso) en los tests. Su importancia esta en que al utilizar las aserciones, ayudan a el desarrollo de codigo limpio y seguro.</t>
  </si>
  <si>
    <t>Evaluación: Nota: 4
Justificación: La respuesta comienza reconociendo que las aserciones devuelven valores booleanos (verdadero o falso), lo cual es correcto. Sin embargo, la explicación sobre su importancia es muy general y no detalla específicamente cómo se utilizan las aserciones en los tests ni cuál es su función para verificar resultados esperados. 
Se menciona que las aserciones ayudan a desarrollar código limpio y seguro, pero esto es demasiado genérico y no explica cómo estas herramientas contribuyen a la calidad del código o a la detección de errores durante las pruebas.
Falta una descripción más precisa</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</si>
  <si>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</si>
  <si>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Nota: 4
Justificación: 
La respuesta intenta describir el uso de aserciones en pruebas, pero presenta varios errores y falta información crucial.
- **Conceptos Correctos**: La respuesta menciona correctamente que las aserciones se usan para verificar que algo sea verdadero. También proporciona dos ejemplos de aserciones (AssertionsEqual y AssertionsTrue), aunque estos nombres no son estándar en el contexto de pruebas de software.
- **Errores Detectados**: Hay varios errores en la explicación:
  - El nombre "AssertionsEqual" y "AssertionsTrue" no son términos estándar en el contexto de pruebas de software. En Java, por</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</si>
  <si>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</si>
  <si>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Nota: 4
Justificación: La respuesta reconoce parcialmente el propósito de las aserciones en los tests, mencionando que se usan para verificar si ciertas condiciones son verdaderas o falsas. Sin embargo, la explicación es confusa y no está bien formulada, ya que mezcla conceptos de validación de datos con aserciones de prueba.
Los errores principales incluyen:
- Confusión entre aserciones de prueba y anotaciones de validación de datos (como @NotNull, @Email, @MaxNum).
- Falta de claridad en la explicación de cómo se utilizan las aserciones en los tests.
- Falta de</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</si>
  <si>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</si>
  <si>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Nota: 4
Justificación: La respuesta menciona correctamente que las aserciones (asserts) permiten comprobar la validez de una variable o dato, aunque no es tan preciso al describirlo como "comprobar la validez de una variable/dato entre otras cosas". La idea de que son importantes porque se implementan dentro de los tests para asegurar que estos funcionen correctamente está en el camino correcto, pero carece de detalles adicionales.
La explicación es bastante superficial y no se profundiza en cómo se utilizan las aserciones específicamente para validar el comportamiento de los métodos codificados. Falta una explicación clara sobre cómo se us</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</si>
  <si>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</si>
  <si>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Nota: 7
Justificación: La respuesta menciona correctamente que las aserciones son declaraciones que comprueban si una condición es verdadera o no y que se utilizan en los tests para comprobar los métodos. Sin embargo, la descripción de cómo se usan es un poco vaga, ya que no proporciona un ejemplo concreto de cómo se compara el valor devuelto por una función con el valor esperado.
La explicación sobre la importancia de las aserciones es adecuada, aunque podría ser más detallada. Menciona correctamente que las aserciones deciden si un test pasa o no, pero falta información sobre cómo esto garantiza</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</si>
  <si>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</si>
  <si>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**Nota:** 5
**Justificación:** 
- **Conceptos correctamente mencionados:** 
  - Se reconoce la función de las aserciones en los tests.
  - Se menciona `Assert.Equals()` como un ejemplo de aserción, aunque de manera incompleta.
  - Se indica que las aserciones son fundamentales para garantizar que el código se comporta como se espera.
- **Errores detectados:**
  - Falta una explicación más detallada sobre cómo se utilizan las aserciones.
  - El uso de `Assert.Equals()` no está completo; falta el segundo parámetro (el valor esperado).
  - La respuesta</t>
  </si>
  <si>
    <t>Respuesta: No lo se :(</t>
  </si>
  <si>
    <t>Evaluación:
Nota: 1
Justificación: La respuesta del estudiante indica una falta total de conocimiento sobre el tema. No se proporciona ninguna información acerca de cómo se utilizan las aserciones en los tests ni se explica su importancia. Es necesario que el estudiante revise el concepto de aserciones en pruebas de software y cómo contribuyen a verificar que el código funcione correctamente.</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</si>
  <si>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</si>
  <si>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Nota: 4
Justificación: 
La respuesta comienza identificando correctamente que las aserciones se utilizan para validar datos de una condición o variable. Sin embargo, presenta una confusión importante al mezclar anotaciones como @NotNull y @Email, que son herramientas de validación de datos en frameworks como Spring, con las aserciones propias de la programación de pruebas (como assertNotNull o assertEquals). 
Además, la respuesta indica que las aserciones revisan los datos antes del test, pero no especifica claramente cómo se utilizan dentro de los tests para verificar el comportamiento del código. Falta explicar que las aserciones se ejec</t>
  </si>
  <si>
    <t>Respuesta: Las aserciones de los test sirven para comprobar que el programa funciona de la manera esperada por el programador. Es una verificación del programa que funciona correctamente.</t>
  </si>
  <si>
    <t>Evaluación: Nota: 4
Justificación: La respuesta reconoce que las aserciones tienen como propósito comprobar que el programa se comporta como se espera, pero esta idea es demasiado general y no explica específicamente cómo se utilizan en los tests ni por qué son importantes. Falta una descripción detallada de cómo se implementan las aserciones y cuáles son sus beneficios. Por ejemplo, no se mencionan aspectos como la comprobación de valores esperados vs. valores obtenidos, la detección de errores durante la ejecución del código, o cómo ayudan a mejorar la calidad del software. Además, la terminología es correcta pero la explic</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</si>
  <si>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</si>
  <si>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Nota: 3
Justificación: La respuesta comienza confundiendo aserciones con anotaciones de validación de datos, como @NotNull. Menciona que las aserciones se declaran antes del test, pero no describe correctamente cómo se usan en los tests. Aunque indica que son importantes para asegurar que no se pasen datos incorrectos, no explica cómo las aserciones ayudan a verificar que el código funcione según lo esperado. La respuesta carece de claridad y detalle, lo que resulta en una calificación baja.
Se recomienda que la respuesta incluya una descripción precisa de qué son las aserciones, cómo se utilizan dentro de</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</si>
  <si>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</si>
  <si>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Nota: 7
Justificación: La respuesta es generalmente precisa y proporciona una descripción adecuada de las aserciones y su uso en pruebas de software. Se menciona correctamente que las aserciones se usan para comprobar la validez de datos o variables y que se emplean en tests para verificar el correcto funcionamiento de métodos. Además, se incluyen ejemplos de uso con assertTrue, aunque los nombres de los parámetros están mal escritos ("valoresperado" y "valorrecibido" en lugar de "valorEsperado" y "valorRecibido"). 
El concepto de que los asserts son parte fundamental de los tests</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</si>
  <si>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</si>
  <si>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Nota: 4
Justificación: La respuesta intenta abordar el tema de las aserciones en pruebas, mencionando algunos tipos de aserciones como @Email y @NotNull. Sin embargo, hay varios errores y carencias:
1. **Confusión entre Anotaciones y Aserciones**: La respuesta mezcla la idea de anotaciones (como @Email y @NotNull) con las aserciones, lo cual es incorrecto. Aunque estas anotaciones pueden ser usadas en pruebas para validar datos, no son aserciones.
2. **Falta de Explicación sobre Aserciones en Tests**: La respuesta no explica cómo se</t>
  </si>
  <si>
    <t>Respuesta: Son importantes porque permiten un mayor control a la hora de hacer el testing, y permite el uso de una mayor cantidad de datos, permitiendo que el test sea más viable al cubrir mayor cantidad de datos .</t>
  </si>
  <si>
    <t>Evaluación:
Nota: 4
Justificación: La respuesta reconoce que las aserciones son útiles para el control durante los tests y que ayudan a cubrir una mayor cantidad de datos, lo cual puede mejorar la cobertura del test. Sin embargo, la explicación es bastante superficial y no proporciona detalles sobre cómo se utilizan las aserciones en los tests ni cuál es su propósito fundamental de verificar que el código funcione según lo esperado.
Se deben incluir conceptos adicionales como:
- La utilización de aserciones para validar condiciones booleanas.
- Ejemplos de cómo se implementan (por ejemplo, assertTrue, assertFalse).
- La importancia de que las aserciones no</t>
  </si>
  <si>
    <t>Respuesta: No
se
la
respuesta</t>
  </si>
  <si>
    <t>Evaluación:
Nota: 0
Justificación: La respuesta no proporciona ninguna información relevante sobre el uso de aserciones en los tests ni explica por qué son importantes. La respuesta está compuesta únicamente por palabras aisladas sin sentido en relación con el tema, lo que indica que el estudiante no ha entendido el concepto ni ha intentado formular una respuesta coherente.</t>
  </si>
  <si>
    <t>Respuesta: NO SE</t>
  </si>
  <si>
    <t>Evaluación: Nota: 0
Justificación: La respuesta es completamente incorrecta y vacía. No se proporciona ninguna información relevante sobre cómo se utilizan las aserciones en los tests ni sobre su importancia. Esta respuesta no muestra ningún conocimiento del tema y carece de cualquier tipo de desarrollo o explicación.</t>
  </si>
  <si>
    <t>Respuesta: Con la libreria Jakarta puedes usar aserciones en los test de forma sencilla ya que te añade las funciones como por ejemplo assertequals, son importantes ya que te permiten agilizar y cubrir mejor ciertas cosas a testear.</t>
  </si>
  <si>
    <t>Evaluación:
Nota: 5
Justificación: La respuesta menciona que las aserciones se pueden utilizar en los tests de forma sencilla utilizando la librería Jakarta y proporciona un ejemplo específico (assertEquals). Indica correctamente que las aserciones son importantes para agilizar y cubrir mejor aspectos a testear.
Sin embargo, hay varios errores y aspectos importantes que faltan:
1. **Uso de Terminología Incorrecta**: "libreria Jakarta" debería ser "biblioteca Jakarta" o simplemente "JUnit", ya que Jakarta es una organización que mantiene proyectos de desarrollo de software y JUnit es el framework de pruebas más comúnmente asociado con aserc</t>
  </si>
  <si>
    <t>Respuesta: Las aserciones se pueden utilizar para comprobar las salidas de los test en función de las entradas. Esto es muy importante para comprobar si la salida tiene sentido teniendo en cuenta las entradas del test.</t>
  </si>
  <si>
    <t>Evaluación:
Nota: 4
Justificación: La respuesta reconoce parcialmente la utilidad de las aserciones en los tests, mencionando que se usan para comprobar las salidas basándose en las entradas. Sin embargo, la explicación es bastante general y no profundiza en cómo se implementan exactamente las aserciones ni en por qué son importantes para verificar el comportamiento del software.
Los conceptos correctamente mencionados incluyen que las aserciones se relacionan con la verificación de las salidas de acuerdo con las entradas, aunque esta idea es un poco vaga y no está completamente precisa.
Los errores detectados son varios:
- Falta una explicación cl</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</si>
  <si>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</si>
  <si>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Nota: 7
Justificación: La respuesta identifica correctamente que las aserciones se utilizan para validar la salida de una función en función de sus parámetros de entrada. Menciona el uso de aserciones en los tests y proporciona un ejemplo concreto de cómo se podría utilizar una aserción `assertEquals` para verificar el resultado de una función de suma. 
Sin embargo, hay algunos aspectos que podrían mejorar para alcanzar una puntuación más alta:
1. **Claridad Conceptual**: La respuesta podría ser más clara al especificar que las aserciones son métodos que permiten comprobar la validez de los resultados de una función en lugar</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</si>
  <si>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</si>
  <si>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Nota: 4
Justificación: La respuesta reconoce la importancia de las aserciones en los tests, aunque de manera algo vaga. Menciona que las aserciones permiten validar el código y que su uso hace que los tests sean más robustos y fiables, lo cual es correcto. Sin embargo, la explicación es muy general y carece de detalles técnicos o conceptuales. No se especifica cómo se utilizan las aserciones en los tests, por ejemplo, a través de métodos como `assert.assertEquals`, ni se detalla el propósito de verificar que el comportamiento del código coincide con lo esperado. Además, se usa un término incorrecto (</t>
  </si>
  <si>
    <t>Respuesta: digo lo mismo que en la anterior pregunta</t>
  </si>
  <si>
    <t>Evaluación: Nota: 2
Justificación: La respuesta no proporciona información nueva o adicional sobre cómo se utilizan las aserciones en los tests ni por qué son importantes. En lugar de eso, simplemente repite el contenido de la respuesta anterior, que ya fue clasificada como insuficiente. Esta repetición no añade valor y carece de la profundización necesaria para explicar correctamente el concepto. La confusión entre aserciones y anotaciones de validación de datos persiste, y no se explora la utilidad de las aserciones en la detección de errores durante la ejecución de pruebas.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</si>
</sst>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4" xfId="0" applyAlignment="1" applyFont="1" applyNumberFormat="1">
      <alignment readingOrder="0"/>
    </xf>
    <xf borderId="0" fillId="0" fontId="1" numFmtId="0" xfId="0" applyFont="1"/>
    <xf borderId="0" fillId="0" fontId="2" numFmtId="0" xfId="0" applyAlignment="1" applyFont="1">
      <alignment horizontal="right" vertical="bottom"/>
    </xf>
    <xf borderId="0" fillId="0" fontId="2" numFmtId="4" xfId="0" applyAlignment="1" applyFont="1" applyNumberFormat="1">
      <alignment horizontal="right" vertical="bottom"/>
    </xf>
    <xf borderId="0" fillId="0" fontId="2" numFmtId="4" xfId="0" applyAlignment="1" applyFont="1" applyNumberFormat="1">
      <alignmen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3" numFmtId="0" xfId="0" applyAlignment="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xf borderId="0" fillId="0" fontId="1" numFmtId="4" xfId="0" applyFont="1" applyNumberFormat="1"/>
    <xf borderId="0" fillId="0" fontId="2"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Qwen2-71PreguntaConEjemplos_150tokens</a:t>
            </a:r>
          </a:p>
        </c:rich>
      </c:tx>
      <c:overlay val="0"/>
    </c:title>
    <c:plotArea>
      <c:layout/>
      <c:lineChart>
        <c:varyColors val="0"/>
        <c:ser>
          <c:idx val="0"/>
          <c:order val="0"/>
          <c:spPr>
            <a:ln cmpd="sng">
              <a:solidFill>
                <a:srgbClr val="4285F4"/>
              </a:solidFill>
            </a:ln>
          </c:spPr>
          <c:marker>
            <c:symbol val="none"/>
          </c:marker>
          <c:cat>
            <c:strRef>
              <c:f>'Qwen2-71PreguntaConEjemplos_150'!$A$1:$A$72</c:f>
            </c:strRef>
          </c:cat>
          <c:val>
            <c:numRef>
              <c:f>'Qwen2-71PreguntaConEjemplos_150'!$H$1:$H$72</c:f>
              <c:numCache/>
            </c:numRef>
          </c:val>
          <c:smooth val="0"/>
        </c:ser>
        <c:axId val="602517981"/>
        <c:axId val="2007757606"/>
      </c:lineChart>
      <c:catAx>
        <c:axId val="6025179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c:txPr>
          <a:bodyPr/>
          <a:lstStyle/>
          <a:p>
            <a:pPr lvl="0">
              <a:defRPr b="0">
                <a:solidFill>
                  <a:srgbClr val="000000"/>
                </a:solidFill>
                <a:latin typeface="+mn-lt"/>
              </a:defRPr>
            </a:pPr>
          </a:p>
        </c:txPr>
        <c:crossAx val="2007757606"/>
      </c:catAx>
      <c:valAx>
        <c:axId val="20077576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251798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Qwen2-71PreguntaConEjemplos_150tokens</a:t>
            </a:r>
          </a:p>
        </c:rich>
      </c:tx>
      <c:overlay val="0"/>
    </c:title>
    <c:plotArea>
      <c:layout/>
      <c:lineChart>
        <c:ser>
          <c:idx val="0"/>
          <c:order val="0"/>
          <c:spPr>
            <a:ln cmpd="sng">
              <a:solidFill>
                <a:srgbClr val="4285F4"/>
              </a:solidFill>
            </a:ln>
          </c:spPr>
          <c:marker>
            <c:symbol val="none"/>
          </c:marker>
          <c:cat>
            <c:strRef>
              <c:f>'Qwen2-71PreguntaConEjemplos_150'!$A$1:$A$72</c:f>
            </c:strRef>
          </c:cat>
          <c:val>
            <c:numRef>
              <c:f>'Qwen2-71PreguntaConEjemplos_150'!$E$1:$E$72</c:f>
              <c:numCache/>
            </c:numRef>
          </c:val>
          <c:smooth val="0"/>
        </c:ser>
        <c:ser>
          <c:idx val="1"/>
          <c:order val="1"/>
          <c:spPr>
            <a:ln cmpd="sng">
              <a:solidFill>
                <a:srgbClr val="EA4335"/>
              </a:solidFill>
            </a:ln>
          </c:spPr>
          <c:marker>
            <c:symbol val="none"/>
          </c:marker>
          <c:cat>
            <c:strRef>
              <c:f>'Qwen2-71PreguntaConEjemplos_150'!$A$1:$A$72</c:f>
            </c:strRef>
          </c:cat>
          <c:val>
            <c:numRef>
              <c:f>'Qwen2-71PreguntaConEjemplos_150'!$G$1:$G$72</c:f>
              <c:numCache/>
            </c:numRef>
          </c:val>
          <c:smooth val="0"/>
        </c:ser>
        <c:axId val="2067814314"/>
        <c:axId val="934868133"/>
      </c:lineChart>
      <c:catAx>
        <c:axId val="20678143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c:txPr>
          <a:bodyPr/>
          <a:lstStyle/>
          <a:p>
            <a:pPr lvl="0">
              <a:defRPr b="0">
                <a:solidFill>
                  <a:srgbClr val="000000"/>
                </a:solidFill>
                <a:latin typeface="+mn-lt"/>
              </a:defRPr>
            </a:pPr>
          </a:p>
        </c:txPr>
        <c:crossAx val="934868133"/>
      </c:catAx>
      <c:valAx>
        <c:axId val="9348681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781431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133350</xdr:colOff>
      <xdr:row>3</xdr:row>
      <xdr:rowOff>447675</xdr:rowOff>
    </xdr:from>
    <xdr:ext cx="6000750" cy="2486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76200</xdr:colOff>
      <xdr:row>6</xdr:row>
      <xdr:rowOff>438150</xdr:rowOff>
    </xdr:from>
    <xdr:ext cx="12887325" cy="248602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23.0"/>
    <col customWidth="1" min="15" max="15" width="28.38"/>
  </cols>
  <sheetData>
    <row r="1">
      <c r="A1" s="1" t="s">
        <v>0</v>
      </c>
      <c r="B1" s="1" t="s">
        <v>1</v>
      </c>
      <c r="C1" s="1" t="s">
        <v>2</v>
      </c>
      <c r="D1" s="1" t="s">
        <v>3</v>
      </c>
      <c r="E1" s="1" t="s">
        <v>4</v>
      </c>
      <c r="F1" s="1" t="s">
        <v>5</v>
      </c>
      <c r="G1" s="2"/>
      <c r="H1" s="2" t="s">
        <v>6</v>
      </c>
      <c r="I1" s="2" t="s">
        <v>7</v>
      </c>
      <c r="J1" s="2"/>
      <c r="K1" s="2"/>
      <c r="L1" s="2"/>
      <c r="M1" s="3" t="s">
        <v>8</v>
      </c>
      <c r="N1" s="3" t="s">
        <v>9</v>
      </c>
      <c r="O1" s="3" t="s">
        <v>10</v>
      </c>
      <c r="P1" s="3" t="s">
        <v>11</v>
      </c>
      <c r="Q1" s="4">
        <v>1.0</v>
      </c>
      <c r="R1" s="4">
        <v>2.0</v>
      </c>
      <c r="S1" s="4">
        <v>3.0</v>
      </c>
      <c r="T1" s="4">
        <v>4.0</v>
      </c>
      <c r="U1" s="4">
        <v>5.0</v>
      </c>
      <c r="V1" s="4">
        <v>-1.0</v>
      </c>
      <c r="W1" s="4">
        <v>-2.0</v>
      </c>
      <c r="X1" s="4">
        <v>-3.0</v>
      </c>
      <c r="Y1" s="4">
        <v>-4.0</v>
      </c>
      <c r="Z1" s="4">
        <v>-5.0</v>
      </c>
      <c r="AA1" s="3" t="s">
        <v>12</v>
      </c>
    </row>
    <row r="2" ht="48.75" customHeight="1">
      <c r="A2" s="1">
        <v>0.0</v>
      </c>
      <c r="B2" s="1" t="s">
        <v>13</v>
      </c>
      <c r="C2" s="1" t="s">
        <v>14</v>
      </c>
      <c r="D2" s="1" t="s">
        <v>15</v>
      </c>
      <c r="E2" s="5">
        <v>4.0</v>
      </c>
      <c r="F2" s="6">
        <v>115.0</v>
      </c>
      <c r="G2" s="7">
        <f t="shared" ref="G2:G16" si="2">--MID(D2, FIND("Nota:", D2) + 6, 1)</f>
        <v>4</v>
      </c>
      <c r="H2" s="7">
        <f t="shared" ref="H2:H72" si="3">ABS(I2)</f>
        <v>0</v>
      </c>
      <c r="I2" s="8">
        <f t="shared" ref="I2:I72" si="4">E2-G2</f>
        <v>0</v>
      </c>
      <c r="J2" s="9"/>
      <c r="K2" s="2"/>
      <c r="L2" s="2"/>
      <c r="M2" s="4">
        <f>MAX(H1:H90)</f>
        <v>4</v>
      </c>
      <c r="N2" s="10">
        <f t="shared" ref="N2:O2" si="1">AVERAGE(H1:H90)</f>
        <v>1.507042254</v>
      </c>
      <c r="O2" s="10">
        <f t="shared" si="1"/>
        <v>0.661971831</v>
      </c>
      <c r="P2" s="11">
        <f>COUNTIF(I2:I101, 0) / COUNT(I2:I101)
</f>
        <v>0.1408450704</v>
      </c>
      <c r="Q2" s="12">
        <f>COUNTIF(I2:I72, 1) / COUNT(I2:I72)</f>
        <v>0.2535211268</v>
      </c>
      <c r="R2" s="13">
        <f>COUNTIF(I2:I72, 2) / COUNT(I2:I72)</f>
        <v>0.1971830986</v>
      </c>
      <c r="S2" s="13">
        <f>COUNTIF(I2:I72, 3) / COUNT(I2:I72)</f>
        <v>0.07042253521</v>
      </c>
      <c r="T2" s="13">
        <f>COUNTIF(I2:I72, 4) / COUNT(I2:I72)</f>
        <v>0.05633802817</v>
      </c>
      <c r="U2" s="13">
        <f>COUNTIF(I2:I72, 5) / COUNT(I2:I72)</f>
        <v>0</v>
      </c>
      <c r="V2" s="13">
        <f>COUNTIF(I2:I72, -1) / COUNT(I2:I72)</f>
        <v>0.1690140845</v>
      </c>
      <c r="W2" s="13">
        <f>COUNTIF(I2:I72, -2) / COUNT(I2:I72)</f>
        <v>0.08450704225</v>
      </c>
      <c r="X2" s="13">
        <f>COUNTIF(I2:I72, -3) / COUNT(I2:I72)</f>
        <v>0.02816901408</v>
      </c>
      <c r="Y2" s="13">
        <f>COUNTIF(H2:H72, -4) / COUNT(H2:H72)</f>
        <v>0</v>
      </c>
      <c r="Z2" s="13">
        <f>COUNTIF(I2:I72, -5) / COUNT(I2:I72)</f>
        <v>0</v>
      </c>
      <c r="AA2" s="13">
        <f>COUNTIF(H:H, "&lt;=1") / COUNT(H:H)</f>
        <v>0.5633802817</v>
      </c>
    </row>
    <row r="3" ht="42.75" customHeight="1">
      <c r="A3" s="1">
        <v>1.0</v>
      </c>
      <c r="B3" s="1" t="s">
        <v>16</v>
      </c>
      <c r="C3" s="1" t="s">
        <v>14</v>
      </c>
      <c r="D3" s="1" t="s">
        <v>17</v>
      </c>
      <c r="E3" s="5">
        <v>2.0</v>
      </c>
      <c r="F3" s="6">
        <v>104.0</v>
      </c>
      <c r="G3" s="7">
        <f t="shared" si="2"/>
        <v>3</v>
      </c>
      <c r="H3" s="7">
        <f t="shared" si="3"/>
        <v>1</v>
      </c>
      <c r="I3" s="8">
        <f t="shared" si="4"/>
        <v>-1</v>
      </c>
      <c r="J3" s="9"/>
      <c r="K3" s="2"/>
      <c r="L3" s="2"/>
      <c r="M3" s="14" t="s">
        <v>18</v>
      </c>
      <c r="N3" s="14" t="s">
        <v>19</v>
      </c>
      <c r="O3" s="15" t="s">
        <v>20</v>
      </c>
      <c r="P3" s="15" t="s">
        <v>21</v>
      </c>
      <c r="Q3" s="16">
        <f>SUM(Q2:T2)</f>
        <v>0.5774647887</v>
      </c>
      <c r="R3" s="17">
        <f>SUM(V2:X2)</f>
        <v>0.2816901408</v>
      </c>
      <c r="S3" s="2"/>
      <c r="T3" s="2"/>
      <c r="U3" s="2"/>
      <c r="V3" s="2"/>
      <c r="W3" s="2"/>
      <c r="X3" s="2"/>
      <c r="Y3" s="2"/>
      <c r="Z3" s="2"/>
      <c r="AA3" s="2"/>
    </row>
    <row r="4">
      <c r="A4" s="1">
        <v>2.0</v>
      </c>
      <c r="B4" s="1" t="s">
        <v>22</v>
      </c>
      <c r="C4" s="1" t="s">
        <v>14</v>
      </c>
      <c r="D4" s="1" t="s">
        <v>23</v>
      </c>
      <c r="E4" s="5">
        <v>5.0</v>
      </c>
      <c r="F4" s="6">
        <v>106.0</v>
      </c>
      <c r="G4" s="7">
        <f t="shared" si="2"/>
        <v>4</v>
      </c>
      <c r="H4" s="7">
        <f t="shared" si="3"/>
        <v>1</v>
      </c>
      <c r="I4" s="8">
        <f t="shared" si="4"/>
        <v>1</v>
      </c>
      <c r="J4" s="18"/>
    </row>
    <row r="5">
      <c r="A5" s="1">
        <v>3.0</v>
      </c>
      <c r="B5" s="1" t="s">
        <v>24</v>
      </c>
      <c r="C5" s="1" t="s">
        <v>14</v>
      </c>
      <c r="D5" s="1" t="s">
        <v>25</v>
      </c>
      <c r="E5" s="5">
        <v>4.0</v>
      </c>
      <c r="F5" s="6">
        <v>106.0</v>
      </c>
      <c r="G5" s="7">
        <f t="shared" si="2"/>
        <v>5</v>
      </c>
      <c r="H5" s="7">
        <f t="shared" si="3"/>
        <v>1</v>
      </c>
      <c r="I5" s="8">
        <f t="shared" si="4"/>
        <v>-1</v>
      </c>
      <c r="J5" s="18"/>
    </row>
    <row r="6">
      <c r="A6" s="1">
        <v>4.0</v>
      </c>
      <c r="B6" s="1" t="s">
        <v>26</v>
      </c>
      <c r="C6" s="1" t="s">
        <v>14</v>
      </c>
      <c r="D6" s="1" t="s">
        <v>27</v>
      </c>
      <c r="E6" s="5">
        <v>6.0</v>
      </c>
      <c r="F6" s="6">
        <v>106.0</v>
      </c>
      <c r="G6" s="7">
        <f t="shared" si="2"/>
        <v>4</v>
      </c>
      <c r="H6" s="7">
        <f t="shared" si="3"/>
        <v>2</v>
      </c>
      <c r="I6" s="8">
        <f t="shared" si="4"/>
        <v>2</v>
      </c>
      <c r="J6" s="18"/>
    </row>
    <row r="7">
      <c r="A7" s="1">
        <v>5.0</v>
      </c>
      <c r="B7" s="1" t="s">
        <v>28</v>
      </c>
      <c r="C7" s="1" t="s">
        <v>14</v>
      </c>
      <c r="D7" s="1" t="s">
        <v>29</v>
      </c>
      <c r="E7" s="5">
        <v>6.0</v>
      </c>
      <c r="F7" s="6">
        <v>105.0</v>
      </c>
      <c r="G7" s="7">
        <f t="shared" si="2"/>
        <v>5</v>
      </c>
      <c r="H7" s="7">
        <f t="shared" si="3"/>
        <v>1</v>
      </c>
      <c r="I7" s="8">
        <f t="shared" si="4"/>
        <v>1</v>
      </c>
      <c r="J7" s="18"/>
    </row>
    <row r="8">
      <c r="A8" s="1">
        <v>6.0</v>
      </c>
      <c r="B8" s="1" t="s">
        <v>30</v>
      </c>
      <c r="C8" s="1" t="s">
        <v>14</v>
      </c>
      <c r="D8" s="1" t="s">
        <v>31</v>
      </c>
      <c r="E8" s="5">
        <v>7.0</v>
      </c>
      <c r="F8" s="6">
        <v>106.0</v>
      </c>
      <c r="G8" s="7">
        <f t="shared" si="2"/>
        <v>7</v>
      </c>
      <c r="H8" s="7">
        <f t="shared" si="3"/>
        <v>0</v>
      </c>
      <c r="I8" s="8">
        <f t="shared" si="4"/>
        <v>0</v>
      </c>
      <c r="J8" s="18"/>
    </row>
    <row r="9">
      <c r="A9" s="1">
        <v>7.0</v>
      </c>
      <c r="B9" s="1" t="s">
        <v>32</v>
      </c>
      <c r="C9" s="1" t="s">
        <v>14</v>
      </c>
      <c r="D9" s="1" t="s">
        <v>33</v>
      </c>
      <c r="E9" s="5">
        <v>5.0</v>
      </c>
      <c r="F9" s="6">
        <v>106.0</v>
      </c>
      <c r="G9" s="7">
        <f t="shared" si="2"/>
        <v>4</v>
      </c>
      <c r="H9" s="7">
        <f t="shared" si="3"/>
        <v>1</v>
      </c>
      <c r="I9" s="8">
        <f t="shared" si="4"/>
        <v>1</v>
      </c>
      <c r="J9" s="18"/>
    </row>
    <row r="10">
      <c r="A10" s="1">
        <v>8.0</v>
      </c>
      <c r="B10" s="1" t="s">
        <v>34</v>
      </c>
      <c r="C10" s="1" t="s">
        <v>14</v>
      </c>
      <c r="D10" s="1" t="s">
        <v>35</v>
      </c>
      <c r="E10" s="5">
        <v>7.0</v>
      </c>
      <c r="F10" s="6">
        <v>106.0</v>
      </c>
      <c r="G10" s="7">
        <f t="shared" si="2"/>
        <v>5</v>
      </c>
      <c r="H10" s="7">
        <f t="shared" si="3"/>
        <v>2</v>
      </c>
      <c r="I10" s="8">
        <f t="shared" si="4"/>
        <v>2</v>
      </c>
      <c r="J10" s="18"/>
    </row>
    <row r="11">
      <c r="A11" s="1">
        <v>9.0</v>
      </c>
      <c r="B11" s="1" t="s">
        <v>36</v>
      </c>
      <c r="C11" s="1" t="s">
        <v>14</v>
      </c>
      <c r="D11" s="1" t="s">
        <v>37</v>
      </c>
      <c r="E11" s="5">
        <v>6.0</v>
      </c>
      <c r="F11" s="6">
        <v>106.0</v>
      </c>
      <c r="G11" s="7">
        <f t="shared" si="2"/>
        <v>4</v>
      </c>
      <c r="H11" s="7">
        <f t="shared" si="3"/>
        <v>2</v>
      </c>
      <c r="I11" s="8">
        <f t="shared" si="4"/>
        <v>2</v>
      </c>
      <c r="J11" s="18"/>
      <c r="N11" s="7">
        <f>COUNTIFS(E:E,"&gt;6", G:G,"&gt;=7")</f>
        <v>12</v>
      </c>
      <c r="O11" s="7">
        <f>COUNTIFS(E:E,"&lt;6", G:G,"&gt;=7")</f>
        <v>0</v>
      </c>
    </row>
    <row r="12">
      <c r="A12" s="1">
        <v>10.0</v>
      </c>
      <c r="B12" s="1" t="s">
        <v>38</v>
      </c>
      <c r="C12" s="1" t="s">
        <v>14</v>
      </c>
      <c r="D12" s="1" t="s">
        <v>39</v>
      </c>
      <c r="E12" s="5">
        <v>6.0</v>
      </c>
      <c r="F12" s="6">
        <v>106.0</v>
      </c>
      <c r="G12" s="7">
        <f t="shared" si="2"/>
        <v>5</v>
      </c>
      <c r="H12" s="7">
        <f t="shared" si="3"/>
        <v>1</v>
      </c>
      <c r="I12" s="8">
        <f t="shared" si="4"/>
        <v>1</v>
      </c>
      <c r="J12" s="18"/>
      <c r="N12" s="7">
        <f>COUNTIFS(E:E,"&gt;6", G:G,"&lt;6")</f>
        <v>15</v>
      </c>
      <c r="O12" s="7">
        <f>COUNTIFS(E:E,"&lt;6", G:G,"&lt;6")</f>
        <v>34</v>
      </c>
    </row>
    <row r="13">
      <c r="A13" s="1">
        <v>11.0</v>
      </c>
      <c r="B13" s="1" t="s">
        <v>40</v>
      </c>
      <c r="C13" s="1" t="s">
        <v>14</v>
      </c>
      <c r="D13" s="1" t="s">
        <v>41</v>
      </c>
      <c r="E13" s="5">
        <v>6.0</v>
      </c>
      <c r="F13" s="6">
        <v>106.0</v>
      </c>
      <c r="G13" s="7">
        <f t="shared" si="2"/>
        <v>5</v>
      </c>
      <c r="H13" s="7">
        <f t="shared" si="3"/>
        <v>1</v>
      </c>
      <c r="I13" s="8">
        <f t="shared" si="4"/>
        <v>1</v>
      </c>
      <c r="J13" s="18"/>
      <c r="N13" s="2"/>
      <c r="O13" s="2"/>
    </row>
    <row r="14">
      <c r="A14" s="1">
        <v>12.0</v>
      </c>
      <c r="B14" s="1" t="s">
        <v>42</v>
      </c>
      <c r="C14" s="1" t="s">
        <v>14</v>
      </c>
      <c r="D14" s="1" t="s">
        <v>43</v>
      </c>
      <c r="E14" s="5">
        <v>8.0</v>
      </c>
      <c r="F14" s="6">
        <v>106.0</v>
      </c>
      <c r="G14" s="7">
        <f t="shared" si="2"/>
        <v>7</v>
      </c>
      <c r="H14" s="7">
        <f t="shared" si="3"/>
        <v>1</v>
      </c>
      <c r="I14" s="8">
        <f t="shared" si="4"/>
        <v>1</v>
      </c>
      <c r="J14" s="18"/>
      <c r="N14" s="2"/>
      <c r="O14" s="7">
        <f>(N11+O12)/(N12+N11+O11+O12)</f>
        <v>0.7540983607</v>
      </c>
    </row>
    <row r="15">
      <c r="A15" s="1">
        <v>13.0</v>
      </c>
      <c r="B15" s="1" t="s">
        <v>44</v>
      </c>
      <c r="C15" s="1" t="s">
        <v>14</v>
      </c>
      <c r="D15" s="1" t="s">
        <v>45</v>
      </c>
      <c r="E15" s="5">
        <v>5.0</v>
      </c>
      <c r="F15" s="6">
        <v>89.0</v>
      </c>
      <c r="G15" s="7">
        <f t="shared" si="2"/>
        <v>5</v>
      </c>
      <c r="H15" s="7">
        <f t="shared" si="3"/>
        <v>0</v>
      </c>
      <c r="I15" s="8">
        <f t="shared" si="4"/>
        <v>0</v>
      </c>
      <c r="J15" s="18"/>
      <c r="N15" s="2"/>
      <c r="O15" s="2"/>
    </row>
    <row r="16">
      <c r="A16" s="1">
        <v>14.0</v>
      </c>
      <c r="B16" s="1" t="s">
        <v>46</v>
      </c>
      <c r="C16" s="1" t="s">
        <v>14</v>
      </c>
      <c r="D16" s="1" t="s">
        <v>47</v>
      </c>
      <c r="E16" s="5">
        <v>7.0</v>
      </c>
      <c r="F16" s="6">
        <v>115.0</v>
      </c>
      <c r="G16" s="7">
        <f t="shared" si="2"/>
        <v>5</v>
      </c>
      <c r="H16" s="7">
        <f t="shared" si="3"/>
        <v>2</v>
      </c>
      <c r="I16" s="8">
        <f t="shared" si="4"/>
        <v>2</v>
      </c>
      <c r="J16" s="18"/>
      <c r="N16" s="7"/>
      <c r="O16" s="7"/>
    </row>
    <row r="17">
      <c r="A17" s="1">
        <v>15.0</v>
      </c>
      <c r="B17" s="1" t="s">
        <v>48</v>
      </c>
      <c r="C17" s="1" t="s">
        <v>14</v>
      </c>
      <c r="D17" s="1" t="s">
        <v>49</v>
      </c>
      <c r="E17" s="5">
        <v>2.0</v>
      </c>
      <c r="F17" s="6">
        <v>104.0</v>
      </c>
      <c r="G17" s="19">
        <v>3.0</v>
      </c>
      <c r="H17" s="7">
        <f t="shared" si="3"/>
        <v>1</v>
      </c>
      <c r="I17" s="8">
        <f t="shared" si="4"/>
        <v>-1</v>
      </c>
      <c r="J17" s="18"/>
    </row>
    <row r="18">
      <c r="A18" s="1">
        <v>16.0</v>
      </c>
      <c r="B18" s="1" t="s">
        <v>50</v>
      </c>
      <c r="C18" s="1" t="s">
        <v>14</v>
      </c>
      <c r="D18" s="1" t="s">
        <v>51</v>
      </c>
      <c r="E18" s="5">
        <v>7.0</v>
      </c>
      <c r="F18" s="6">
        <v>106.0</v>
      </c>
      <c r="G18" s="7">
        <f t="shared" ref="G18:G35" si="5">--MID(D18, FIND("Nota:", D18) + 6, 1)</f>
        <v>5</v>
      </c>
      <c r="H18" s="7">
        <f t="shared" si="3"/>
        <v>2</v>
      </c>
      <c r="I18" s="8">
        <f t="shared" si="4"/>
        <v>2</v>
      </c>
      <c r="J18" s="18"/>
    </row>
    <row r="19">
      <c r="A19" s="1">
        <v>17.0</v>
      </c>
      <c r="B19" s="1" t="s">
        <v>52</v>
      </c>
      <c r="C19" s="1" t="s">
        <v>14</v>
      </c>
      <c r="D19" s="1" t="s">
        <v>53</v>
      </c>
      <c r="E19" s="5">
        <v>9.0</v>
      </c>
      <c r="F19" s="6">
        <v>106.0</v>
      </c>
      <c r="G19" s="7">
        <f t="shared" si="5"/>
        <v>5</v>
      </c>
      <c r="H19" s="7">
        <f t="shared" si="3"/>
        <v>4</v>
      </c>
      <c r="I19" s="8">
        <f t="shared" si="4"/>
        <v>4</v>
      </c>
      <c r="J19" s="18"/>
    </row>
    <row r="20">
      <c r="A20" s="1">
        <v>18.0</v>
      </c>
      <c r="B20" s="1" t="s">
        <v>54</v>
      </c>
      <c r="C20" s="1" t="s">
        <v>14</v>
      </c>
      <c r="D20" s="1" t="s">
        <v>55</v>
      </c>
      <c r="E20" s="5">
        <v>7.0</v>
      </c>
      <c r="F20" s="6">
        <v>106.0</v>
      </c>
      <c r="G20" s="7">
        <f t="shared" si="5"/>
        <v>6</v>
      </c>
      <c r="H20" s="7">
        <f t="shared" si="3"/>
        <v>1</v>
      </c>
      <c r="I20" s="8">
        <f t="shared" si="4"/>
        <v>1</v>
      </c>
      <c r="J20" s="18"/>
    </row>
    <row r="21">
      <c r="A21" s="1">
        <v>19.0</v>
      </c>
      <c r="B21" s="1" t="s">
        <v>56</v>
      </c>
      <c r="C21" s="1" t="s">
        <v>14</v>
      </c>
      <c r="D21" s="1" t="s">
        <v>57</v>
      </c>
      <c r="E21" s="5">
        <v>0.0</v>
      </c>
      <c r="F21" s="6">
        <v>105.0</v>
      </c>
      <c r="G21" s="7">
        <f t="shared" si="5"/>
        <v>3</v>
      </c>
      <c r="H21" s="7">
        <f t="shared" si="3"/>
        <v>3</v>
      </c>
      <c r="I21" s="8">
        <f t="shared" si="4"/>
        <v>-3</v>
      </c>
      <c r="J21" s="18"/>
    </row>
    <row r="22">
      <c r="A22" s="1">
        <v>20.0</v>
      </c>
      <c r="B22" s="1" t="s">
        <v>58</v>
      </c>
      <c r="C22" s="1" t="s">
        <v>14</v>
      </c>
      <c r="D22" s="1" t="s">
        <v>59</v>
      </c>
      <c r="E22" s="5">
        <v>8.0</v>
      </c>
      <c r="F22" s="6">
        <v>106.0</v>
      </c>
      <c r="G22" s="7">
        <f t="shared" si="5"/>
        <v>7</v>
      </c>
      <c r="H22" s="7">
        <f t="shared" si="3"/>
        <v>1</v>
      </c>
      <c r="I22" s="8">
        <f t="shared" si="4"/>
        <v>1</v>
      </c>
      <c r="J22" s="18"/>
    </row>
    <row r="23">
      <c r="A23" s="1">
        <v>21.0</v>
      </c>
      <c r="B23" s="1" t="s">
        <v>60</v>
      </c>
      <c r="C23" s="1" t="s">
        <v>14</v>
      </c>
      <c r="D23" s="1" t="s">
        <v>61</v>
      </c>
      <c r="E23" s="5">
        <v>4.0</v>
      </c>
      <c r="F23" s="6">
        <v>106.0</v>
      </c>
      <c r="G23" s="7">
        <f t="shared" si="5"/>
        <v>4</v>
      </c>
      <c r="H23" s="7">
        <f t="shared" si="3"/>
        <v>0</v>
      </c>
      <c r="I23" s="8">
        <f t="shared" si="4"/>
        <v>0</v>
      </c>
      <c r="J23" s="18"/>
    </row>
    <row r="24">
      <c r="A24" s="1">
        <v>22.0</v>
      </c>
      <c r="B24" s="1" t="s">
        <v>62</v>
      </c>
      <c r="C24" s="1" t="s">
        <v>14</v>
      </c>
      <c r="D24" s="1" t="s">
        <v>63</v>
      </c>
      <c r="E24" s="5">
        <v>7.0</v>
      </c>
      <c r="F24" s="6">
        <v>106.0</v>
      </c>
      <c r="G24" s="7">
        <f t="shared" si="5"/>
        <v>4</v>
      </c>
      <c r="H24" s="7">
        <f t="shared" si="3"/>
        <v>3</v>
      </c>
      <c r="I24" s="8">
        <f t="shared" si="4"/>
        <v>3</v>
      </c>
      <c r="J24" s="18"/>
    </row>
    <row r="25">
      <c r="A25" s="1">
        <v>23.0</v>
      </c>
      <c r="B25" s="1" t="s">
        <v>64</v>
      </c>
      <c r="C25" s="1" t="s">
        <v>14</v>
      </c>
      <c r="D25" s="1" t="s">
        <v>65</v>
      </c>
      <c r="E25" s="5">
        <v>1.0</v>
      </c>
      <c r="F25" s="6">
        <v>106.0</v>
      </c>
      <c r="G25" s="7">
        <f t="shared" si="5"/>
        <v>3</v>
      </c>
      <c r="H25" s="7">
        <f t="shared" si="3"/>
        <v>2</v>
      </c>
      <c r="I25" s="8">
        <f t="shared" si="4"/>
        <v>-2</v>
      </c>
      <c r="J25" s="18"/>
    </row>
    <row r="26">
      <c r="A26" s="1">
        <v>24.0</v>
      </c>
      <c r="B26" s="1" t="s">
        <v>66</v>
      </c>
      <c r="C26" s="1" t="s">
        <v>14</v>
      </c>
      <c r="D26" s="1" t="s">
        <v>67</v>
      </c>
      <c r="E26" s="5">
        <v>0.0</v>
      </c>
      <c r="F26" s="6">
        <v>106.0</v>
      </c>
      <c r="G26" s="7">
        <f t="shared" si="5"/>
        <v>3</v>
      </c>
      <c r="H26" s="7">
        <f t="shared" si="3"/>
        <v>3</v>
      </c>
      <c r="I26" s="8">
        <f t="shared" si="4"/>
        <v>-3</v>
      </c>
      <c r="J26" s="18"/>
    </row>
    <row r="27">
      <c r="A27" s="1">
        <v>25.0</v>
      </c>
      <c r="B27" s="1" t="s">
        <v>68</v>
      </c>
      <c r="C27" s="1" t="s">
        <v>14</v>
      </c>
      <c r="D27" s="1" t="s">
        <v>69</v>
      </c>
      <c r="E27" s="5">
        <v>7.0</v>
      </c>
      <c r="F27" s="6">
        <v>106.0</v>
      </c>
      <c r="G27" s="7">
        <f t="shared" si="5"/>
        <v>5</v>
      </c>
      <c r="H27" s="7">
        <f t="shared" si="3"/>
        <v>2</v>
      </c>
      <c r="I27" s="8">
        <f t="shared" si="4"/>
        <v>2</v>
      </c>
      <c r="J27" s="18"/>
    </row>
    <row r="28">
      <c r="A28" s="1">
        <v>26.0</v>
      </c>
      <c r="B28" s="1" t="s">
        <v>70</v>
      </c>
      <c r="C28" s="1" t="s">
        <v>14</v>
      </c>
      <c r="D28" s="1" t="s">
        <v>71</v>
      </c>
      <c r="E28" s="5">
        <v>7.0</v>
      </c>
      <c r="F28" s="6">
        <v>106.0</v>
      </c>
      <c r="G28" s="7">
        <f t="shared" si="5"/>
        <v>5</v>
      </c>
      <c r="H28" s="7">
        <f t="shared" si="3"/>
        <v>2</v>
      </c>
      <c r="I28" s="8">
        <f t="shared" si="4"/>
        <v>2</v>
      </c>
      <c r="J28" s="18"/>
    </row>
    <row r="29">
      <c r="A29" s="1">
        <v>27.0</v>
      </c>
      <c r="B29" s="1" t="s">
        <v>72</v>
      </c>
      <c r="C29" s="1" t="s">
        <v>14</v>
      </c>
      <c r="D29" s="1" t="s">
        <v>73</v>
      </c>
      <c r="E29" s="5">
        <v>4.0</v>
      </c>
      <c r="F29" s="1">
        <v>89.0</v>
      </c>
      <c r="G29" s="7">
        <f t="shared" si="5"/>
        <v>4</v>
      </c>
      <c r="H29" s="7">
        <f t="shared" si="3"/>
        <v>0</v>
      </c>
      <c r="I29" s="8">
        <f t="shared" si="4"/>
        <v>0</v>
      </c>
      <c r="J29" s="18"/>
    </row>
    <row r="30">
      <c r="A30" s="1">
        <v>28.0</v>
      </c>
      <c r="B30" s="1" t="s">
        <v>74</v>
      </c>
      <c r="C30" s="1" t="s">
        <v>14</v>
      </c>
      <c r="D30" s="1" t="s">
        <v>75</v>
      </c>
      <c r="E30" s="5">
        <v>4.0</v>
      </c>
      <c r="F30" s="6">
        <v>106.0</v>
      </c>
      <c r="G30" s="7">
        <f t="shared" si="5"/>
        <v>4</v>
      </c>
      <c r="H30" s="7">
        <f t="shared" si="3"/>
        <v>0</v>
      </c>
      <c r="I30" s="8">
        <f t="shared" si="4"/>
        <v>0</v>
      </c>
      <c r="J30" s="18"/>
    </row>
    <row r="31">
      <c r="A31" s="1">
        <v>29.0</v>
      </c>
      <c r="B31" s="1" t="s">
        <v>76</v>
      </c>
      <c r="C31" s="1" t="s">
        <v>14</v>
      </c>
      <c r="D31" s="1" t="s">
        <v>77</v>
      </c>
      <c r="E31" s="5">
        <v>3.0</v>
      </c>
      <c r="F31" s="6">
        <v>105.0</v>
      </c>
      <c r="G31" s="7">
        <f t="shared" si="5"/>
        <v>4</v>
      </c>
      <c r="H31" s="7">
        <f t="shared" si="3"/>
        <v>1</v>
      </c>
      <c r="I31" s="8">
        <f t="shared" si="4"/>
        <v>-1</v>
      </c>
      <c r="J31" s="18"/>
    </row>
    <row r="32">
      <c r="A32" s="1">
        <v>30.0</v>
      </c>
      <c r="B32" s="1" t="s">
        <v>78</v>
      </c>
      <c r="C32" s="1" t="s">
        <v>14</v>
      </c>
      <c r="D32" s="1" t="s">
        <v>79</v>
      </c>
      <c r="E32" s="5">
        <v>9.0</v>
      </c>
      <c r="F32" s="6">
        <v>106.0</v>
      </c>
      <c r="G32" s="7">
        <f t="shared" si="5"/>
        <v>7</v>
      </c>
      <c r="H32" s="7">
        <f t="shared" si="3"/>
        <v>2</v>
      </c>
      <c r="I32" s="8">
        <f t="shared" si="4"/>
        <v>2</v>
      </c>
      <c r="J32" s="18"/>
    </row>
    <row r="33">
      <c r="A33" s="1">
        <v>31.0</v>
      </c>
      <c r="B33" s="1" t="s">
        <v>80</v>
      </c>
      <c r="C33" s="1" t="s">
        <v>14</v>
      </c>
      <c r="D33" s="1" t="s">
        <v>81</v>
      </c>
      <c r="E33" s="5">
        <v>8.0</v>
      </c>
      <c r="F33" s="6">
        <v>106.0</v>
      </c>
      <c r="G33" s="7">
        <f t="shared" si="5"/>
        <v>4</v>
      </c>
      <c r="H33" s="7">
        <f t="shared" si="3"/>
        <v>4</v>
      </c>
      <c r="I33" s="8">
        <f t="shared" si="4"/>
        <v>4</v>
      </c>
      <c r="J33" s="18"/>
    </row>
    <row r="34">
      <c r="A34" s="1">
        <v>32.0</v>
      </c>
      <c r="B34" s="1" t="s">
        <v>82</v>
      </c>
      <c r="C34" s="1" t="s">
        <v>14</v>
      </c>
      <c r="D34" s="1" t="s">
        <v>83</v>
      </c>
      <c r="E34" s="5">
        <v>8.0</v>
      </c>
      <c r="F34" s="6">
        <v>106.0</v>
      </c>
      <c r="G34" s="7">
        <f t="shared" si="5"/>
        <v>7</v>
      </c>
      <c r="H34" s="7">
        <f t="shared" si="3"/>
        <v>1</v>
      </c>
      <c r="I34" s="8">
        <f t="shared" si="4"/>
        <v>1</v>
      </c>
      <c r="J34" s="18"/>
    </row>
    <row r="35">
      <c r="A35" s="1">
        <v>33.0</v>
      </c>
      <c r="B35" s="1" t="s">
        <v>84</v>
      </c>
      <c r="C35" s="1" t="s">
        <v>14</v>
      </c>
      <c r="D35" s="1" t="s">
        <v>85</v>
      </c>
      <c r="E35" s="5">
        <v>9.0</v>
      </c>
      <c r="F35" s="6">
        <v>106.0</v>
      </c>
      <c r="G35" s="7">
        <f t="shared" si="5"/>
        <v>7</v>
      </c>
      <c r="H35" s="7">
        <f t="shared" si="3"/>
        <v>2</v>
      </c>
      <c r="I35" s="8">
        <f t="shared" si="4"/>
        <v>2</v>
      </c>
      <c r="J35" s="18"/>
    </row>
    <row r="36">
      <c r="A36" s="1">
        <v>34.0</v>
      </c>
      <c r="B36" s="1" t="s">
        <v>86</v>
      </c>
      <c r="C36" s="1" t="s">
        <v>14</v>
      </c>
      <c r="D36" s="1" t="s">
        <v>87</v>
      </c>
      <c r="E36" s="5">
        <v>7.0</v>
      </c>
      <c r="F36" s="6">
        <v>106.0</v>
      </c>
      <c r="G36" s="19">
        <v>4.0</v>
      </c>
      <c r="H36" s="7">
        <f t="shared" si="3"/>
        <v>3</v>
      </c>
      <c r="I36" s="8">
        <f t="shared" si="4"/>
        <v>3</v>
      </c>
      <c r="J36" s="18"/>
    </row>
    <row r="37">
      <c r="A37" s="1">
        <v>35.0</v>
      </c>
      <c r="B37" s="1" t="s">
        <v>88</v>
      </c>
      <c r="C37" s="1" t="s">
        <v>14</v>
      </c>
      <c r="D37" s="1" t="s">
        <v>89</v>
      </c>
      <c r="E37" s="5">
        <v>6.0</v>
      </c>
      <c r="F37" s="6">
        <v>106.0</v>
      </c>
      <c r="G37" s="7">
        <f t="shared" ref="G37:G44" si="6">--MID(D37, FIND("Nota:", D37) + 6, 1)</f>
        <v>5</v>
      </c>
      <c r="H37" s="7">
        <f t="shared" si="3"/>
        <v>1</v>
      </c>
      <c r="I37" s="8">
        <f t="shared" si="4"/>
        <v>1</v>
      </c>
      <c r="J37" s="18"/>
    </row>
    <row r="38">
      <c r="A38" s="1">
        <v>36.0</v>
      </c>
      <c r="B38" s="1" t="s">
        <v>90</v>
      </c>
      <c r="C38" s="1" t="s">
        <v>14</v>
      </c>
      <c r="D38" s="1" t="s">
        <v>91</v>
      </c>
      <c r="E38" s="5">
        <v>6.0</v>
      </c>
      <c r="F38" s="6">
        <v>106.0</v>
      </c>
      <c r="G38" s="7">
        <f t="shared" si="6"/>
        <v>4</v>
      </c>
      <c r="H38" s="7">
        <f t="shared" si="3"/>
        <v>2</v>
      </c>
      <c r="I38" s="8">
        <f t="shared" si="4"/>
        <v>2</v>
      </c>
      <c r="J38" s="18"/>
    </row>
    <row r="39">
      <c r="A39" s="1">
        <v>37.0</v>
      </c>
      <c r="B39" s="1" t="s">
        <v>92</v>
      </c>
      <c r="C39" s="1" t="s">
        <v>14</v>
      </c>
      <c r="D39" s="1" t="s">
        <v>93</v>
      </c>
      <c r="E39" s="5">
        <v>8.0</v>
      </c>
      <c r="F39" s="6">
        <v>106.0</v>
      </c>
      <c r="G39" s="7">
        <f t="shared" si="6"/>
        <v>7</v>
      </c>
      <c r="H39" s="7">
        <f t="shared" si="3"/>
        <v>1</v>
      </c>
      <c r="I39" s="8">
        <f t="shared" si="4"/>
        <v>1</v>
      </c>
      <c r="J39" s="18"/>
    </row>
    <row r="40">
      <c r="A40" s="1">
        <v>38.0</v>
      </c>
      <c r="B40" s="1" t="s">
        <v>94</v>
      </c>
      <c r="C40" s="1" t="s">
        <v>14</v>
      </c>
      <c r="D40" s="1" t="s">
        <v>95</v>
      </c>
      <c r="E40" s="5">
        <v>8.0</v>
      </c>
      <c r="F40" s="6">
        <v>106.0</v>
      </c>
      <c r="G40" s="7">
        <f t="shared" si="6"/>
        <v>5</v>
      </c>
      <c r="H40" s="7">
        <f t="shared" si="3"/>
        <v>3</v>
      </c>
      <c r="I40" s="8">
        <f t="shared" si="4"/>
        <v>3</v>
      </c>
      <c r="J40" s="18"/>
    </row>
    <row r="41">
      <c r="A41" s="1">
        <v>39.0</v>
      </c>
      <c r="B41" s="1" t="s">
        <v>96</v>
      </c>
      <c r="C41" s="1" t="s">
        <v>14</v>
      </c>
      <c r="D41" s="1" t="s">
        <v>97</v>
      </c>
      <c r="E41" s="5">
        <v>1.0</v>
      </c>
      <c r="F41" s="6">
        <v>106.0</v>
      </c>
      <c r="G41" s="7">
        <f t="shared" si="6"/>
        <v>3</v>
      </c>
      <c r="H41" s="7">
        <f t="shared" si="3"/>
        <v>2</v>
      </c>
      <c r="I41" s="8">
        <f t="shared" si="4"/>
        <v>-2</v>
      </c>
      <c r="J41" s="18"/>
    </row>
    <row r="42">
      <c r="A42" s="1">
        <v>40.0</v>
      </c>
      <c r="B42" s="1" t="s">
        <v>98</v>
      </c>
      <c r="C42" s="1" t="s">
        <v>14</v>
      </c>
      <c r="D42" s="1" t="s">
        <v>99</v>
      </c>
      <c r="E42" s="5">
        <v>8.0</v>
      </c>
      <c r="F42" s="6">
        <v>106.0</v>
      </c>
      <c r="G42" s="7">
        <f t="shared" si="6"/>
        <v>7</v>
      </c>
      <c r="H42" s="7">
        <f t="shared" si="3"/>
        <v>1</v>
      </c>
      <c r="I42" s="8">
        <f t="shared" si="4"/>
        <v>1</v>
      </c>
      <c r="J42" s="18"/>
    </row>
    <row r="43">
      <c r="A43" s="1">
        <v>41.0</v>
      </c>
      <c r="B43" s="1" t="s">
        <v>100</v>
      </c>
      <c r="C43" s="1" t="s">
        <v>14</v>
      </c>
      <c r="D43" s="1" t="s">
        <v>101</v>
      </c>
      <c r="E43" s="5">
        <v>7.0</v>
      </c>
      <c r="F43" s="6">
        <v>106.0</v>
      </c>
      <c r="G43" s="7">
        <f t="shared" si="6"/>
        <v>5</v>
      </c>
      <c r="H43" s="7">
        <f t="shared" si="3"/>
        <v>2</v>
      </c>
      <c r="I43" s="8">
        <f t="shared" si="4"/>
        <v>2</v>
      </c>
      <c r="J43" s="18"/>
    </row>
    <row r="44">
      <c r="A44" s="1">
        <v>42.0</v>
      </c>
      <c r="B44" s="1" t="s">
        <v>102</v>
      </c>
      <c r="C44" s="1" t="s">
        <v>14</v>
      </c>
      <c r="D44" s="1" t="s">
        <v>103</v>
      </c>
      <c r="E44" s="5">
        <v>6.0</v>
      </c>
      <c r="F44" s="6">
        <v>106.0</v>
      </c>
      <c r="G44" s="7">
        <f t="shared" si="6"/>
        <v>5</v>
      </c>
      <c r="H44" s="7">
        <f t="shared" si="3"/>
        <v>1</v>
      </c>
      <c r="I44" s="8">
        <f t="shared" si="4"/>
        <v>1</v>
      </c>
      <c r="J44" s="18"/>
    </row>
    <row r="45">
      <c r="A45" s="1">
        <v>43.0</v>
      </c>
      <c r="B45" s="1" t="s">
        <v>104</v>
      </c>
      <c r="C45" s="1" t="s">
        <v>14</v>
      </c>
      <c r="D45" s="1" t="s">
        <v>105</v>
      </c>
      <c r="E45" s="5">
        <v>9.0</v>
      </c>
      <c r="F45" s="6">
        <v>106.0</v>
      </c>
      <c r="G45" s="19">
        <v>5.0</v>
      </c>
      <c r="H45" s="7">
        <f t="shared" si="3"/>
        <v>4</v>
      </c>
      <c r="I45" s="8">
        <f t="shared" si="4"/>
        <v>4</v>
      </c>
      <c r="J45" s="18"/>
    </row>
    <row r="46">
      <c r="A46" s="1">
        <v>44.0</v>
      </c>
      <c r="B46" s="1" t="s">
        <v>106</v>
      </c>
      <c r="C46" s="1" t="s">
        <v>14</v>
      </c>
      <c r="D46" s="1" t="s">
        <v>107</v>
      </c>
      <c r="E46" s="5">
        <v>3.0</v>
      </c>
      <c r="F46" s="6">
        <v>106.0</v>
      </c>
      <c r="G46" s="7">
        <f t="shared" ref="G46:G57" si="7">--MID(D46, FIND("Nota:", D46) + 6, 1)</f>
        <v>4</v>
      </c>
      <c r="H46" s="7">
        <f t="shared" si="3"/>
        <v>1</v>
      </c>
      <c r="I46" s="8">
        <f t="shared" si="4"/>
        <v>-1</v>
      </c>
      <c r="J46" s="18"/>
    </row>
    <row r="47">
      <c r="A47" s="1">
        <v>45.0</v>
      </c>
      <c r="B47" s="1" t="s">
        <v>108</v>
      </c>
      <c r="C47" s="1" t="s">
        <v>14</v>
      </c>
      <c r="D47" s="1" t="s">
        <v>109</v>
      </c>
      <c r="E47" s="5">
        <v>8.0</v>
      </c>
      <c r="F47" s="6">
        <v>107.0</v>
      </c>
      <c r="G47" s="7">
        <f t="shared" si="7"/>
        <v>7</v>
      </c>
      <c r="H47" s="7">
        <f t="shared" si="3"/>
        <v>1</v>
      </c>
      <c r="I47" s="8">
        <f t="shared" si="4"/>
        <v>1</v>
      </c>
      <c r="J47" s="18"/>
    </row>
    <row r="48">
      <c r="A48" s="1">
        <v>46.0</v>
      </c>
      <c r="B48" s="1" t="s">
        <v>110</v>
      </c>
      <c r="C48" s="1" t="s">
        <v>14</v>
      </c>
      <c r="D48" s="1" t="s">
        <v>111</v>
      </c>
      <c r="E48" s="5">
        <v>3.0</v>
      </c>
      <c r="F48" s="6">
        <v>107.0</v>
      </c>
      <c r="G48" s="7">
        <f t="shared" si="7"/>
        <v>4</v>
      </c>
      <c r="H48" s="7">
        <f t="shared" si="3"/>
        <v>1</v>
      </c>
      <c r="I48" s="8">
        <f t="shared" si="4"/>
        <v>-1</v>
      </c>
      <c r="J48" s="18"/>
    </row>
    <row r="49">
      <c r="A49" s="1">
        <v>47.0</v>
      </c>
      <c r="B49" s="1" t="s">
        <v>112</v>
      </c>
      <c r="C49" s="1" t="s">
        <v>14</v>
      </c>
      <c r="D49" s="1" t="s">
        <v>113</v>
      </c>
      <c r="E49" s="5">
        <v>2.0</v>
      </c>
      <c r="F49" s="6">
        <v>106.0</v>
      </c>
      <c r="G49" s="7">
        <f t="shared" si="7"/>
        <v>3</v>
      </c>
      <c r="H49" s="7">
        <f t="shared" si="3"/>
        <v>1</v>
      </c>
      <c r="I49" s="8">
        <f t="shared" si="4"/>
        <v>-1</v>
      </c>
      <c r="J49" s="18"/>
    </row>
    <row r="50">
      <c r="A50" s="1">
        <v>48.0</v>
      </c>
      <c r="B50" s="1" t="s">
        <v>114</v>
      </c>
      <c r="C50" s="1" t="s">
        <v>14</v>
      </c>
      <c r="D50" s="1" t="s">
        <v>115</v>
      </c>
      <c r="E50" s="5">
        <v>2.0</v>
      </c>
      <c r="F50" s="6">
        <v>78.0</v>
      </c>
      <c r="G50" s="7">
        <f t="shared" si="7"/>
        <v>2</v>
      </c>
      <c r="H50" s="7">
        <f t="shared" si="3"/>
        <v>0</v>
      </c>
      <c r="I50" s="8">
        <f t="shared" si="4"/>
        <v>0</v>
      </c>
      <c r="J50" s="18"/>
    </row>
    <row r="51">
      <c r="A51" s="1">
        <v>49.0</v>
      </c>
      <c r="B51" s="1" t="s">
        <v>116</v>
      </c>
      <c r="C51" s="1" t="s">
        <v>14</v>
      </c>
      <c r="D51" s="1" t="s">
        <v>117</v>
      </c>
      <c r="E51" s="5">
        <v>8.0</v>
      </c>
      <c r="F51" s="6">
        <v>115.0</v>
      </c>
      <c r="G51" s="7">
        <f t="shared" si="7"/>
        <v>5</v>
      </c>
      <c r="H51" s="7">
        <f t="shared" si="3"/>
        <v>3</v>
      </c>
      <c r="I51" s="8">
        <f t="shared" si="4"/>
        <v>3</v>
      </c>
      <c r="J51" s="18"/>
    </row>
    <row r="52">
      <c r="A52" s="1">
        <v>50.0</v>
      </c>
      <c r="B52" s="1" t="s">
        <v>118</v>
      </c>
      <c r="C52" s="1" t="s">
        <v>14</v>
      </c>
      <c r="D52" s="1" t="s">
        <v>119</v>
      </c>
      <c r="E52" s="5">
        <v>8.0</v>
      </c>
      <c r="F52" s="6">
        <v>104.0</v>
      </c>
      <c r="G52" s="7">
        <f t="shared" si="7"/>
        <v>4</v>
      </c>
      <c r="H52" s="7">
        <f t="shared" si="3"/>
        <v>4</v>
      </c>
      <c r="I52" s="8">
        <f t="shared" si="4"/>
        <v>4</v>
      </c>
      <c r="J52" s="18"/>
    </row>
    <row r="53">
      <c r="A53" s="1">
        <v>51.0</v>
      </c>
      <c r="B53" s="1" t="s">
        <v>120</v>
      </c>
      <c r="C53" s="1" t="s">
        <v>14</v>
      </c>
      <c r="D53" s="1" t="s">
        <v>121</v>
      </c>
      <c r="E53" s="5">
        <v>4.0</v>
      </c>
      <c r="F53" s="6">
        <v>106.0</v>
      </c>
      <c r="G53" s="7">
        <f t="shared" si="7"/>
        <v>4</v>
      </c>
      <c r="H53" s="7">
        <f t="shared" si="3"/>
        <v>0</v>
      </c>
      <c r="I53" s="8">
        <f t="shared" si="4"/>
        <v>0</v>
      </c>
      <c r="J53" s="18"/>
    </row>
    <row r="54">
      <c r="A54" s="1">
        <v>52.0</v>
      </c>
      <c r="B54" s="1" t="s">
        <v>122</v>
      </c>
      <c r="C54" s="1" t="s">
        <v>14</v>
      </c>
      <c r="D54" s="1" t="s">
        <v>123</v>
      </c>
      <c r="E54" s="5">
        <v>7.0</v>
      </c>
      <c r="F54" s="6">
        <v>106.0</v>
      </c>
      <c r="G54" s="7">
        <f t="shared" si="7"/>
        <v>4</v>
      </c>
      <c r="H54" s="7">
        <f t="shared" si="3"/>
        <v>3</v>
      </c>
      <c r="I54" s="8">
        <f t="shared" si="4"/>
        <v>3</v>
      </c>
      <c r="J54" s="18"/>
    </row>
    <row r="55">
      <c r="A55" s="1">
        <v>53.0</v>
      </c>
      <c r="B55" s="1" t="s">
        <v>124</v>
      </c>
      <c r="C55" s="1" t="s">
        <v>14</v>
      </c>
      <c r="D55" s="1" t="s">
        <v>125</v>
      </c>
      <c r="E55" s="5">
        <v>5.0</v>
      </c>
      <c r="F55" s="6">
        <v>106.0</v>
      </c>
      <c r="G55" s="7">
        <f t="shared" si="7"/>
        <v>4</v>
      </c>
      <c r="H55" s="7">
        <f t="shared" si="3"/>
        <v>1</v>
      </c>
      <c r="I55" s="8">
        <f t="shared" si="4"/>
        <v>1</v>
      </c>
      <c r="J55" s="18"/>
    </row>
    <row r="56">
      <c r="A56" s="1">
        <v>54.0</v>
      </c>
      <c r="B56" s="1" t="s">
        <v>126</v>
      </c>
      <c r="C56" s="1" t="s">
        <v>14</v>
      </c>
      <c r="D56" s="1" t="s">
        <v>127</v>
      </c>
      <c r="E56" s="5">
        <v>5.0</v>
      </c>
      <c r="F56" s="6">
        <v>105.0</v>
      </c>
      <c r="G56" s="7">
        <f t="shared" si="7"/>
        <v>4</v>
      </c>
      <c r="H56" s="7">
        <f t="shared" si="3"/>
        <v>1</v>
      </c>
      <c r="I56" s="8">
        <f t="shared" si="4"/>
        <v>1</v>
      </c>
      <c r="J56" s="18"/>
    </row>
    <row r="57">
      <c r="A57" s="1">
        <v>55.0</v>
      </c>
      <c r="B57" s="1" t="s">
        <v>128</v>
      </c>
      <c r="C57" s="1" t="s">
        <v>14</v>
      </c>
      <c r="D57" s="1" t="s">
        <v>129</v>
      </c>
      <c r="E57" s="5">
        <v>9.0</v>
      </c>
      <c r="F57" s="6">
        <v>106.0</v>
      </c>
      <c r="G57" s="7">
        <f t="shared" si="7"/>
        <v>7</v>
      </c>
      <c r="H57" s="7">
        <f t="shared" si="3"/>
        <v>2</v>
      </c>
      <c r="I57" s="8">
        <f t="shared" si="4"/>
        <v>2</v>
      </c>
      <c r="J57" s="18"/>
    </row>
    <row r="58">
      <c r="A58" s="1">
        <v>56.0</v>
      </c>
      <c r="B58" s="1" t="s">
        <v>130</v>
      </c>
      <c r="C58" s="1" t="s">
        <v>14</v>
      </c>
      <c r="D58" s="1" t="s">
        <v>131</v>
      </c>
      <c r="E58" s="5">
        <v>4.0</v>
      </c>
      <c r="F58" s="6">
        <v>106.0</v>
      </c>
      <c r="G58" s="19">
        <v>5.0</v>
      </c>
      <c r="H58" s="7">
        <f t="shared" si="3"/>
        <v>1</v>
      </c>
      <c r="I58" s="8">
        <f t="shared" si="4"/>
        <v>-1</v>
      </c>
      <c r="J58" s="18"/>
    </row>
    <row r="59">
      <c r="A59" s="1">
        <v>57.0</v>
      </c>
      <c r="B59" s="1" t="s">
        <v>132</v>
      </c>
      <c r="C59" s="1" t="s">
        <v>14</v>
      </c>
      <c r="D59" s="1" t="s">
        <v>133</v>
      </c>
      <c r="E59" s="5">
        <v>0.0</v>
      </c>
      <c r="F59" s="6">
        <v>66.0</v>
      </c>
      <c r="G59" s="7">
        <f t="shared" ref="G59:G72" si="8">--MID(D59, FIND("Nota:", D59) + 6, 1)</f>
        <v>1</v>
      </c>
      <c r="H59" s="7">
        <f t="shared" si="3"/>
        <v>1</v>
      </c>
      <c r="I59" s="8">
        <f t="shared" si="4"/>
        <v>-1</v>
      </c>
      <c r="J59" s="18"/>
    </row>
    <row r="60">
      <c r="A60" s="1">
        <v>58.0</v>
      </c>
      <c r="B60" s="1" t="s">
        <v>134</v>
      </c>
      <c r="C60" s="1" t="s">
        <v>14</v>
      </c>
      <c r="D60" s="1" t="s">
        <v>135</v>
      </c>
      <c r="E60" s="5">
        <v>2.0</v>
      </c>
      <c r="F60" s="6">
        <v>115.0</v>
      </c>
      <c r="G60" s="7">
        <f t="shared" si="8"/>
        <v>4</v>
      </c>
      <c r="H60" s="7">
        <f t="shared" si="3"/>
        <v>2</v>
      </c>
      <c r="I60" s="8">
        <f t="shared" si="4"/>
        <v>-2</v>
      </c>
      <c r="J60" s="18"/>
    </row>
    <row r="61">
      <c r="A61" s="1">
        <v>59.0</v>
      </c>
      <c r="B61" s="1" t="s">
        <v>136</v>
      </c>
      <c r="C61" s="1" t="s">
        <v>14</v>
      </c>
      <c r="D61" s="1" t="s">
        <v>137</v>
      </c>
      <c r="E61" s="5">
        <v>3.0</v>
      </c>
      <c r="F61" s="6">
        <v>104.0</v>
      </c>
      <c r="G61" s="7">
        <f t="shared" si="8"/>
        <v>4</v>
      </c>
      <c r="H61" s="7">
        <f t="shared" si="3"/>
        <v>1</v>
      </c>
      <c r="I61" s="8">
        <f t="shared" si="4"/>
        <v>-1</v>
      </c>
      <c r="J61" s="18"/>
    </row>
    <row r="62">
      <c r="A62" s="1">
        <v>60.0</v>
      </c>
      <c r="B62" s="1" t="s">
        <v>138</v>
      </c>
      <c r="C62" s="1" t="s">
        <v>14</v>
      </c>
      <c r="D62" s="1" t="s">
        <v>139</v>
      </c>
      <c r="E62" s="5">
        <v>1.0</v>
      </c>
      <c r="F62" s="6">
        <v>106.0</v>
      </c>
      <c r="G62" s="7">
        <f t="shared" si="8"/>
        <v>3</v>
      </c>
      <c r="H62" s="7">
        <f t="shared" si="3"/>
        <v>2</v>
      </c>
      <c r="I62" s="8">
        <f t="shared" si="4"/>
        <v>-2</v>
      </c>
      <c r="J62" s="18"/>
    </row>
    <row r="63">
      <c r="A63" s="1">
        <v>61.0</v>
      </c>
      <c r="B63" s="1" t="s">
        <v>140</v>
      </c>
      <c r="C63" s="1" t="s">
        <v>14</v>
      </c>
      <c r="D63" s="1" t="s">
        <v>141</v>
      </c>
      <c r="E63" s="5">
        <v>9.0</v>
      </c>
      <c r="F63" s="6">
        <v>106.0</v>
      </c>
      <c r="G63" s="7">
        <f t="shared" si="8"/>
        <v>7</v>
      </c>
      <c r="H63" s="7">
        <f t="shared" si="3"/>
        <v>2</v>
      </c>
      <c r="I63" s="8">
        <f t="shared" si="4"/>
        <v>2</v>
      </c>
      <c r="J63" s="18"/>
    </row>
    <row r="64">
      <c r="A64" s="1">
        <v>62.0</v>
      </c>
      <c r="B64" s="1" t="s">
        <v>142</v>
      </c>
      <c r="C64" s="1" t="s">
        <v>14</v>
      </c>
      <c r="D64" s="1" t="s">
        <v>143</v>
      </c>
      <c r="E64" s="5">
        <v>3.0</v>
      </c>
      <c r="F64" s="6">
        <v>106.0</v>
      </c>
      <c r="G64" s="7">
        <f t="shared" si="8"/>
        <v>4</v>
      </c>
      <c r="H64" s="7">
        <f t="shared" si="3"/>
        <v>1</v>
      </c>
      <c r="I64" s="8">
        <f t="shared" si="4"/>
        <v>-1</v>
      </c>
      <c r="J64" s="18"/>
    </row>
    <row r="65">
      <c r="A65" s="1">
        <v>63.0</v>
      </c>
      <c r="B65" s="1" t="s">
        <v>144</v>
      </c>
      <c r="C65" s="1" t="s">
        <v>14</v>
      </c>
      <c r="D65" s="1" t="s">
        <v>145</v>
      </c>
      <c r="E65" s="5">
        <v>2.0</v>
      </c>
      <c r="F65" s="6">
        <v>105.0</v>
      </c>
      <c r="G65" s="7">
        <f t="shared" si="8"/>
        <v>4</v>
      </c>
      <c r="H65" s="7">
        <f t="shared" si="3"/>
        <v>2</v>
      </c>
      <c r="I65" s="8">
        <f t="shared" si="4"/>
        <v>-2</v>
      </c>
      <c r="J65" s="18"/>
    </row>
    <row r="66">
      <c r="A66" s="1">
        <v>64.0</v>
      </c>
      <c r="B66" s="1" t="s">
        <v>146</v>
      </c>
      <c r="C66" s="1" t="s">
        <v>14</v>
      </c>
      <c r="D66" s="1" t="s">
        <v>147</v>
      </c>
      <c r="E66" s="5">
        <v>0.0</v>
      </c>
      <c r="F66" s="6">
        <v>63.0</v>
      </c>
      <c r="G66" s="7">
        <f t="shared" si="8"/>
        <v>0</v>
      </c>
      <c r="H66" s="7">
        <f t="shared" si="3"/>
        <v>0</v>
      </c>
      <c r="I66" s="8">
        <f t="shared" si="4"/>
        <v>0</v>
      </c>
      <c r="J66" s="18"/>
    </row>
    <row r="67">
      <c r="A67" s="1">
        <v>65.0</v>
      </c>
      <c r="B67" s="1" t="s">
        <v>148</v>
      </c>
      <c r="C67" s="1" t="s">
        <v>14</v>
      </c>
      <c r="D67" s="1" t="s">
        <v>149</v>
      </c>
      <c r="E67" s="5">
        <v>0.0</v>
      </c>
      <c r="F67" s="6">
        <v>52.0</v>
      </c>
      <c r="G67" s="7">
        <f t="shared" si="8"/>
        <v>0</v>
      </c>
      <c r="H67" s="7">
        <f t="shared" si="3"/>
        <v>0</v>
      </c>
      <c r="I67" s="8">
        <f t="shared" si="4"/>
        <v>0</v>
      </c>
      <c r="J67" s="18"/>
    </row>
    <row r="68">
      <c r="A68" s="1">
        <v>66.0</v>
      </c>
      <c r="B68" s="1" t="s">
        <v>150</v>
      </c>
      <c r="C68" s="1" t="s">
        <v>14</v>
      </c>
      <c r="D68" s="1" t="s">
        <v>151</v>
      </c>
      <c r="E68" s="5">
        <v>4.0</v>
      </c>
      <c r="F68" s="6">
        <v>115.0</v>
      </c>
      <c r="G68" s="7">
        <f t="shared" si="8"/>
        <v>5</v>
      </c>
      <c r="H68" s="7">
        <f t="shared" si="3"/>
        <v>1</v>
      </c>
      <c r="I68" s="8">
        <f t="shared" si="4"/>
        <v>-1</v>
      </c>
      <c r="J68" s="18"/>
    </row>
    <row r="69">
      <c r="A69" s="1">
        <v>67.0</v>
      </c>
      <c r="B69" s="1" t="s">
        <v>152</v>
      </c>
      <c r="C69" s="1" t="s">
        <v>14</v>
      </c>
      <c r="D69" s="1" t="s">
        <v>153</v>
      </c>
      <c r="E69" s="5">
        <v>6.0</v>
      </c>
      <c r="F69" s="6">
        <v>104.0</v>
      </c>
      <c r="G69" s="7">
        <f t="shared" si="8"/>
        <v>4</v>
      </c>
      <c r="H69" s="7">
        <f t="shared" si="3"/>
        <v>2</v>
      </c>
      <c r="I69" s="8">
        <f t="shared" si="4"/>
        <v>2</v>
      </c>
      <c r="J69" s="18"/>
    </row>
    <row r="70">
      <c r="A70" s="1">
        <v>68.0</v>
      </c>
      <c r="B70" s="1" t="s">
        <v>154</v>
      </c>
      <c r="C70" s="1" t="s">
        <v>14</v>
      </c>
      <c r="D70" s="1" t="s">
        <v>155</v>
      </c>
      <c r="E70" s="5">
        <v>8.0</v>
      </c>
      <c r="F70" s="6">
        <v>106.0</v>
      </c>
      <c r="G70" s="7">
        <f t="shared" si="8"/>
        <v>7</v>
      </c>
      <c r="H70" s="7">
        <f t="shared" si="3"/>
        <v>1</v>
      </c>
      <c r="I70" s="8">
        <f t="shared" si="4"/>
        <v>1</v>
      </c>
      <c r="J70" s="18"/>
    </row>
    <row r="71">
      <c r="A71" s="1">
        <v>69.0</v>
      </c>
      <c r="B71" s="1" t="s">
        <v>156</v>
      </c>
      <c r="C71" s="1" t="s">
        <v>14</v>
      </c>
      <c r="D71" s="1" t="s">
        <v>157</v>
      </c>
      <c r="E71" s="5">
        <v>5.0</v>
      </c>
      <c r="F71" s="6">
        <v>106.0</v>
      </c>
      <c r="G71" s="7">
        <f t="shared" si="8"/>
        <v>4</v>
      </c>
      <c r="H71" s="7">
        <f t="shared" si="3"/>
        <v>1</v>
      </c>
      <c r="I71" s="8">
        <f t="shared" si="4"/>
        <v>1</v>
      </c>
      <c r="J71" s="18"/>
    </row>
    <row r="72">
      <c r="A72" s="1">
        <v>70.0</v>
      </c>
      <c r="B72" s="1" t="s">
        <v>158</v>
      </c>
      <c r="C72" s="1" t="s">
        <v>14</v>
      </c>
      <c r="D72" s="1" t="s">
        <v>159</v>
      </c>
      <c r="E72" s="5">
        <v>0.0</v>
      </c>
      <c r="F72" s="6">
        <v>99.0</v>
      </c>
      <c r="G72" s="7">
        <f t="shared" si="8"/>
        <v>2</v>
      </c>
      <c r="H72" s="7">
        <f t="shared" si="3"/>
        <v>2</v>
      </c>
      <c r="I72" s="8">
        <f t="shared" si="4"/>
        <v>-2</v>
      </c>
      <c r="J72" s="18"/>
    </row>
  </sheetData>
  <drawing r:id="rId1"/>
</worksheet>
</file>