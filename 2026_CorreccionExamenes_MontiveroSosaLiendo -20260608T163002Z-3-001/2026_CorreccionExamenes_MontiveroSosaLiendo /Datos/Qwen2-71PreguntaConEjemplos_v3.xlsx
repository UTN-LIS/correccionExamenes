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v3" sheetId="1" r:id="rId5"/>
  </sheets>
  <definedNames/>
  <calcPr/>
</workbook>
</file>

<file path=xl/sharedStrings.xml><?xml version="1.0" encoding="utf-8"?>
<sst xmlns="http://schemas.openxmlformats.org/spreadsheetml/2006/main" count="166" uniqueCount="117">
  <si>
    <t>step</t>
  </si>
  <si>
    <t>entrada</t>
  </si>
  <si>
    <t>contexto</t>
  </si>
  <si>
    <t>salida</t>
  </si>
  <si>
    <t>esperado</t>
  </si>
  <si>
    <t>tiempo</t>
  </si>
  <si>
    <t>dif abs</t>
  </si>
  <si>
    <t>diferencia</t>
  </si>
  <si>
    <t>ERROR MAXIMO</t>
  </si>
  <si>
    <t>ERROR MEDIO ABSOLUTO</t>
  </si>
  <si>
    <t>SESGO DE CALIFICACION</t>
  </si>
  <si>
    <t>COINCIDENCIA EXACTA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</si>
  <si>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</si>
  <si>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</si>
  <si>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intenta describir el propósito de las aserciones en los tests, pero contiene varios errores y falta información crucial.
1. **Precisión Conceptual**: Menciona</t>
  </si>
  <si>
    <t>Respuesta: Las aserciones en el contexto del software, son muy relevantes para cubrir el codigo y evitar excepciones y errores que provocarian si no son revisados con este metodo asertivo.</t>
  </si>
  <si>
    <t>Evaluación:
Nota: 4
Justificación: 
La respuesta reconoce que las aserciones son útiles para prevenir errores y excepciones, lo cual es un concepto básico correcto. Sin embargo, la explicación es</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</si>
  <si>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</si>
  <si>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</si>
  <si>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</si>
  <si>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</si>
  <si>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</si>
  <si>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sin embargo, la explicación es bastante superficial y no es precisa. Menciona que las aserciones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</si>
  <si>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</si>
  <si>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explicar el propósito de las aserciones en los tests, señalando que sirven para verificar si las funcionalidades son correctas y proporciona un ejemplo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</si>
  <si>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</si>
  <si>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 xml:space="preserve">Evaluación:
Nota: 4
Justificación: La respuesta contiene elementos correctos sobre el propósito de las aserciones, pero presenta varias deficiencias en la precisión conceptual y la claridad de la explicación.
Correctos:
</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</si>
  <si>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</si>
  <si>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las aserciones, como que se usan para validaciones y que pueden fallar el test si la condición no se cumple.</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</si>
  <si>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</si>
  <si>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utilizan para validar entradas en los tests, específicamente en la fase "Assert</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</si>
  <si>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</si>
  <si>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relacionar las aserciones con el proceso de testing, pero presenta varios errores y falta información crucial. Se menciona que "assert" valida que el test haya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</si>
  <si>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</si>
  <si>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reconoce correctamente que las aserciones miden si el resultado obtenido coincide con el esperado, y menciona que si no se cumple, el test falla y</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</si>
  <si>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</si>
  <si>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contiene algunos elementos correctos sobre las aserciones, como que son validaciones que comprueban si una afirmación es correcta. Sin embargo, la explicación es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</si>
  <si>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</si>
  <si>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que las aserciones en los tests permiten comprobar si una condición es verdadera y proporciona un ejemplo práctico usando `AssertTrue`.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</si>
  <si>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</si>
  <si>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usan para validar y comparar objetos o valores en los tests. También señala que si una aserción falla, el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</si>
  <si>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</si>
  <si>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información relevante sobre cómo se utilizan las aserciones en los tests y por qué son importantes. Menciona correctamente que las aserciones permiten especificar el</t>
  </si>
  <si>
    <t>Respuesta: Los assert sirven para comprobar lo que devuelve o hacen las funciones, son unos de los pilares para poder hacer los test en el TDD.</t>
  </si>
  <si>
    <t>Evaluación: Nota: 5
Justificación: La respuesta reconoce una parte importante del propósito de las aserciones, que es verificar lo que devuelven o hacen las funciones. También menciona correctamente que las aserciones</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</si>
  <si>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</si>
  <si>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identifica correctamente que las aserciones se usan para comparar resultados, lo cual es una parte correcta de la descripción. Sin embargo, la explicación es bastante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</si>
  <si>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</si>
  <si>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el tema de las aserciones en los tests, pero presenta varios errores y confusas ideas.
- **Conceptos Correctos**: Menc</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</si>
  <si>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</si>
  <si>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intenta explicar el propósito y el uso de las aserciones en los tests, pero presenta varios errores y carencias importantes.
- **Precisión Conceptual**: El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</si>
  <si>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</si>
  <si>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reconoce que las aserciones se utilizan para comparar valores y que son fundamentales en los tests unitarios para verificar el correcto funcionamiento del código. Sin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</si>
  <si>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</si>
  <si>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7
Justificación: La respuesta contiene elementos correctos sobre el uso de aserciones en pruebas y su importancia, pero presenta algunas confusiones y falta información clave.
Conceptos correctos:
-</t>
  </si>
  <si>
    <t>Respuesta: Las podemos usar en diferentes modos:
* Para clases.
* Para integraciones.
* Para tets.</t>
  </si>
  <si>
    <t>Evaluación: Nota: 3
Justificación: La respuesta intenta abordar el tema, pero contiene varios errores y falta mucha información relevante.
Los errores principales incluyen:
- La respuesta mezcla diferentes conceptos: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</si>
  <si>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</si>
  <si>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proporciona una descripción general precisa de qué son las aserciones y cómo se utilizan en pruebas de software. Explica correctamente que las aserciones se utiliz</t>
  </si>
  <si>
    <t>Respuesta: Se utilizan en los tests para comprobar trozos pequeños de codigo, y tienen importancia ya que validan el código, aportando seguridad al software.</t>
  </si>
  <si>
    <t>Evaluación:
Nota: 4
Justificación: 
La respuesta reconoce parcialmente el propósito de las aserciones en los tests, indicando que se utilizan para comprobar fragmentos de código. Sin embargo, esta</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</si>
  <si>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</si>
  <si>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menciona que las aserciones se utilizan en los tests para comprobar partes del código, lo cual es correcto. Sin embargo, la explicación es bastante</t>
  </si>
  <si>
    <t>Respuesta: assert.equals sirve para introducir valores en los parámetros a la hora de hacer tests</t>
  </si>
  <si>
    <t>Evaluación: Nota: 3
Justificación: La respuesta identifica correctamente que `assert` se utiliza en tests, específicamente para comparar valores. Sin embargo, hay varios errores y falta información crucial:
1. **Uso</t>
  </si>
  <si>
    <t>Respuesta: .</t>
  </si>
  <si>
    <t>Evaluación:
Nota: 4
Justificación: La respuesta reconoce que las aserciones se utilizan en los tests, pero la explicación es bastante vaga y carece de detalles importantes. Menciona que las aserc</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</si>
  <si>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</si>
  <si>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resultados obtenidos con los esperados, lo cual es un concepto básico correcto. Sin embargo,</t>
  </si>
  <si>
    <t>Respuesta: Las aserciones sirven para evaluar concretamente un valor esperado del test ya sea en una comparación de valores, de referencias, booleanas, etc...</t>
  </si>
  <si>
    <t>Evaluación:
Nota: 4
Justificación: La respuesta reconoce parcialmente la función de las aserciones, mencionando que se utilizan para evaluar valores esperados y proporcionando algunos ejemplos de usos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</si>
  <si>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</si>
  <si>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5
Justificación: La respuesta menciona correctamente que existen diferentes tipos de aserciones, aunque solo menciona uno específico (AssertionEquals) y describe parcialmente cómo funciona. Es correcto señ</t>
  </si>
  <si>
    <t>Respuesta: Las aserciones son verificaciones de las validaciones de entrada. Un ejemplo podría ser assertionNotNull(actual) / assertionNull(actual) que nos sirve para conocer si el valor de entrada (actual) es nulo o no.</t>
  </si>
  <si>
    <t>Evaluación: Nota: 4
Justificación: La respuesta comienza con una idea parcialmente correcta al mencionar que las aserciones se usan para validar entradas, pero luego se desvía del tema</t>
  </si>
  <si>
    <t>Respuesta: Las aserciones se utilizan para estructurar y validar la forma en al que los tests se realizan. Esto hace que sean mas fiables y que tenga mayor cobertura.</t>
  </si>
  <si>
    <t>Evaluación: Nota: 4
Justificación: La respuesta reconoce parcialmente el propósito de las aserciones en los tests, indicando que ayudan a hacer los tests más fiables y con mayor cobertura.</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</si>
  <si>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</si>
  <si>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identifica correctamente varios tipos de aserciones (assertEquals, assertThrows, assertNotNull) y explica brevemente su función. Menciona que estas funciones son predefin</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</si>
  <si>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</si>
  <si>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parte crucial de los tests, destacando que validan el código. Sin embargo, la explicación es bastante superficial y carece de</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</si>
  <si>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</si>
  <si>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es bastante precisa y completa en cuanto a la descripción de cómo se utilizan las aserciones en los tests y su importancia. Menciona correctamente que las as</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</si>
  <si>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</si>
  <si>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es relativamente precisa y completa. Menciona correctamente que las aserciones se utilizan en pruebas para comprobar escenarios y proporciona ejemplos de</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</si>
  <si>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</si>
  <si>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La respuesta menciona correctamente algunas funciones de aserciones (assertEquals, assertTrue, assertFalse), lo cual es un punto positivo. También proporciona un ejemplo simple</t>
  </si>
  <si>
    <t>Respuesta: Los assertions se pueden utilizar para los test como una declaración para verificar una condición y si la condición es falsa, el test fallará. Es importante por que ayuda a minimizar el código de los tests.</t>
  </si>
  <si>
    <t>Evaluación: Nota: 4
Justificación: La respuesta reconoce que las aserciones se usan para verificar condiciones en los tests, y que si estas condiciones no se cumplen, el test fallará. Sin embargo,</t>
  </si>
  <si>
    <t>Respuesta: Las aserciones son importantes ya que validad los resultados de los tests, al fin y al cabo son los encargados de decir si un test pasa o no. Se utilizan al final del test</t>
  </si>
  <si>
    <t>Evaluación:
Nota: 4
Justificación: La respuesta reconoce que las aserciones determinan el éxito o fracaso de un test, lo cual es una idea correcta. Sin embargo, la explicación es bastante superficial y</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</si>
  <si>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</si>
  <si>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proporciona una idea general de cómo las aserciones se utilizan en pruebas para verificar que los métodos funcionan correctamente. Específicamente, menciona que</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</si>
  <si>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</si>
  <si>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menciona correctamente que las aserciones se utilizan para verificar si una condición es verdadera y que si no se cumple, el test falla. También recon</t>
  </si>
  <si>
    <t>Respuesta: Son importantes porque se pueden usar para distintas situaciones, ya sea para ver si funcionan, para ver si son iguales, para eliminar o añadir mas.</t>
  </si>
  <si>
    <t>Evaluación: Nota: 3
Justificación: La respuesta intenta abordar la importancia de las aserciones y algunos de sus usos, pero la información proporcionada es confusa y no está bien formulada.</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</si>
  <si>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</si>
  <si>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elementos correctos y relevantes sobre las aserciones y su uso en pruebas. Menciona que las aserciones son una parte fundamental en el testing y</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</si>
  <si>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</si>
  <si>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4
Justificación: La respuesta reconoce que las aserciones son importantes y menciona varios usos típicos, como verificar parámetros, comprobar valores verdaderos o falsos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</si>
  <si>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</si>
  <si>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identifica correctamente que las aserciones se utilizan para verificar si los datos introducidos son correctos y que si no lo son, el test fallará. Menc</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</si>
  <si>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</si>
  <si>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proporciona una explicación general de cómo se utilizan las aserciones en los tests, mencionando que se usan para verificar si los parámetros cumplen</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</si>
  <si>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</si>
  <si>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lo cual no está exactamente alineado con su uso en pruebas</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</si>
  <si>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</si>
  <si>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proporciona una descripción general correcta sobre cómo se utilizan las aserciones en los tests, mencionando la estructura AAA (Arrange-Act-Assert).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</si>
  <si>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</si>
  <si>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mencionando que sirven para validar los datos y evitar errores internos, lo cual es correcto.</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</si>
  <si>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</si>
  <si>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presenta varios errores y falta información crucial. Es correcto que las aserciones se utilizan en pruebas</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</si>
  <si>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</si>
  <si>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Menciona la idea de que un campo no puede ser nulo, pero</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</si>
  <si>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</si>
  <si>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correctamente que las aserciones se utilizan para comparar valores, datos o resultados y proporciona un ejemplo simple de su uso. Sin embargo, la explicación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</si>
</sst>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3" xfId="0" applyAlignment="1" applyFont="1" applyNumberFormat="1">
      <alignment readingOrder="0"/>
    </xf>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Qwen2-71PreguntaConEjemplos_v3</a:t>
            </a:r>
          </a:p>
        </c:rich>
      </c:tx>
      <c:layout>
        <c:manualLayout>
          <c:xMode val="edge"/>
          <c:yMode val="edge"/>
          <c:x val="0.030851063829787237"/>
          <c:y val="0.04616858237547893"/>
        </c:manualLayout>
      </c:layout>
      <c:overlay val="0"/>
    </c:title>
    <c:plotArea>
      <c:layout/>
      <c:lineChart>
        <c:varyColors val="0"/>
        <c:ser>
          <c:idx val="0"/>
          <c:order val="0"/>
          <c:spPr>
            <a:ln cmpd="sng">
              <a:solidFill>
                <a:srgbClr val="4285F4"/>
              </a:solidFill>
            </a:ln>
          </c:spPr>
          <c:marker>
            <c:symbol val="none"/>
          </c:marker>
          <c:cat>
            <c:strRef>
              <c:f>'Qwen2-71PreguntaConEjemplos_v3'!$A$1:$A$72</c:f>
            </c:strRef>
          </c:cat>
          <c:val>
            <c:numRef>
              <c:f>'Qwen2-71PreguntaConEjemplos_v3'!$H$1:$H$51</c:f>
              <c:numCache/>
            </c:numRef>
          </c:val>
          <c:smooth val="0"/>
        </c:ser>
        <c:axId val="1403813359"/>
        <c:axId val="1233007999"/>
      </c:lineChart>
      <c:catAx>
        <c:axId val="1403813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1233007999"/>
      </c:catAx>
      <c:valAx>
        <c:axId val="1233007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38133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866775</xdr:colOff>
      <xdr:row>3</xdr:row>
      <xdr:rowOff>133350</xdr:rowOff>
    </xdr:from>
    <xdr:ext cx="4171950"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c r="H1" s="3" t="s">
        <v>6</v>
      </c>
      <c r="I1" s="3" t="s">
        <v>7</v>
      </c>
      <c r="J1" s="3"/>
      <c r="K1" s="3"/>
      <c r="L1" s="3"/>
      <c r="M1" s="4" t="s">
        <v>8</v>
      </c>
      <c r="N1" s="4" t="s">
        <v>9</v>
      </c>
      <c r="O1" s="4" t="s">
        <v>10</v>
      </c>
      <c r="P1" s="4" t="s">
        <v>11</v>
      </c>
      <c r="Q1" s="5">
        <v>1.0</v>
      </c>
      <c r="R1" s="5">
        <v>2.0</v>
      </c>
      <c r="S1" s="5">
        <v>3.0</v>
      </c>
      <c r="T1" s="5">
        <v>4.0</v>
      </c>
      <c r="U1" s="5">
        <v>5.0</v>
      </c>
      <c r="V1" s="5">
        <v>-1.0</v>
      </c>
      <c r="W1" s="5">
        <v>-2.0</v>
      </c>
      <c r="X1" s="5">
        <v>-3.0</v>
      </c>
      <c r="Y1" s="5">
        <v>-4.0</v>
      </c>
      <c r="Z1" s="5">
        <v>-5.0</v>
      </c>
    </row>
    <row r="2" ht="63.0" customHeight="1">
      <c r="A2" s="1">
        <v>0.0</v>
      </c>
      <c r="B2" s="1" t="s">
        <v>12</v>
      </c>
      <c r="C2" s="1" t="s">
        <v>13</v>
      </c>
      <c r="D2" s="1" t="s">
        <v>14</v>
      </c>
      <c r="E2" s="1">
        <v>4.0</v>
      </c>
      <c r="F2" s="6">
        <v>4.09823584556579E15</v>
      </c>
      <c r="G2" s="7">
        <f t="shared" ref="G2:G51" si="2">--MID(D2, FIND("Nota:", D2) + 6, 1)</f>
        <v>4</v>
      </c>
      <c r="H2" s="7">
        <f t="shared" ref="H2:H51" si="3">ABS(I2)</f>
        <v>0</v>
      </c>
      <c r="I2" s="7">
        <f t="shared" ref="I2:I51" si="4">E2-G2</f>
        <v>0</v>
      </c>
      <c r="J2" s="3"/>
      <c r="K2" s="3"/>
      <c r="L2" s="3"/>
      <c r="M2" s="5">
        <f>MAX(H1:H90)</f>
        <v>4</v>
      </c>
      <c r="N2" s="8">
        <f t="shared" ref="N2:O2" si="1">AVERAGE(H1:H90)</f>
        <v>1.64</v>
      </c>
      <c r="O2" s="8">
        <f t="shared" si="1"/>
        <v>0.8</v>
      </c>
      <c r="P2" s="9">
        <f>COUNTIF(I2:I101, 0) / COUNT(I2:I101)
</f>
        <v>0.16</v>
      </c>
      <c r="Q2" s="10">
        <f>COUNTIF(I2:I72, 1) / COUNT(I2:I72)</f>
        <v>0.22</v>
      </c>
      <c r="R2" s="11">
        <f>COUNTIF(I2:I72, 2) / COUNT(I2:I72)</f>
        <v>0.2</v>
      </c>
      <c r="S2" s="11">
        <f>COUNTIF(I2:I72, 3) / COUNT(I2:I72)</f>
        <v>0.12</v>
      </c>
      <c r="T2" s="11">
        <f>COUNTIF(I2:I72, 4) / COUNT(I2:I72)</f>
        <v>0.06</v>
      </c>
      <c r="U2" s="11">
        <f>COUNTIF(I2:I72, 5) / COUNT(I2:I72)</f>
        <v>0</v>
      </c>
      <c r="V2" s="11">
        <f>COUNTIF(I2:I72, -1) / COUNT(I2:I72)</f>
        <v>0.12</v>
      </c>
      <c r="W2" s="11">
        <f>COUNTIF(I2:I72, -2) / COUNT(I2:I72)</f>
        <v>0.08</v>
      </c>
      <c r="X2" s="11">
        <f>COUNTIF(I2:I72, -3) / COUNT(I2:I72)</f>
        <v>0.02</v>
      </c>
      <c r="Y2" s="11">
        <f>COUNTIF(H2:H72, -4) / COUNT(H2:H72)</f>
        <v>0</v>
      </c>
      <c r="Z2" s="11">
        <f>COUNTIF(I2:I72, -5) / COUNT(I2:I72)</f>
        <v>0</v>
      </c>
    </row>
    <row r="3" ht="53.25" customHeight="1">
      <c r="A3" s="1">
        <v>1.0</v>
      </c>
      <c r="B3" s="1" t="s">
        <v>15</v>
      </c>
      <c r="C3" s="1" t="s">
        <v>13</v>
      </c>
      <c r="D3" s="1" t="s">
        <v>16</v>
      </c>
      <c r="E3" s="1">
        <v>2.0</v>
      </c>
      <c r="F3" s="6">
        <v>4.07072162628173E15</v>
      </c>
      <c r="G3" s="7">
        <f t="shared" si="2"/>
        <v>4</v>
      </c>
      <c r="H3" s="7">
        <f t="shared" si="3"/>
        <v>2</v>
      </c>
      <c r="I3" s="7">
        <f t="shared" si="4"/>
        <v>-2</v>
      </c>
      <c r="J3" s="3"/>
      <c r="K3" s="3"/>
      <c r="L3" s="3"/>
      <c r="M3" s="12" t="s">
        <v>17</v>
      </c>
      <c r="N3" s="12" t="s">
        <v>18</v>
      </c>
      <c r="O3" s="13" t="s">
        <v>19</v>
      </c>
      <c r="P3" s="13" t="s">
        <v>20</v>
      </c>
      <c r="Q3" s="14">
        <f>SUM(Q2:T2)</f>
        <v>0.6</v>
      </c>
      <c r="R3" s="15">
        <f>SUM(V2:X2)</f>
        <v>0.22</v>
      </c>
      <c r="S3" s="3"/>
      <c r="T3" s="3"/>
      <c r="U3" s="3"/>
      <c r="V3" s="3"/>
      <c r="W3" s="3"/>
      <c r="X3" s="3"/>
      <c r="Y3" s="3"/>
      <c r="Z3" s="3"/>
    </row>
    <row r="4" ht="65.25" customHeight="1">
      <c r="A4" s="1">
        <v>2.0</v>
      </c>
      <c r="B4" s="1" t="s">
        <v>21</v>
      </c>
      <c r="C4" s="1" t="s">
        <v>13</v>
      </c>
      <c r="D4" s="1" t="s">
        <v>22</v>
      </c>
      <c r="E4" s="1">
        <v>5.0</v>
      </c>
      <c r="F4" s="6">
        <v>4.04257199764251E15</v>
      </c>
      <c r="G4" s="7">
        <f t="shared" si="2"/>
        <v>4</v>
      </c>
      <c r="H4" s="7">
        <f t="shared" si="3"/>
        <v>1</v>
      </c>
      <c r="I4" s="7">
        <f t="shared" si="4"/>
        <v>1</v>
      </c>
    </row>
    <row r="5">
      <c r="A5" s="1">
        <v>3.0</v>
      </c>
      <c r="B5" s="1" t="s">
        <v>23</v>
      </c>
      <c r="C5" s="1" t="s">
        <v>13</v>
      </c>
      <c r="D5" s="1" t="s">
        <v>24</v>
      </c>
      <c r="E5" s="1">
        <v>4.0</v>
      </c>
      <c r="F5" s="6">
        <v>4.08986501693725E15</v>
      </c>
      <c r="G5" s="7">
        <f t="shared" si="2"/>
        <v>5</v>
      </c>
      <c r="H5" s="7">
        <f t="shared" si="3"/>
        <v>1</v>
      </c>
      <c r="I5" s="7">
        <f t="shared" si="4"/>
        <v>-1</v>
      </c>
    </row>
    <row r="6">
      <c r="A6" s="1">
        <v>4.0</v>
      </c>
      <c r="B6" s="1" t="s">
        <v>25</v>
      </c>
      <c r="C6" s="1" t="s">
        <v>13</v>
      </c>
      <c r="D6" s="1" t="s">
        <v>26</v>
      </c>
      <c r="E6" s="1">
        <v>6.0</v>
      </c>
      <c r="F6" s="6">
        <v>4.05405702590942E15</v>
      </c>
      <c r="G6" s="7">
        <f t="shared" si="2"/>
        <v>4</v>
      </c>
      <c r="H6" s="7">
        <f t="shared" si="3"/>
        <v>2</v>
      </c>
      <c r="I6" s="7">
        <f t="shared" si="4"/>
        <v>2</v>
      </c>
    </row>
    <row r="7">
      <c r="A7" s="1">
        <v>5.0</v>
      </c>
      <c r="B7" s="1" t="s">
        <v>27</v>
      </c>
      <c r="C7" s="1" t="s">
        <v>13</v>
      </c>
      <c r="D7" s="1" t="s">
        <v>28</v>
      </c>
      <c r="E7" s="1">
        <v>6.0</v>
      </c>
      <c r="F7" s="6">
        <v>4.09387633800506E15</v>
      </c>
      <c r="G7" s="7">
        <f t="shared" si="2"/>
        <v>5</v>
      </c>
      <c r="H7" s="7">
        <f t="shared" si="3"/>
        <v>1</v>
      </c>
      <c r="I7" s="7">
        <f t="shared" si="4"/>
        <v>1</v>
      </c>
    </row>
    <row r="8">
      <c r="A8" s="1">
        <v>6.0</v>
      </c>
      <c r="B8" s="1" t="s">
        <v>29</v>
      </c>
      <c r="C8" s="1" t="s">
        <v>13</v>
      </c>
      <c r="D8" s="1" t="s">
        <v>30</v>
      </c>
      <c r="E8" s="1">
        <v>7.0</v>
      </c>
      <c r="F8" s="6">
        <v>4.1058942079544E15</v>
      </c>
      <c r="G8" s="7">
        <f t="shared" si="2"/>
        <v>7</v>
      </c>
      <c r="H8" s="7">
        <f t="shared" si="3"/>
        <v>0</v>
      </c>
      <c r="I8" s="7">
        <f t="shared" si="4"/>
        <v>0</v>
      </c>
    </row>
    <row r="9">
      <c r="A9" s="1">
        <v>7.0</v>
      </c>
      <c r="B9" s="1" t="s">
        <v>31</v>
      </c>
      <c r="C9" s="1" t="s">
        <v>13</v>
      </c>
      <c r="D9" s="1" t="s">
        <v>32</v>
      </c>
      <c r="E9" s="1">
        <v>5.0</v>
      </c>
      <c r="F9" s="6">
        <v>4.02633130550384E15</v>
      </c>
      <c r="G9" s="7">
        <f t="shared" si="2"/>
        <v>4</v>
      </c>
      <c r="H9" s="7">
        <f t="shared" si="3"/>
        <v>1</v>
      </c>
      <c r="I9" s="7">
        <f t="shared" si="4"/>
        <v>1</v>
      </c>
    </row>
    <row r="10">
      <c r="A10" s="1">
        <v>8.0</v>
      </c>
      <c r="B10" s="1" t="s">
        <v>33</v>
      </c>
      <c r="C10" s="1" t="s">
        <v>13</v>
      </c>
      <c r="D10" s="1" t="s">
        <v>34</v>
      </c>
      <c r="E10" s="1">
        <v>7.0</v>
      </c>
      <c r="F10" s="6">
        <v>4.07208218574523E15</v>
      </c>
      <c r="G10" s="7">
        <f t="shared" si="2"/>
        <v>5</v>
      </c>
      <c r="H10" s="7">
        <f t="shared" si="3"/>
        <v>2</v>
      </c>
      <c r="I10" s="7">
        <f t="shared" si="4"/>
        <v>2</v>
      </c>
    </row>
    <row r="11">
      <c r="A11" s="1">
        <v>9.0</v>
      </c>
      <c r="B11" s="1" t="s">
        <v>35</v>
      </c>
      <c r="C11" s="1" t="s">
        <v>13</v>
      </c>
      <c r="D11" s="1" t="s">
        <v>36</v>
      </c>
      <c r="E11" s="1">
        <v>6.0</v>
      </c>
      <c r="F11" s="6">
        <v>4.07593312263488E15</v>
      </c>
      <c r="G11" s="7">
        <f t="shared" si="2"/>
        <v>4</v>
      </c>
      <c r="H11" s="7">
        <f t="shared" si="3"/>
        <v>2</v>
      </c>
      <c r="I11" s="7">
        <f t="shared" si="4"/>
        <v>2</v>
      </c>
    </row>
    <row r="12">
      <c r="A12" s="1">
        <v>10.0</v>
      </c>
      <c r="B12" s="1" t="s">
        <v>37</v>
      </c>
      <c r="C12" s="1" t="s">
        <v>13</v>
      </c>
      <c r="D12" s="1" t="s">
        <v>38</v>
      </c>
      <c r="E12" s="1">
        <v>6.0</v>
      </c>
      <c r="F12" s="6">
        <v>4.09437565803527E15</v>
      </c>
      <c r="G12" s="7">
        <f t="shared" si="2"/>
        <v>5</v>
      </c>
      <c r="H12" s="7">
        <f t="shared" si="3"/>
        <v>1</v>
      </c>
      <c r="I12" s="7">
        <f t="shared" si="4"/>
        <v>1</v>
      </c>
    </row>
    <row r="13">
      <c r="A13" s="1">
        <v>11.0</v>
      </c>
      <c r="B13" s="1" t="s">
        <v>39</v>
      </c>
      <c r="C13" s="1" t="s">
        <v>13</v>
      </c>
      <c r="D13" s="1" t="s">
        <v>40</v>
      </c>
      <c r="E13" s="1">
        <v>6.0</v>
      </c>
      <c r="F13" s="6">
        <v>4.10922904014587E15</v>
      </c>
      <c r="G13" s="7">
        <f t="shared" si="2"/>
        <v>5</v>
      </c>
      <c r="H13" s="7">
        <f t="shared" si="3"/>
        <v>1</v>
      </c>
      <c r="I13" s="7">
        <f t="shared" si="4"/>
        <v>1</v>
      </c>
    </row>
    <row r="14">
      <c r="A14" s="1">
        <v>12.0</v>
      </c>
      <c r="B14" s="1" t="s">
        <v>41</v>
      </c>
      <c r="C14" s="1" t="s">
        <v>13</v>
      </c>
      <c r="D14" s="1" t="s">
        <v>42</v>
      </c>
      <c r="E14" s="1">
        <v>8.0</v>
      </c>
      <c r="F14" s="6">
        <v>4.1582941532135E15</v>
      </c>
      <c r="G14" s="7">
        <f t="shared" si="2"/>
        <v>7</v>
      </c>
      <c r="H14" s="7">
        <f t="shared" si="3"/>
        <v>1</v>
      </c>
      <c r="I14" s="7">
        <f t="shared" si="4"/>
        <v>1</v>
      </c>
    </row>
    <row r="15">
      <c r="A15" s="1">
        <v>13.0</v>
      </c>
      <c r="B15" s="1" t="s">
        <v>43</v>
      </c>
      <c r="C15" s="1" t="s">
        <v>13</v>
      </c>
      <c r="D15" s="1" t="s">
        <v>44</v>
      </c>
      <c r="E15" s="1">
        <v>5.0</v>
      </c>
      <c r="F15" s="6">
        <v>4.03804461956024E15</v>
      </c>
      <c r="G15" s="7">
        <f t="shared" si="2"/>
        <v>5</v>
      </c>
      <c r="H15" s="7">
        <f t="shared" si="3"/>
        <v>0</v>
      </c>
      <c r="I15" s="7">
        <f t="shared" si="4"/>
        <v>0</v>
      </c>
    </row>
    <row r="16">
      <c r="A16" s="1">
        <v>14.0</v>
      </c>
      <c r="B16" s="1" t="s">
        <v>45</v>
      </c>
      <c r="C16" s="1" t="s">
        <v>13</v>
      </c>
      <c r="D16" s="1" t="s">
        <v>46</v>
      </c>
      <c r="E16" s="1">
        <v>7.0</v>
      </c>
      <c r="F16" s="6">
        <v>4.06441178321838E15</v>
      </c>
      <c r="G16" s="7">
        <f t="shared" si="2"/>
        <v>5</v>
      </c>
      <c r="H16" s="7">
        <f t="shared" si="3"/>
        <v>2</v>
      </c>
      <c r="I16" s="7">
        <f t="shared" si="4"/>
        <v>2</v>
      </c>
    </row>
    <row r="17">
      <c r="A17" s="1">
        <v>15.0</v>
      </c>
      <c r="B17" s="1" t="s">
        <v>47</v>
      </c>
      <c r="C17" s="1" t="s">
        <v>13</v>
      </c>
      <c r="D17" s="1" t="s">
        <v>48</v>
      </c>
      <c r="E17" s="1">
        <v>2.0</v>
      </c>
      <c r="F17" s="6">
        <v>4.1369056224823E13</v>
      </c>
      <c r="G17" s="7">
        <f t="shared" si="2"/>
        <v>4</v>
      </c>
      <c r="H17" s="7">
        <f t="shared" si="3"/>
        <v>2</v>
      </c>
      <c r="I17" s="7">
        <f t="shared" si="4"/>
        <v>-2</v>
      </c>
    </row>
    <row r="18">
      <c r="A18" s="1">
        <v>16.0</v>
      </c>
      <c r="B18" s="1" t="s">
        <v>49</v>
      </c>
      <c r="C18" s="1" t="s">
        <v>13</v>
      </c>
      <c r="D18" s="1" t="s">
        <v>50</v>
      </c>
      <c r="E18" s="1">
        <v>7.0</v>
      </c>
      <c r="F18" s="6">
        <v>4.08417227268219E14</v>
      </c>
      <c r="G18" s="7">
        <f t="shared" si="2"/>
        <v>5</v>
      </c>
      <c r="H18" s="7">
        <f t="shared" si="3"/>
        <v>2</v>
      </c>
      <c r="I18" s="7">
        <f t="shared" si="4"/>
        <v>2</v>
      </c>
    </row>
    <row r="19">
      <c r="A19" s="1">
        <v>17.0</v>
      </c>
      <c r="B19" s="1" t="s">
        <v>51</v>
      </c>
      <c r="C19" s="1" t="s">
        <v>13</v>
      </c>
      <c r="D19" s="1" t="s">
        <v>52</v>
      </c>
      <c r="E19" s="1">
        <v>9.0</v>
      </c>
      <c r="F19" s="6">
        <v>4.11389739513397E15</v>
      </c>
      <c r="G19" s="7">
        <f t="shared" si="2"/>
        <v>5</v>
      </c>
      <c r="H19" s="7">
        <f t="shared" si="3"/>
        <v>4</v>
      </c>
      <c r="I19" s="7">
        <f t="shared" si="4"/>
        <v>4</v>
      </c>
    </row>
    <row r="20">
      <c r="A20" s="1">
        <v>18.0</v>
      </c>
      <c r="B20" s="1" t="s">
        <v>53</v>
      </c>
      <c r="C20" s="1" t="s">
        <v>13</v>
      </c>
      <c r="D20" s="1" t="s">
        <v>54</v>
      </c>
      <c r="E20" s="1">
        <v>7.0</v>
      </c>
      <c r="F20" s="6">
        <v>4.12878310680389E15</v>
      </c>
      <c r="G20" s="7">
        <f t="shared" si="2"/>
        <v>7</v>
      </c>
      <c r="H20" s="7">
        <f t="shared" si="3"/>
        <v>0</v>
      </c>
      <c r="I20" s="7">
        <f t="shared" si="4"/>
        <v>0</v>
      </c>
    </row>
    <row r="21">
      <c r="A21" s="1">
        <v>19.0</v>
      </c>
      <c r="B21" s="1" t="s">
        <v>55</v>
      </c>
      <c r="C21" s="1" t="s">
        <v>13</v>
      </c>
      <c r="D21" s="1" t="s">
        <v>56</v>
      </c>
      <c r="E21" s="1">
        <v>0.0</v>
      </c>
      <c r="F21" s="6">
        <v>4.05666770935058E15</v>
      </c>
      <c r="G21" s="7">
        <f t="shared" si="2"/>
        <v>3</v>
      </c>
      <c r="H21" s="7">
        <f t="shared" si="3"/>
        <v>3</v>
      </c>
      <c r="I21" s="7">
        <f t="shared" si="4"/>
        <v>-3</v>
      </c>
    </row>
    <row r="22">
      <c r="A22" s="1">
        <v>20.0</v>
      </c>
      <c r="B22" s="1" t="s">
        <v>57</v>
      </c>
      <c r="C22" s="1" t="s">
        <v>13</v>
      </c>
      <c r="D22" s="1" t="s">
        <v>58</v>
      </c>
      <c r="E22" s="1">
        <v>8.0</v>
      </c>
      <c r="F22" s="6">
        <v>4.09013068675994E15</v>
      </c>
      <c r="G22" s="7">
        <f t="shared" si="2"/>
        <v>8</v>
      </c>
      <c r="H22" s="7">
        <f t="shared" si="3"/>
        <v>0</v>
      </c>
      <c r="I22" s="7">
        <f t="shared" si="4"/>
        <v>0</v>
      </c>
    </row>
    <row r="23">
      <c r="A23" s="1">
        <v>21.0</v>
      </c>
      <c r="B23" s="1" t="s">
        <v>59</v>
      </c>
      <c r="C23" s="1" t="s">
        <v>13</v>
      </c>
      <c r="D23" s="1" t="s">
        <v>60</v>
      </c>
      <c r="E23" s="1">
        <v>4.0</v>
      </c>
      <c r="F23" s="6">
        <v>4.03858065605163E15</v>
      </c>
      <c r="G23" s="7">
        <f t="shared" si="2"/>
        <v>4</v>
      </c>
      <c r="H23" s="7">
        <f t="shared" si="3"/>
        <v>0</v>
      </c>
      <c r="I23" s="7">
        <f t="shared" si="4"/>
        <v>0</v>
      </c>
    </row>
    <row r="24">
      <c r="A24" s="1">
        <v>22.0</v>
      </c>
      <c r="B24" s="1" t="s">
        <v>61</v>
      </c>
      <c r="C24" s="1" t="s">
        <v>13</v>
      </c>
      <c r="D24" s="1" t="s">
        <v>62</v>
      </c>
      <c r="E24" s="1">
        <v>7.0</v>
      </c>
      <c r="F24" s="6">
        <v>4.16338286399841E15</v>
      </c>
      <c r="G24" s="7">
        <f t="shared" si="2"/>
        <v>4</v>
      </c>
      <c r="H24" s="7">
        <f t="shared" si="3"/>
        <v>3</v>
      </c>
      <c r="I24" s="7">
        <f t="shared" si="4"/>
        <v>3</v>
      </c>
    </row>
    <row r="25">
      <c r="A25" s="1">
        <v>23.0</v>
      </c>
      <c r="B25" s="1" t="s">
        <v>63</v>
      </c>
      <c r="C25" s="1" t="s">
        <v>13</v>
      </c>
      <c r="D25" s="1" t="s">
        <v>64</v>
      </c>
      <c r="E25" s="1">
        <v>1.0</v>
      </c>
      <c r="F25" s="6">
        <v>4.09628911018371E15</v>
      </c>
      <c r="G25" s="7">
        <f t="shared" si="2"/>
        <v>3</v>
      </c>
      <c r="H25" s="7">
        <f t="shared" si="3"/>
        <v>2</v>
      </c>
      <c r="I25" s="7">
        <f t="shared" si="4"/>
        <v>-2</v>
      </c>
    </row>
    <row r="26">
      <c r="A26" s="1">
        <v>24.0</v>
      </c>
      <c r="B26" s="1" t="s">
        <v>65</v>
      </c>
      <c r="C26" s="1" t="s">
        <v>13</v>
      </c>
      <c r="D26" s="1" t="s">
        <v>66</v>
      </c>
      <c r="E26" s="1">
        <v>0.0</v>
      </c>
      <c r="F26" s="6">
        <v>4.11093397140502E15</v>
      </c>
      <c r="G26" s="7">
        <f t="shared" si="2"/>
        <v>4</v>
      </c>
      <c r="H26" s="7">
        <f t="shared" si="3"/>
        <v>4</v>
      </c>
      <c r="I26" s="7">
        <f t="shared" si="4"/>
        <v>-4</v>
      </c>
    </row>
    <row r="27">
      <c r="A27" s="1">
        <v>25.0</v>
      </c>
      <c r="B27" s="1" t="s">
        <v>67</v>
      </c>
      <c r="C27" s="1" t="s">
        <v>13</v>
      </c>
      <c r="D27" s="1" t="s">
        <v>68</v>
      </c>
      <c r="E27" s="1">
        <v>7.0</v>
      </c>
      <c r="F27" s="6">
        <v>4.06453084945678E15</v>
      </c>
      <c r="G27" s="7">
        <f t="shared" si="2"/>
        <v>5</v>
      </c>
      <c r="H27" s="7">
        <f t="shared" si="3"/>
        <v>2</v>
      </c>
      <c r="I27" s="7">
        <f t="shared" si="4"/>
        <v>2</v>
      </c>
    </row>
    <row r="28">
      <c r="A28" s="1">
        <v>26.0</v>
      </c>
      <c r="B28" s="1" t="s">
        <v>69</v>
      </c>
      <c r="C28" s="1" t="s">
        <v>13</v>
      </c>
      <c r="D28" s="1" t="s">
        <v>70</v>
      </c>
      <c r="E28" s="1">
        <v>7.0</v>
      </c>
      <c r="F28" s="6">
        <v>4.04560153484344E15</v>
      </c>
      <c r="G28" s="7">
        <f t="shared" si="2"/>
        <v>4</v>
      </c>
      <c r="H28" s="7">
        <f t="shared" si="3"/>
        <v>3</v>
      </c>
      <c r="I28" s="7">
        <f t="shared" si="4"/>
        <v>3</v>
      </c>
    </row>
    <row r="29">
      <c r="A29" s="1">
        <v>27.0</v>
      </c>
      <c r="B29" s="1" t="s">
        <v>71</v>
      </c>
      <c r="C29" s="1" t="s">
        <v>13</v>
      </c>
      <c r="D29" s="1" t="s">
        <v>72</v>
      </c>
      <c r="E29" s="1">
        <v>4.0</v>
      </c>
      <c r="F29" s="6">
        <v>4.07952282428741E16</v>
      </c>
      <c r="G29" s="7">
        <f t="shared" si="2"/>
        <v>5</v>
      </c>
      <c r="H29" s="7">
        <f t="shared" si="3"/>
        <v>1</v>
      </c>
      <c r="I29" s="7">
        <f t="shared" si="4"/>
        <v>-1</v>
      </c>
    </row>
    <row r="30">
      <c r="A30" s="1">
        <v>28.0</v>
      </c>
      <c r="B30" s="1" t="s">
        <v>73</v>
      </c>
      <c r="C30" s="1" t="s">
        <v>13</v>
      </c>
      <c r="D30" s="1" t="s">
        <v>74</v>
      </c>
      <c r="E30" s="1">
        <v>4.0</v>
      </c>
      <c r="F30" s="6">
        <v>4.06740179061889E16</v>
      </c>
      <c r="G30" s="7">
        <f t="shared" si="2"/>
        <v>4</v>
      </c>
      <c r="H30" s="7">
        <f t="shared" si="3"/>
        <v>0</v>
      </c>
      <c r="I30" s="7">
        <f t="shared" si="4"/>
        <v>0</v>
      </c>
    </row>
    <row r="31">
      <c r="A31" s="1">
        <v>29.0</v>
      </c>
      <c r="B31" s="1" t="s">
        <v>75</v>
      </c>
      <c r="C31" s="1" t="s">
        <v>13</v>
      </c>
      <c r="D31" s="1" t="s">
        <v>76</v>
      </c>
      <c r="E31" s="1">
        <v>3.0</v>
      </c>
      <c r="F31" s="6">
        <v>4.06402790546417E16</v>
      </c>
      <c r="G31" s="7">
        <f t="shared" si="2"/>
        <v>4</v>
      </c>
      <c r="H31" s="7">
        <f t="shared" si="3"/>
        <v>1</v>
      </c>
      <c r="I31" s="7">
        <f t="shared" si="4"/>
        <v>-1</v>
      </c>
    </row>
    <row r="32">
      <c r="A32" s="1">
        <v>30.0</v>
      </c>
      <c r="B32" s="1" t="s">
        <v>77</v>
      </c>
      <c r="C32" s="1" t="s">
        <v>13</v>
      </c>
      <c r="D32" s="1" t="s">
        <v>78</v>
      </c>
      <c r="E32" s="1">
        <v>9.0</v>
      </c>
      <c r="F32" s="6">
        <v>4.10025074481964E15</v>
      </c>
      <c r="G32" s="7">
        <f t="shared" si="2"/>
        <v>7</v>
      </c>
      <c r="H32" s="7">
        <f t="shared" si="3"/>
        <v>2</v>
      </c>
      <c r="I32" s="7">
        <f t="shared" si="4"/>
        <v>2</v>
      </c>
    </row>
    <row r="33">
      <c r="A33" s="1">
        <v>31.0</v>
      </c>
      <c r="B33" s="1" t="s">
        <v>79</v>
      </c>
      <c r="C33" s="1" t="s">
        <v>13</v>
      </c>
      <c r="D33" s="1" t="s">
        <v>80</v>
      </c>
      <c r="E33" s="1">
        <v>8.0</v>
      </c>
      <c r="F33" s="6">
        <v>4.04072883129119E15</v>
      </c>
      <c r="G33" s="7">
        <f t="shared" si="2"/>
        <v>4</v>
      </c>
      <c r="H33" s="7">
        <f t="shared" si="3"/>
        <v>4</v>
      </c>
      <c r="I33" s="7">
        <f t="shared" si="4"/>
        <v>4</v>
      </c>
    </row>
    <row r="34">
      <c r="A34" s="1">
        <v>32.0</v>
      </c>
      <c r="B34" s="1" t="s">
        <v>81</v>
      </c>
      <c r="C34" s="1" t="s">
        <v>13</v>
      </c>
      <c r="D34" s="1" t="s">
        <v>82</v>
      </c>
      <c r="E34" s="1">
        <v>8.0</v>
      </c>
      <c r="F34" s="6">
        <v>4.12101645469665E15</v>
      </c>
      <c r="G34" s="7">
        <f t="shared" si="2"/>
        <v>7</v>
      </c>
      <c r="H34" s="7">
        <f t="shared" si="3"/>
        <v>1</v>
      </c>
      <c r="I34" s="7">
        <f t="shared" si="4"/>
        <v>1</v>
      </c>
    </row>
    <row r="35">
      <c r="A35" s="1">
        <v>33.0</v>
      </c>
      <c r="B35" s="1" t="s">
        <v>83</v>
      </c>
      <c r="C35" s="1" t="s">
        <v>13</v>
      </c>
      <c r="D35" s="1" t="s">
        <v>84</v>
      </c>
      <c r="E35" s="1">
        <v>9.0</v>
      </c>
      <c r="F35" s="6">
        <v>4.12229206562042E16</v>
      </c>
      <c r="G35" s="7">
        <f t="shared" si="2"/>
        <v>7</v>
      </c>
      <c r="H35" s="7">
        <f t="shared" si="3"/>
        <v>2</v>
      </c>
      <c r="I35" s="7">
        <f t="shared" si="4"/>
        <v>2</v>
      </c>
    </row>
    <row r="36">
      <c r="A36" s="1">
        <v>34.0</v>
      </c>
      <c r="B36" s="1" t="s">
        <v>85</v>
      </c>
      <c r="C36" s="1" t="s">
        <v>13</v>
      </c>
      <c r="D36" s="1" t="s">
        <v>86</v>
      </c>
      <c r="E36" s="1">
        <v>7.0</v>
      </c>
      <c r="F36" s="6">
        <v>4.1287132024765E16</v>
      </c>
      <c r="G36" s="7">
        <f t="shared" si="2"/>
        <v>4</v>
      </c>
      <c r="H36" s="7">
        <f t="shared" si="3"/>
        <v>3</v>
      </c>
      <c r="I36" s="7">
        <f t="shared" si="4"/>
        <v>3</v>
      </c>
    </row>
    <row r="37">
      <c r="A37" s="1">
        <v>35.0</v>
      </c>
      <c r="B37" s="1" t="s">
        <v>87</v>
      </c>
      <c r="C37" s="1" t="s">
        <v>13</v>
      </c>
      <c r="D37" s="1" t="s">
        <v>88</v>
      </c>
      <c r="E37" s="1">
        <v>6.0</v>
      </c>
      <c r="F37" s="6">
        <v>4.04570534229278E16</v>
      </c>
      <c r="G37" s="7">
        <f t="shared" si="2"/>
        <v>4</v>
      </c>
      <c r="H37" s="7">
        <f t="shared" si="3"/>
        <v>2</v>
      </c>
      <c r="I37" s="7">
        <f t="shared" si="4"/>
        <v>2</v>
      </c>
    </row>
    <row r="38">
      <c r="A38" s="1">
        <v>36.0</v>
      </c>
      <c r="B38" s="1" t="s">
        <v>89</v>
      </c>
      <c r="C38" s="1" t="s">
        <v>13</v>
      </c>
      <c r="D38" s="1" t="s">
        <v>90</v>
      </c>
      <c r="E38" s="1">
        <v>6.0</v>
      </c>
      <c r="F38" s="6">
        <v>4.06243503093719E15</v>
      </c>
      <c r="G38" s="7">
        <f t="shared" si="2"/>
        <v>4</v>
      </c>
      <c r="H38" s="7">
        <f t="shared" si="3"/>
        <v>2</v>
      </c>
      <c r="I38" s="7">
        <f t="shared" si="4"/>
        <v>2</v>
      </c>
    </row>
    <row r="39">
      <c r="A39" s="1">
        <v>37.0</v>
      </c>
      <c r="B39" s="1" t="s">
        <v>91</v>
      </c>
      <c r="C39" s="1" t="s">
        <v>13</v>
      </c>
      <c r="D39" s="1" t="s">
        <v>92</v>
      </c>
      <c r="E39" s="1">
        <v>8.0</v>
      </c>
      <c r="F39" s="6">
        <v>4.08865005970001E15</v>
      </c>
      <c r="G39" s="7">
        <f t="shared" si="2"/>
        <v>7</v>
      </c>
      <c r="H39" s="7">
        <f t="shared" si="3"/>
        <v>1</v>
      </c>
      <c r="I39" s="7">
        <f t="shared" si="4"/>
        <v>1</v>
      </c>
    </row>
    <row r="40">
      <c r="A40" s="1">
        <v>38.0</v>
      </c>
      <c r="B40" s="1" t="s">
        <v>93</v>
      </c>
      <c r="C40" s="1" t="s">
        <v>13</v>
      </c>
      <c r="D40" s="1" t="s">
        <v>94</v>
      </c>
      <c r="E40" s="1">
        <v>8.0</v>
      </c>
      <c r="F40" s="6">
        <v>4.10696332454681E15</v>
      </c>
      <c r="G40" s="7">
        <f t="shared" si="2"/>
        <v>5</v>
      </c>
      <c r="H40" s="7">
        <f t="shared" si="3"/>
        <v>3</v>
      </c>
      <c r="I40" s="7">
        <f t="shared" si="4"/>
        <v>3</v>
      </c>
    </row>
    <row r="41">
      <c r="A41" s="1">
        <v>39.0</v>
      </c>
      <c r="B41" s="1" t="s">
        <v>95</v>
      </c>
      <c r="C41" s="1" t="s">
        <v>13</v>
      </c>
      <c r="D41" s="1" t="s">
        <v>96</v>
      </c>
      <c r="E41" s="1">
        <v>1.0</v>
      </c>
      <c r="F41" s="6">
        <v>4.08458952903747E16</v>
      </c>
      <c r="G41" s="7">
        <f t="shared" si="2"/>
        <v>3</v>
      </c>
      <c r="H41" s="7">
        <f t="shared" si="3"/>
        <v>2</v>
      </c>
      <c r="I41" s="7">
        <f t="shared" si="4"/>
        <v>-2</v>
      </c>
    </row>
    <row r="42">
      <c r="A42" s="1">
        <v>40.0</v>
      </c>
      <c r="B42" s="1" t="s">
        <v>97</v>
      </c>
      <c r="C42" s="1" t="s">
        <v>13</v>
      </c>
      <c r="D42" s="1" t="s">
        <v>98</v>
      </c>
      <c r="E42" s="1">
        <v>8.0</v>
      </c>
      <c r="F42" s="6">
        <v>4.11135926246643E15</v>
      </c>
      <c r="G42" s="7">
        <f t="shared" si="2"/>
        <v>7</v>
      </c>
      <c r="H42" s="7">
        <f t="shared" si="3"/>
        <v>1</v>
      </c>
      <c r="I42" s="7">
        <f t="shared" si="4"/>
        <v>1</v>
      </c>
    </row>
    <row r="43">
      <c r="A43" s="1">
        <v>41.0</v>
      </c>
      <c r="B43" s="1" t="s">
        <v>99</v>
      </c>
      <c r="C43" s="1" t="s">
        <v>13</v>
      </c>
      <c r="D43" s="1" t="s">
        <v>100</v>
      </c>
      <c r="E43" s="1">
        <v>7.0</v>
      </c>
      <c r="F43" s="6">
        <v>4.13866336345672E15</v>
      </c>
      <c r="G43" s="7">
        <f t="shared" si="2"/>
        <v>4</v>
      </c>
      <c r="H43" s="7">
        <f t="shared" si="3"/>
        <v>3</v>
      </c>
      <c r="I43" s="7">
        <f t="shared" si="4"/>
        <v>3</v>
      </c>
    </row>
    <row r="44">
      <c r="A44" s="1">
        <v>42.0</v>
      </c>
      <c r="B44" s="1" t="s">
        <v>101</v>
      </c>
      <c r="C44" s="1" t="s">
        <v>13</v>
      </c>
      <c r="D44" s="1" t="s">
        <v>102</v>
      </c>
      <c r="E44" s="1">
        <v>6.0</v>
      </c>
      <c r="F44" s="6">
        <v>4.12700326442718E15</v>
      </c>
      <c r="G44" s="7">
        <f t="shared" si="2"/>
        <v>5</v>
      </c>
      <c r="H44" s="7">
        <f t="shared" si="3"/>
        <v>1</v>
      </c>
      <c r="I44" s="7">
        <f t="shared" si="4"/>
        <v>1</v>
      </c>
    </row>
    <row r="45">
      <c r="A45" s="1">
        <v>43.0</v>
      </c>
      <c r="B45" s="1" t="s">
        <v>103</v>
      </c>
      <c r="C45" s="1" t="s">
        <v>13</v>
      </c>
      <c r="D45" s="1" t="s">
        <v>104</v>
      </c>
      <c r="E45" s="1">
        <v>9.0</v>
      </c>
      <c r="F45" s="6">
        <v>4.11693603992462E16</v>
      </c>
      <c r="G45" s="7">
        <f t="shared" si="2"/>
        <v>5</v>
      </c>
      <c r="H45" s="7">
        <f t="shared" si="3"/>
        <v>4</v>
      </c>
      <c r="I45" s="7">
        <f t="shared" si="4"/>
        <v>4</v>
      </c>
    </row>
    <row r="46">
      <c r="A46" s="1">
        <v>44.0</v>
      </c>
      <c r="B46" s="1" t="s">
        <v>105</v>
      </c>
      <c r="C46" s="1" t="s">
        <v>13</v>
      </c>
      <c r="D46" s="1" t="s">
        <v>106</v>
      </c>
      <c r="E46" s="1">
        <v>3.0</v>
      </c>
      <c r="F46" s="6">
        <v>4.07197942733764E16</v>
      </c>
      <c r="G46" s="7">
        <f t="shared" si="2"/>
        <v>4</v>
      </c>
      <c r="H46" s="7">
        <f t="shared" si="3"/>
        <v>1</v>
      </c>
      <c r="I46" s="7">
        <f t="shared" si="4"/>
        <v>-1</v>
      </c>
    </row>
    <row r="47">
      <c r="A47" s="1">
        <v>45.0</v>
      </c>
      <c r="B47" s="1" t="s">
        <v>107</v>
      </c>
      <c r="C47" s="1" t="s">
        <v>13</v>
      </c>
      <c r="D47" s="1" t="s">
        <v>108</v>
      </c>
      <c r="E47" s="1">
        <v>8.0</v>
      </c>
      <c r="F47" s="6">
        <v>4.14551029205322E15</v>
      </c>
      <c r="G47" s="7">
        <f t="shared" si="2"/>
        <v>7</v>
      </c>
      <c r="H47" s="7">
        <f t="shared" si="3"/>
        <v>1</v>
      </c>
      <c r="I47" s="7">
        <f t="shared" si="4"/>
        <v>1</v>
      </c>
    </row>
    <row r="48">
      <c r="A48" s="1">
        <v>46.0</v>
      </c>
      <c r="B48" s="1" t="s">
        <v>109</v>
      </c>
      <c r="C48" s="1" t="s">
        <v>13</v>
      </c>
      <c r="D48" s="1" t="s">
        <v>110</v>
      </c>
      <c r="E48" s="1">
        <v>3.0</v>
      </c>
      <c r="F48" s="6">
        <v>4.10882260799407E16</v>
      </c>
      <c r="G48" s="7">
        <f t="shared" si="2"/>
        <v>4</v>
      </c>
      <c r="H48" s="7">
        <f t="shared" si="3"/>
        <v>1</v>
      </c>
      <c r="I48" s="7">
        <f t="shared" si="4"/>
        <v>-1</v>
      </c>
    </row>
    <row r="49">
      <c r="A49" s="1">
        <v>47.0</v>
      </c>
      <c r="B49" s="1" t="s">
        <v>111</v>
      </c>
      <c r="C49" s="1" t="s">
        <v>13</v>
      </c>
      <c r="D49" s="1" t="s">
        <v>112</v>
      </c>
      <c r="E49" s="1">
        <v>2.0</v>
      </c>
      <c r="F49" s="6">
        <v>4.06582884788513E15</v>
      </c>
      <c r="G49" s="7">
        <f t="shared" si="2"/>
        <v>3</v>
      </c>
      <c r="H49" s="7">
        <f t="shared" si="3"/>
        <v>1</v>
      </c>
      <c r="I49" s="7">
        <f t="shared" si="4"/>
        <v>-1</v>
      </c>
    </row>
    <row r="50">
      <c r="A50" s="1">
        <v>48.0</v>
      </c>
      <c r="B50" s="1" t="s">
        <v>113</v>
      </c>
      <c r="C50" s="1" t="s">
        <v>13</v>
      </c>
      <c r="D50" s="1" t="s">
        <v>114</v>
      </c>
      <c r="E50" s="1">
        <v>2.0</v>
      </c>
      <c r="F50" s="6">
        <v>4.0602477312088E15</v>
      </c>
      <c r="G50" s="7">
        <f t="shared" si="2"/>
        <v>2</v>
      </c>
      <c r="H50" s="7">
        <f t="shared" si="3"/>
        <v>0</v>
      </c>
      <c r="I50" s="7">
        <f t="shared" si="4"/>
        <v>0</v>
      </c>
    </row>
    <row r="51">
      <c r="A51" s="1">
        <v>49.0</v>
      </c>
      <c r="B51" s="1" t="s">
        <v>115</v>
      </c>
      <c r="C51" s="1" t="s">
        <v>13</v>
      </c>
      <c r="D51" s="1" t="s">
        <v>116</v>
      </c>
      <c r="E51" s="1">
        <v>8.0</v>
      </c>
      <c r="F51" s="6">
        <v>4.0600665807724E13</v>
      </c>
      <c r="G51" s="7">
        <f t="shared" si="2"/>
        <v>5</v>
      </c>
      <c r="H51" s="7">
        <f t="shared" si="3"/>
        <v>3</v>
      </c>
      <c r="I51" s="7">
        <f t="shared" si="4"/>
        <v>3</v>
      </c>
    </row>
    <row r="52">
      <c r="A52" s="1">
        <v>50.0</v>
      </c>
    </row>
    <row r="53">
      <c r="A53" s="1">
        <v>51.0</v>
      </c>
    </row>
    <row r="54">
      <c r="A54" s="1">
        <v>52.0</v>
      </c>
    </row>
    <row r="55">
      <c r="A55" s="1">
        <v>53.0</v>
      </c>
    </row>
    <row r="56">
      <c r="A56" s="1">
        <v>54.0</v>
      </c>
    </row>
    <row r="57">
      <c r="A57" s="1">
        <v>55.0</v>
      </c>
    </row>
    <row r="58">
      <c r="A58" s="1">
        <v>56.0</v>
      </c>
    </row>
    <row r="59">
      <c r="A59" s="1">
        <v>57.0</v>
      </c>
    </row>
    <row r="60">
      <c r="A60" s="1">
        <v>58.0</v>
      </c>
    </row>
    <row r="61">
      <c r="A61" s="1">
        <v>59.0</v>
      </c>
    </row>
    <row r="62">
      <c r="A62" s="1">
        <v>60.0</v>
      </c>
    </row>
    <row r="63">
      <c r="A63" s="1">
        <v>61.0</v>
      </c>
    </row>
    <row r="64">
      <c r="A64" s="1">
        <v>62.0</v>
      </c>
    </row>
    <row r="65">
      <c r="A65" s="1">
        <v>63.0</v>
      </c>
    </row>
    <row r="66">
      <c r="A66" s="1">
        <v>64.0</v>
      </c>
    </row>
    <row r="67">
      <c r="A67" s="1">
        <v>65.0</v>
      </c>
    </row>
    <row r="68">
      <c r="A68" s="1">
        <v>66.0</v>
      </c>
    </row>
    <row r="69">
      <c r="A69" s="1">
        <v>67.0</v>
      </c>
    </row>
    <row r="70">
      <c r="A70" s="1">
        <v>68.0</v>
      </c>
    </row>
    <row r="71">
      <c r="A71" s="1">
        <v>69.0</v>
      </c>
    </row>
    <row r="72">
      <c r="A72" s="1">
        <v>70.0</v>
      </c>
    </row>
  </sheetData>
  <drawing r:id="rId1"/>
</worksheet>
</file>