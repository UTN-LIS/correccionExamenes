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R" sheetId="1" r:id="rId5"/>
  </sheets>
  <definedNames/>
  <calcPr/>
</workbook>
</file>

<file path=xl/sharedStrings.xml><?xml version="1.0" encoding="utf-8"?>
<sst xmlns="http://schemas.openxmlformats.org/spreadsheetml/2006/main" count="231" uniqueCount="161">
  <si>
    <t>step</t>
  </si>
  <si>
    <t>entrada</t>
  </si>
  <si>
    <t>contexto</t>
  </si>
  <si>
    <t>salida</t>
  </si>
  <si>
    <t>esperado</t>
  </si>
  <si>
    <t>tiempo</t>
  </si>
  <si>
    <t>Nota Normalizada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</si>
  <si>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</si>
  <si>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</si>
  <si>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</si>
  <si>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</si>
  <si>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</si>
  <si>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</si>
  <si>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</si>
  <si>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</si>
  <si>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Eres un profesor experto en evaluación académica. Tu tarea es corregir respuestas de estudiantes comparándolas con una respuesta ideal. Analiza la precisión conceptual, la completitud de la respuesta, el uso correcto de la terminología y la claridad de la explicación. Asigna una calificación numérica entre 0 y 10, donde 0 representa una respuesta completamente incorrecta o vacía y 10 una respuesta completamente correcta y completa. Además, proporciona una breve justificación de la nota indicando los conceptos correctamente mencionados, los errores detectados y los conceptos importantes que faltan.
Respuesta ideal: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</si>
  <si>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Calificación: 5
Justificación: La respuesta contiene algunos elementos correctos, pero carece de profundidad y claridad en la explicación de las aserciones y su importancia.
Conceptos correctamente mencionados:
- Se recon</t>
  </si>
  <si>
    <t>Respuesta: Las aserciones en el contexto del software, son muy relevantes para cubrir el codigo y evitar excepciones y errores que provocarian si no son revisados con este metodo asertivo.</t>
  </si>
  <si>
    <t>Calificación: 5
Justificación: La respuesta reconoce parcialmente la importancia de las aserciones en el desarrollo de software, destacando que ayudan a cubrir el código y prevenir excepciones y errores. Sin embargo</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</si>
  <si>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</si>
  <si>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</si>
  <si>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</si>
  <si>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</si>
  <si>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</si>
  <si>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Calificación: 4
Justificación:
La respuesta tiene algunos elementos correctos pero carece de precisión y completitud. Se menciona correctamente que las aserciones proporcionan confirmación sobre la validez de los tests, lo cual 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</si>
  <si>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</si>
  <si>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Calificación: 6
Justificación:
Conceptos correctamente mencionados:
- La respuesta reconoce que las aserciones son herramientas para validar si las funcionalidades son correctas.
- Se menciona que las aserciones ayud</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</si>
  <si>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</si>
  <si>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Calificación: 4
Justificación: La respuesta proporcionada tiene elementos correctos pero falta una explicación más detallada y precisa.
Conceptos correctamente mencionados:
- La respuesta reconoce que las aserciones tienen que ver con</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</si>
  <si>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</si>
  <si>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Calificación: 6
Justificación:
Conceptos correctamente mencionados:
- Se reconoce que las aserciones validan una condición.
- Se indica que si la condición no se cumple, el test falla.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</si>
  <si>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</si>
  <si>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Calificación: 7
Justificación:
Conceptos correctamente mencionados:
- Las aserciones se utilizan en la parte "Assert" del enfoque AAA (Arrange, Act, Assert) en los tests.
- Se refiere</t>
  </si>
  <si>
    <t>Respuesta: las aserciones permiten validar que el test haya pasado o no despues de haber declarado las variables con arrange y ejecutarlas con act, y assert valida que el test haya sido pasado con éxito, que es lo que buscamos</t>
  </si>
  <si>
    <t>Calificación: 5
Justificación: La respuesta tiene elementos correctos pero falta mucha precisión y completitud.
Conceptos correctamente mencionados:
- Se reconoce la función de validar si un test ha pasado o no.
- Se</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</si>
  <si>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</si>
  <si>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Calificación: 6
Justificación:
Conceptos correctamente mencionados:
- La respuesta reconoce que las aserciones miden el resultado obtenido contra el esperado.
- Reconoce que si la aserción falla, el</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</si>
  <si>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</si>
  <si>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Calificación: 5
Justificación: La respuesta contiene algunos elementos correctos, pero carece de profundidad y precisión en la explicación. Se menciona correctamente que las aserciones validan afirmaciones, aunque se simplifica demasi</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</si>
  <si>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</si>
  <si>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Calificación: 6
Justificación: La respuesta contiene algunos elementos correctos pero falta profundidad y precisión en la explicación. Se menciona correctamente que las aserciones permiten verificar si una condición es verdadera, y se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</si>
  <si>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</si>
  <si>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Calificación: 5
Justificación:
- Conceptos correctamente mencionados: La respuesta reconoce que las aserciones se usan para validar y comparar objetos o valores, y menciona correctamente que si una aserción falla</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</si>
  <si>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</si>
  <si>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Calificación: 7
Justificación:
La respuesta contiene elementos correctos y relevantes sobre las aserciones, pero hay algunos aspectos que podrían mejorar para ser más precisos y completos.
Conceptos correctamente mencionados:
-</t>
  </si>
  <si>
    <t>Respuesta: Los assert sirven para comprobar lo que devuelve o hacen las funciones, son unos de los pilares para poder hacer los test en el TDD.</t>
  </si>
  <si>
    <t>Calificación: 5
Justificación: La respuesta identifica correctamente una función principal de las aserciones, que es verificar lo que devuelven o hacen las funciones. También menciona que son importantes para el TDD (Desarrollo</t>
  </si>
  <si>
    <t>Respuesta: Las aserciones en los tests sirven para comparar un resultado, en estas se introduce un resultado esperado y un resultado actual, esto es importante para comparar resultados y mejorar el codigo o los tests en base a esto.</t>
  </si>
  <si>
    <t>Calificación: 6
Justificación:
La respuesta contiene elementos correctos y relevantes pero falta profundidad y claridad en algunos aspectos.
Conceptos correctamente mencionados:
- Se reconoce que las aserciones se utilizan para</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</si>
  <si>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</si>
  <si>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Calificación: 4
Justificación: La respuesta contiene algunos elementos correctos, pero carece de precisión conceptual y claridad. Se menciona que las aserciones se usan para asegurar que el código se ejecute de manera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</si>
  <si>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</si>
  <si>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Calificación: 6
Justificación: La respuesta contiene elementos correctos pero carece de claridad y profundidad. Se han mencionado correctamente que las aserciones se utilizan para validar soluciones concretas de las funciones del</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</si>
  <si>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</si>
  <si>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Calificación: 7
Justificación: La respuesta proporcionada contiene varios elementos correctos y relevantes, pero también presenta algunas omisiones y errores menores.
Conceptos correctos:
- Las aserciones se utilizan para compro</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</si>
  <si>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</si>
  <si>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Calificación: 6
Justificación: La respuesta contiene elementos correctos y relevantes pero también muestra varias omisiones y confusiones.
Conceptos correctos:
1. Se menciona correctamente que las aserciones se usan para</t>
  </si>
  <si>
    <t>Respuesta: Las podemos usar en diferentes modos:
* Para clases.
* Para integraciones.
* Para tets.</t>
  </si>
  <si>
    <t>Calificación: 3
Justificación:
La respuesta proporcionada contiene algunos elementos correctos pero carece de detalles relevantes y claridad en la explicación. Aquí están los puntos positivos y negativos:
Conceptos correctamente mencionados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</si>
  <si>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</si>
  <si>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Calificación: 7
Justificación: La respuesta proporcionada contiene elementos correctos y relevantes, pero falta una explicación más detallada y completa de las aserciones y su importancia en el contexto del desarrollo de software y en</t>
  </si>
  <si>
    <t>Respuesta: Se utilizan en los tests para comprobar trozos pequeños de codigo, y tienen importancia ya que validan el código, aportando seguridad al software.</t>
  </si>
  <si>
    <t>Calificación: 5
Justificación: La respuesta identifica correctamente un aspecto de utilidad de las aserciones (validar el código) y menciona su importancia (aportando seguridad al software), lo cual es positivo</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</si>
  <si>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</si>
  <si>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Calificación: 5
Justificación:
- Conceptos correctamente mencionados: La respuesta identifica correctamente que las aserciones se utilizan para verificar partes pequeñas de código, como métodos o clases. También menciona correctamente que las</t>
  </si>
  <si>
    <t>Respuesta: assert.equals sirve para introducir valores en los parámetros a la hora de hacer tests</t>
  </si>
  <si>
    <t>Calificación: 2
Justificación: La respuesta contiene un error significativo ya que solo menciona una función específica (assert.equals) sin explicar su uso ni el concepto general de las aserciones. Además, no se explica</t>
  </si>
  <si>
    <t>Respuesta: .</t>
  </si>
  <si>
    <t>Calificación: 2
Justificación: La respuesta proporcionada está vacía, lo cual indica una falta total de comprensión del tema. No se mencionan aserciones ni sus usos en los tests, ni se explica</t>
  </si>
  <si>
    <t>Respuesta: Las assertions sirven para realizar comprobaciones entre los resultados obtenidos en el test y los resultados esperados. Estas se utilizan en la parte final de los test, después de la parte de desarrollo.</t>
  </si>
  <si>
    <t>Calificación: 5
Justificación: La respuesta contiene elementos correctos y relevantes, pero falta información crucial y hay algunas inexactitudes.
Conceptos correctamente mencionados:
- Las aserciones se utilizan para verificar si los resultados</t>
  </si>
  <si>
    <t>Respuesta: Las aserciones sirven para evaluar concretamente un valor esperado del test ya sea en una comparación de valores, de referencias, booleanas, etc...</t>
  </si>
  <si>
    <t>Calificación: 5
Justificación: La respuesta reconoce parcialmente el propósito principal de las aserciones, mencionando que se utilizan para evaluar un valor esperado en diferentes tipos de comparaciones. Sin embargo, hay</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</si>
  <si>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</si>
  <si>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Calificación: 4
Justificación:
Conceptos correctamente mencionados:
- Se menciona que existen diferentes tipos de aserciones (punto positivo).
- Se indica que el primer parámetro de una aserción es</t>
  </si>
  <si>
    <t>Respuesta: Las aserciones son verificaciones de las validaciones de entrada. Un ejemplo podría ser assertionNotNull(actual) / assertionNull(actual) que nos sirve para conocer si el valor de entrada (actual) es nulo o no.</t>
  </si>
  <si>
    <t>Calificación: 4
Justificación: La respuesta menciona correctamente que las aserciones se utilizan para verificar si un valor es nulo o no, lo cual es una parte correcta de la respuesta. Sin embargo, hay varios aspect</t>
  </si>
  <si>
    <t>Respuesta: Las aserciones se utilizan para estructurar y validar la forma en al que los tests se realizan. Esto hace que sean mas fiables y que tenga mayor cobertura.</t>
  </si>
  <si>
    <t xml:space="preserve">Calificación: 5
Justificación: La respuesta reconoce parcialmente la importancia de las aserciones en la validación de los tests, lo cual es correcto. Sin embargo, hay varios aspectos que faltan:
</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</si>
  <si>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</si>
  <si>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Calificación: 7
Justificación: La respuesta proporcionada tiene varios puntos correctos y relevantes, pero también contiene algunas inexactitudes y falta de profundidad comparada con la respuesta ideal.
Conceptos correctos:
1. La respuesta</t>
  </si>
  <si>
    <t>Respuesta: La asserciones en los test son declaraciones dentro de los test que validan el código, es decir es uno de los elemento más importantes de los test ya que son las líneas del código del test que validan o invalidan un test.</t>
  </si>
  <si>
    <t>Calificación: 5
Justificación: La respuesta tiene elementos correctos pero falta profundidad y claridad. Se menciona que las aserciones validan el código y su importancia, lo cual es correcto. Sin embargo, la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</si>
  <si>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</si>
  <si>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Calificación: 6
Justificación: La respuesta del estudiante contiene elementos correctos pero falta una explicación más detallada y completa. Los conceptos correctos mencionados incluyen la utilidad de las aserciones para verificar</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</si>
  <si>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</si>
  <si>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Calificación: 7
Justificación: La respuesta proporcionada aborda correctamente algunos aspectos clave de las aserciones en los tests, pero falta claridad y completitud en algunas áreas.
Conceptos correctamente mencionados:
- Las as</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</si>
  <si>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</si>
  <si>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Calificación: 4
Justificación:
Los conceptos correctamente mencionados:
- La respuesta menciona correctamente algunas aserciones básicas como `assertEquals`, `assertTrue` y `assertFalse`.
- Reconoce que estas aserciones se</t>
  </si>
  <si>
    <t>Respuesta: Los assertions se pueden utilizar para los test como una declaración para verificar una condición y si la condición es falsa, el test fallará. Es importante por que ayuda a minimizar el código de los tests.</t>
  </si>
  <si>
    <t>Calificación: 4
Justificación: La respuesta tiene algunos elementos correctos pero falta una explicación más detallada y precisa. Se menciona correctamente que las aserciones se utilizan para verificar una condición y que si esta es</t>
  </si>
  <si>
    <t>Respuesta: Las aserciones son importantes ya que validad los resultados de los tests, al fin y al cabo son los encargados de decir si un test pasa o no. Se utilizan al final del test</t>
  </si>
  <si>
    <t>Calificación: 5
Justificación:
La respuesta contiene elementos correctos pero carece de profundidad y detalles importantes. 
Conceptos correctamente mencionados:
- Las aserciones validan los resultados de los tests.
- Indican si</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</si>
  <si>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</si>
  <si>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Calificación: 6
Justificación:
Conceptos correctamente mencionados:
- La respuesta reconoce que las aserciones se utilizan para verificar que ciertos métodos funcionen correctamente.
- Reconoce que las aserciones pueden ser</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</si>
  <si>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</si>
  <si>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Calificación: 6
Justificación: La respuesta contiene elementos correctos pero carece de profundidad y claridad. Se menciona correctamente que las aserciones permiten verificar si una condición es verdadera y que falla el test</t>
  </si>
  <si>
    <t>Respuesta: Son importantes porque se pueden usar para distintas situaciones, ya sea para ver si funcionan, para ver si son iguales, para eliminar o añadir mas.</t>
  </si>
  <si>
    <t>Calificación: 4
Justificación: La respuesta menciona que las aserciones son útiles para diferentes situaciones, lo cual es parcialmente correcto, pero no se profundiza en el uso específico de las aserciones en</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</si>
  <si>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</si>
  <si>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Calificación: 6
Justificación:
Conceptos correctamente mencionados:
- La respuesta reconoce que las aserciones son parte fundamental del testing y que su propósito principal es verificar resultados.
- Se mencionan varios tipos de aserc</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</si>
  <si>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</si>
  <si>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Calificación: 6
Justificación: La respuesta contiene varios elementos correctos y relevantes sobre el uso y la importancia de las aserciones en los tests. Se menciona que las aserciones tienen distintos usos dentro del</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</si>
  <si>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</si>
  <si>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Calificación: 5
Justificación: La respuesta contiene elementos correctos pero carece de claridad y profundidad. Menciona correctamente que las aserciones se utilizan para verificar si los datos son correctos y que pueden fallar</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</si>
  <si>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</si>
  <si>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Calificación: 6
Justificación: La respuesta contiene elementos correctos y relevantes sobre aserciones y su uso en pruebas, pero presenta algunas omisiones y errores en la terminología y la profundidad del análisis.
Conceptos</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</si>
  <si>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</si>
  <si>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Calificación: 5
Justificación:
- Conceptos correctos: La respuesta menciona correctamente que las aserciones pueden ayudar a evitar que el código falle, destacando la idea de verificar entradas del usuario.
- Erro</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</si>
  <si>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</si>
  <si>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Calificación: 7
Justificación:
La respuesta proporciona una descripción general adecuada de cómo se utilizan las aserciones en los tests y por qué son importantes, pero hay algunos aspectos que podrían mejorar para alcanzar una</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</si>
  <si>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</si>
  <si>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Calificación: 5
Justificación: La respuesta tiene elementos correctos pero falta precisión y completitud.
Conceptos correctamente mencionados:
- Las aserciones validan datos dentro del código.
- Ayudan a evitar errores intern</t>
  </si>
  <si>
    <t>Respuesta: Las aserciones en los test sirven para que el codigo no influya en los datos, es decir, para que el codigo no pueda cambiar o eliminar cualquier tipo de dato que estamos verificando con los tests</t>
  </si>
  <si>
    <t>Calificación: 3
Justificación:
- **Conceptos Correctamente Mencionados**: La respuesta reconoce que las aserciones tienen que ver con verificar datos, lo cual es parcialmente correcto.
- **Errores Detectados</t>
  </si>
  <si>
    <t>Respuesta: Se pueden utilizar por ejemplo cuando un campo no puede ser nulo, poniendo @NOTNULL para evitar campos que no se rellenen y sean obligatorios, saltando el error correspondiente para solucionarlo.</t>
  </si>
  <si>
    <t>Calificación: 4
Justificación: La respuesta contiene un concepto parcialmente correcto, ya que menciona el uso de aserciones para evitar campos nulos. Sin embargo, hay varios errores y faltas de información importantes</t>
  </si>
  <si>
    <t>Respuesta: Las aserciones se pueden utilizar en los tests para comparar valores, datos o resultados. Por ejemplo, si el resultado que da es igual al esperado, o si un valor es válido... Son muy importantes para tener tests completos y cubrir la mayor parte del código</t>
  </si>
  <si>
    <t>Calificación: 6
Justificación: La respuesta del estudiante toca varios puntos relevantes sobre el uso de aserciones en los tests, como la comparación de valores y la importancia para asegurar que los tests cubren bien</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</si>
  <si>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</si>
  <si>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Calificación: 6
Justificación:
Conceptos correctamente mencionados:
- La respuesta reconoce que las aserciones se utilizan para verificar si un programa funciona correctamente, lo cual es correcto.
Errores detectados:
- Fal</t>
  </si>
  <si>
    <t>Respuesta: Las aserciones son comprobadores de datos que devueven valores de tipo bool (verdadero o falso) en los tests. Su importancia esta en que al utilizar las aserciones, ayudan a el desarrollo de codigo limpio y seguro.</t>
  </si>
  <si>
    <t>Calificación: 5
Justificación:
- La respuesta contiene algunos elementos correctos, como que las aserciones devuelven valores booleanos (verdadero o falso) y su utilidad para ayudar en el desarrollo de código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</si>
  <si>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</si>
  <si>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Calificación: 5
Justificación: La respuesta contiene elementos correctos pero carece de claridad y no aborda todos los aspectos de la pregunta. Menciona correctamente que las aserciones verifican si algo es verdadero</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</si>
  <si>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</si>
  <si>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Calificación: 5
Justificación:
La respuesta contiene algunos elementos correctos pero presenta varios errores y falta información crucial.
Conceptos correctos:
- La idea de que las aserciones verifican condiciones.
- Algunos ejemp</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</si>
  <si>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</si>
  <si>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Calificación: 6
Justificación:
Conceptos correctamente mencionados:
- La respuesta reconoce que las aserciones (asserts) se utilizan para verificar la validez de variables o datos.
- Reconoce que estas se implement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</si>
  <si>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</si>
  <si>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Calificación: 6
Justificación: La respuesta tiene elementos correctos pero falta profundidad y claridad en algunos puntos.
Conceptos correctamente mencionados:
- Aserciones se usan para verificar condiciones.
- Se utilizan para compar</t>
  </si>
  <si>
    <t>Respuesta: Tendríamos diferentes aserciones,
Asssert.Equals() -&gt; asegura que el valor de entrada y el valor esperado es igual.
No me acuerdo de mas asserts ahora mismo ;(
Los asserts son el motor básico del test y lo que asegura que lo que estamos probando esta bien.</t>
  </si>
  <si>
    <t>Calificación: 5
Justificación: La respuesta reconoce dos tipos de aserciones (Assert.Equals()) y menciona que son esenciales para verificar que el código esté funcionando correctamente, lo cual es correcto. Sin embargo</t>
  </si>
  <si>
    <t>Respuesta: No lo se :(</t>
  </si>
  <si>
    <t>Calificación: 0
Justificación: La respuesta del estudiante es completamente incorrecta y no aborda ninguna parte de la pregunta. Falta toda comprensión de conceptos básicos sobre aserciones en pruebas y su importancia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</si>
  <si>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</si>
  <si>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Calificación: 5
Justificación: La respuesta del estudiante contiene algunos elementos correctos pero falta una descripción más completa y precisa de cómo se utilizan las aserciones en los tests y su importancia. 
Correctos:
-</t>
  </si>
  <si>
    <t>Respuesta: Las aserciones de los test sirven para comprobar que el programa funciona de la manera esperada por el programador. Es una verificación del programa que funciona correctamente.</t>
  </si>
  <si>
    <t>Calificación: 4
Justificación: La respuesta contiene elementos correctos, pero carece de profundidad y completitud. Menciona correctamente que las aserciones se utilizan para verificar si el programa funciona de la manera esperada,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</si>
  <si>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</si>
  <si>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Calificación: 5
Justificación: La respuesta contiene algunos elementos correctos pero carece de claridad y profundidad. Se menciona correctamente que las aserciones tienen que ver con comprobar condiciones, aunque la forma de expresarlo</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</si>
  <si>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</si>
  <si>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xml:space="preserve">Calificación: 7
Justificación: La respuesta proporcionada contiene elementos correctos y relevantes, pero también presenta algunos errores y falta información crucial.
Conceptos correctamente mencionados:
1. Uso de `assertTrue` para validar condiciones.
</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</si>
  <si>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</si>
  <si>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Calificación: 5
Justificación:
Conceptos correctamente mencionados:
- La respuesta reconoce que las aserciones se utilizan para validar datos en diferentes tipos de pruebas.
- Incluye ejemplos de aserciones</t>
  </si>
  <si>
    <t>Respuesta: Son importantes porque permiten un mayor control a la hora de hacer el testing, y permite el uso de una mayor cantidad de datos, permitiendo que el test sea más viable al cubrir mayor cantidad de datos .</t>
  </si>
  <si>
    <t>Calificación: 5
Justificación: La respuesta tiene algunos elementos correctos pero carece de profundidad y precisión en la descripción de las aserciones y su uso en los tests.
Conceptos correctos:
- Se reconoce</t>
  </si>
  <si>
    <t>Respuesta: No
se
la
respuesta</t>
  </si>
  <si>
    <t>Calificación: 0
Justificación: La respuesta proporcionada no contiene ningún contenido relevante relacionado con el uso de aserciones en pruebas o su importancia. La respuesta está compuesta solo por fragmentos descontextualizados de</t>
  </si>
  <si>
    <t>Respuesta: NO SE</t>
  </si>
  <si>
    <t>Calificación: 0
Justificación: La respuesta proporcionada es completamente incorrecta y vacía, no contiene ninguna información relevante sobre el uso de aserciones en los tests ni su importancia. No se han mencionado conceptos</t>
  </si>
  <si>
    <t>Respuesta: Con la libreria Jakarta puedes usar aserciones en los test de forma sencilla ya que te añade las funciones como por ejemplo assertequals, son importantes ya que te permiten agilizar y cubrir mejor ciertas cosas a testear.</t>
  </si>
  <si>
    <t>Calificación: 5
Justificación: La respuesta contiene algunos elementos correctos, como la mención de Jakarta y las funciones de aserción (assertequals). Sin embargo, falta una explicación más detallada y precisa sobre cómo se</t>
  </si>
  <si>
    <t>Respuesta: Las aserciones se pueden utilizar para comprobar las salidas de los test en función de las entradas. Esto es muy importante para comprobar si la salida tiene sentido teniendo en cuenta las entradas del test.</t>
  </si>
  <si>
    <t>Calificación: 5
Justificación: La respuesta reconoce parcialmente el papel de las aserciones en los tests, destacando que se utilizan para verificar las salidas basándose en las entradas. Sin embargo, hay varios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</si>
  <si>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</si>
  <si>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Calificación: 7
Justificación:
- La respuesta contiene elementos correctos y relevantes: menciona que las aserciones se usan para validar la salida de una función en base a sus parámetros de entrada, y proporciona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</si>
  <si>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</si>
  <si>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Calificación: 5
Justificación: La respuesta identifica correctamente que las aserciones son vitales para los tests y destacan su importancia en hacerlos más relevantes, seguros y precisos. Sin embargo, falta una explic</t>
  </si>
  <si>
    <t>Respuesta: digo lo mismo que en la anterior pregunta</t>
  </si>
  <si>
    <t>Calificación: 2
Justificación: La respuesta es parcialmente correcta ya que reconoce la importancia de las aserciones en los tests, pero no proporciona una descripción detallada ni precisa de cómo se utilizan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</si>
</sst>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color theme="1"/>
      <name val="Arial"/>
      <scheme val="minor"/>
    </font>
    <font>
      <color theme="1"/>
      <name val="Arial"/>
    </font>
    <font>
      <color rgb="FF000000"/>
      <name val="Arial"/>
      <scheme val="minor"/>
    </font>
    <font>
      <i/>
      <color theme="1"/>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3" numFmtId="0" xfId="0" applyFont="1"/>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0" fontId="4" numFmtId="0" xfId="0" applyFont="1"/>
    <xf borderId="0" fillId="2" fontId="2"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Qwen2-7-1PreguntaConRespuestaIdeal</a:t>
            </a:r>
          </a:p>
        </c:rich>
      </c:tx>
      <c:overlay val="0"/>
    </c:title>
    <c:plotArea>
      <c:layout/>
      <c:lineChart>
        <c:varyColors val="0"/>
        <c:ser>
          <c:idx val="0"/>
          <c:order val="0"/>
          <c:spPr>
            <a:ln cmpd="sng">
              <a:solidFill>
                <a:srgbClr val="4285F4"/>
              </a:solidFill>
            </a:ln>
          </c:spPr>
          <c:marker>
            <c:symbol val="none"/>
          </c:marker>
          <c:cat>
            <c:strRef>
              <c:f>'resultadosQwen2-7-1PreguntaConR'!$A$2:$A$72</c:f>
            </c:strRef>
          </c:cat>
          <c:val>
            <c:numRef>
              <c:f>'resultadosQwen2-7-1PreguntaConR'!$I$2:$I$72</c:f>
              <c:numCache/>
            </c:numRef>
          </c:val>
          <c:smooth val="0"/>
        </c:ser>
        <c:axId val="1270988943"/>
        <c:axId val="1893758958"/>
      </c:lineChart>
      <c:catAx>
        <c:axId val="1270988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3758958"/>
      </c:catAx>
      <c:valAx>
        <c:axId val="18937589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098894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16,9%</a:t>
            </a:r>
          </a:p>
        </c:rich>
      </c:tx>
      <c:overlay val="0"/>
    </c:title>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'resultadosQwen2-7-1PreguntaConR'!$P$1:$X$1</c:f>
            </c:strRef>
          </c:cat>
          <c:val>
            <c:numRef>
              <c:f>'resultadosQwen2-7-1PreguntaConR'!$P$2:$X$2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'resultadosQwen2-7-1PreguntaConR'!$A$2:$A$72</c:f>
            </c:strRef>
          </c:cat>
          <c:val>
            <c:numRef>
              <c:f>'resultadosQwen2-7-1PreguntaConR'!$E$2:$E$72</c:f>
              <c:numCache/>
            </c:numRef>
          </c:val>
          <c:smooth val="0"/>
        </c:ser>
        <c:ser>
          <c:idx val="1"/>
          <c:order val="1"/>
          <c:spPr>
            <a:ln cmpd="sng">
              <a:solidFill>
                <a:srgbClr val="EA4335"/>
              </a:solidFill>
            </a:ln>
          </c:spPr>
          <c:marker>
            <c:symbol val="none"/>
          </c:marker>
          <c:cat>
            <c:strRef>
              <c:f>'resultadosQwen2-7-1PreguntaConR'!$A$2:$A$72</c:f>
            </c:strRef>
          </c:cat>
          <c:val>
            <c:numRef>
              <c:f>'resultadosQwen2-7-1PreguntaConR'!$G$2:$G$72</c:f>
              <c:numCache/>
            </c:numRef>
          </c:val>
          <c:smooth val="0"/>
        </c:ser>
        <c:axId val="974787631"/>
        <c:axId val="1519732104"/>
      </c:lineChart>
      <c:catAx>
        <c:axId val="9747876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19732104"/>
      </c:catAx>
      <c:valAx>
        <c:axId val="15197321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478763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933450</xdr:colOff>
      <xdr:row>3</xdr:row>
      <xdr:rowOff>238125</xdr:rowOff>
    </xdr:from>
    <xdr:ext cx="3838575" cy="23717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1219200</xdr:colOff>
      <xdr:row>3</xdr:row>
      <xdr:rowOff>238125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609600</xdr:colOff>
      <xdr:row>6</xdr:row>
      <xdr:rowOff>781050</xdr:rowOff>
    </xdr:from>
    <xdr:ext cx="7391400" cy="23717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27.0"/>
    <col customWidth="1" min="4" max="4" width="23.13"/>
    <col customWidth="1" min="5" max="5" width="22.0"/>
    <col customWidth="1" min="7" max="7" width="14.38"/>
    <col customWidth="1" min="13" max="13" width="21.13"/>
    <col customWidth="1" min="14" max="14" width="13.63"/>
    <col customWidth="1" min="15" max="15" width="20.5"/>
    <col customWidth="1" min="16" max="16" width="20.13"/>
  </cols>
  <sheetData>
    <row r="1">
      <c r="A1" s="1" t="s">
        <v>0</v>
      </c>
      <c r="B1" s="1" t="s">
        <v>1</v>
      </c>
      <c r="C1" s="1" t="s">
        <v>2</v>
      </c>
      <c r="D1" s="1" t="s">
        <v>3</v>
      </c>
      <c r="E1" s="1" t="s">
        <v>4</v>
      </c>
      <c r="F1" s="1" t="s">
        <v>5</v>
      </c>
      <c r="G1" s="1" t="s">
        <v>6</v>
      </c>
      <c r="H1" s="1" t="s">
        <v>7</v>
      </c>
      <c r="I1" s="1" t="s">
        <v>8</v>
      </c>
      <c r="M1" s="2" t="s">
        <v>9</v>
      </c>
      <c r="N1" s="2" t="s">
        <v>10</v>
      </c>
      <c r="O1" s="2" t="s">
        <v>11</v>
      </c>
      <c r="P1" s="2" t="s">
        <v>12</v>
      </c>
      <c r="Q1" s="3">
        <v>1.0</v>
      </c>
      <c r="R1" s="3">
        <v>2.0</v>
      </c>
      <c r="S1" s="3">
        <v>3.0</v>
      </c>
      <c r="T1" s="3">
        <v>4.0</v>
      </c>
      <c r="U1" s="3">
        <v>-1.0</v>
      </c>
      <c r="V1" s="3">
        <v>-2.0</v>
      </c>
      <c r="W1" s="3">
        <v>-3.0</v>
      </c>
      <c r="X1" s="3">
        <v>-4.0</v>
      </c>
      <c r="Y1" s="2" t="s">
        <v>13</v>
      </c>
    </row>
    <row r="2">
      <c r="A2" s="1">
        <v>0.0</v>
      </c>
      <c r="B2" s="1" t="s">
        <v>14</v>
      </c>
      <c r="C2" s="1" t="s">
        <v>15</v>
      </c>
      <c r="D2" s="1" t="s">
        <v>16</v>
      </c>
      <c r="E2" s="1">
        <v>4.0</v>
      </c>
      <c r="F2" s="4">
        <v>53.0</v>
      </c>
      <c r="G2" s="1">
        <v>5.0</v>
      </c>
      <c r="H2" s="5">
        <f t="shared" ref="H2:H72" si="2">ABS(I2)</f>
        <v>1</v>
      </c>
      <c r="I2" s="4">
        <f t="shared" ref="I2:I72" si="3">E2-G2</f>
        <v>-1</v>
      </c>
      <c r="M2" s="3">
        <f>MAX(H2:H72)</f>
        <v>4</v>
      </c>
      <c r="N2" s="3">
        <f t="shared" ref="N2:O2" si="1">AVERAGE(H2:H72)</f>
        <v>1.478873239</v>
      </c>
      <c r="O2" s="3">
        <f t="shared" si="1"/>
        <v>0.1830985915</v>
      </c>
      <c r="P2" s="6">
        <f>COUNTIF(I2:I72, 0) / COUNT(I2:I72)
</f>
        <v>0.1690140845</v>
      </c>
      <c r="Q2" s="7">
        <f>COUNTIF(I3:I73, 1) / COUNT(I3:I73)</f>
        <v>0.2142857143</v>
      </c>
      <c r="R2" s="7">
        <f>COUNTIF(I2:I72, 2) / COUNT(I2:I72)</f>
        <v>0.2253521127</v>
      </c>
      <c r="S2" s="7">
        <f>COUNTIF(I2:I72, 3) / COUNT(I2:I72)</f>
        <v>0.05633802817</v>
      </c>
      <c r="T2" s="7">
        <f>COUNTIF(I3:I73, 4) / COUNT(I3:I73)</f>
        <v>0</v>
      </c>
      <c r="U2" s="7">
        <f>COUNTIF(I2:I72, -1) / COUNT(I2:I72)</f>
        <v>0.1267605634</v>
      </c>
      <c r="V2" s="7">
        <f>COUNTIF(I2:I72, -2) / COUNT(I2:I72)</f>
        <v>0.1267605634</v>
      </c>
      <c r="W2" s="7">
        <f>COUNTIF(I2:I72, -3) / COUNT(I2:I72)</f>
        <v>0.07042253521</v>
      </c>
      <c r="X2" s="7">
        <f>COUNTIF(I2:I72, -4) / COUNT(I2:I72)</f>
        <v>0.01408450704</v>
      </c>
      <c r="Y2" s="7">
        <f>COUNTIF(H:H, "&lt;=1") / COUNT(H:H)</f>
        <v>0.5070422535</v>
      </c>
    </row>
    <row r="3">
      <c r="A3" s="1">
        <v>1.0</v>
      </c>
      <c r="B3" s="1" t="s">
        <v>17</v>
      </c>
      <c r="C3" s="1" t="s">
        <v>15</v>
      </c>
      <c r="D3" s="1" t="s">
        <v>18</v>
      </c>
      <c r="E3" s="1">
        <v>2.0</v>
      </c>
      <c r="F3" s="4">
        <v>35.0</v>
      </c>
      <c r="G3" s="1">
        <v>5.0</v>
      </c>
      <c r="H3" s="5">
        <f t="shared" si="2"/>
        <v>3</v>
      </c>
      <c r="I3" s="4">
        <f t="shared" si="3"/>
        <v>-3</v>
      </c>
      <c r="J3" s="8"/>
      <c r="M3" s="9" t="s">
        <v>19</v>
      </c>
      <c r="N3" s="9" t="s">
        <v>20</v>
      </c>
      <c r="O3" s="10" t="s">
        <v>21</v>
      </c>
      <c r="P3" s="10" t="s">
        <v>22</v>
      </c>
      <c r="Q3" s="11"/>
      <c r="R3" s="11"/>
      <c r="S3" s="11"/>
      <c r="T3" s="11"/>
      <c r="U3" s="11"/>
      <c r="V3" s="11"/>
      <c r="W3" s="11"/>
      <c r="X3" s="11"/>
      <c r="Y3" s="11"/>
    </row>
    <row r="4">
      <c r="A4" s="1">
        <v>2.0</v>
      </c>
      <c r="B4" s="1" t="s">
        <v>23</v>
      </c>
      <c r="C4" s="1" t="s">
        <v>15</v>
      </c>
      <c r="D4" s="1" t="s">
        <v>24</v>
      </c>
      <c r="E4" s="1">
        <v>5.0</v>
      </c>
      <c r="F4" s="4">
        <v>35.0</v>
      </c>
      <c r="G4" s="1">
        <v>4.0</v>
      </c>
      <c r="H4" s="5">
        <f t="shared" si="2"/>
        <v>1</v>
      </c>
      <c r="I4" s="4">
        <f t="shared" si="3"/>
        <v>1</v>
      </c>
    </row>
    <row r="5">
      <c r="A5" s="1">
        <v>3.0</v>
      </c>
      <c r="B5" s="1" t="s">
        <v>25</v>
      </c>
      <c r="C5" s="1" t="s">
        <v>15</v>
      </c>
      <c r="D5" s="1" t="s">
        <v>26</v>
      </c>
      <c r="E5" s="1">
        <v>4.0</v>
      </c>
      <c r="F5" s="4">
        <v>35.0</v>
      </c>
      <c r="G5" s="1">
        <v>6.0</v>
      </c>
      <c r="H5" s="5">
        <f t="shared" si="2"/>
        <v>2</v>
      </c>
      <c r="I5" s="4">
        <f t="shared" si="3"/>
        <v>-2</v>
      </c>
    </row>
    <row r="6">
      <c r="A6" s="1">
        <v>4.0</v>
      </c>
      <c r="B6" s="1" t="s">
        <v>27</v>
      </c>
      <c r="C6" s="1" t="s">
        <v>15</v>
      </c>
      <c r="D6" s="1" t="s">
        <v>28</v>
      </c>
      <c r="E6" s="1">
        <v>6.0</v>
      </c>
      <c r="F6" s="4">
        <v>35.0</v>
      </c>
      <c r="G6" s="1">
        <v>4.0</v>
      </c>
      <c r="H6" s="5">
        <f t="shared" si="2"/>
        <v>2</v>
      </c>
      <c r="I6" s="4">
        <f t="shared" si="3"/>
        <v>2</v>
      </c>
      <c r="J6" s="8"/>
    </row>
    <row r="7">
      <c r="A7" s="1">
        <v>5.0</v>
      </c>
      <c r="B7" s="1" t="s">
        <v>29</v>
      </c>
      <c r="C7" s="1" t="s">
        <v>15</v>
      </c>
      <c r="D7" s="1" t="s">
        <v>30</v>
      </c>
      <c r="E7" s="1">
        <v>6.0</v>
      </c>
      <c r="F7" s="4">
        <v>36.0</v>
      </c>
      <c r="G7" s="1">
        <v>6.0</v>
      </c>
      <c r="H7" s="5">
        <f t="shared" si="2"/>
        <v>0</v>
      </c>
      <c r="I7" s="4">
        <f t="shared" si="3"/>
        <v>0</v>
      </c>
    </row>
    <row r="8">
      <c r="A8" s="1">
        <v>6.0</v>
      </c>
      <c r="B8" s="1" t="s">
        <v>31</v>
      </c>
      <c r="C8" s="1" t="s">
        <v>15</v>
      </c>
      <c r="D8" s="1" t="s">
        <v>32</v>
      </c>
      <c r="E8" s="1">
        <v>7.0</v>
      </c>
      <c r="F8" s="4">
        <v>36.0</v>
      </c>
      <c r="G8" s="1">
        <v>7.0</v>
      </c>
      <c r="H8" s="5">
        <f t="shared" si="2"/>
        <v>0</v>
      </c>
      <c r="I8" s="4">
        <f t="shared" si="3"/>
        <v>0</v>
      </c>
    </row>
    <row r="9">
      <c r="A9" s="1">
        <v>7.0</v>
      </c>
      <c r="B9" s="1" t="s">
        <v>33</v>
      </c>
      <c r="C9" s="1" t="s">
        <v>15</v>
      </c>
      <c r="D9" s="1" t="s">
        <v>34</v>
      </c>
      <c r="E9" s="1">
        <v>5.0</v>
      </c>
      <c r="F9" s="4">
        <v>36.0</v>
      </c>
      <c r="G9" s="1">
        <v>5.0</v>
      </c>
      <c r="H9" s="5">
        <f t="shared" si="2"/>
        <v>0</v>
      </c>
      <c r="I9" s="4">
        <f t="shared" si="3"/>
        <v>0</v>
      </c>
    </row>
    <row r="10">
      <c r="A10" s="1">
        <v>8.0</v>
      </c>
      <c r="B10" s="1" t="s">
        <v>35</v>
      </c>
      <c r="C10" s="1" t="s">
        <v>15</v>
      </c>
      <c r="D10" s="1" t="s">
        <v>36</v>
      </c>
      <c r="E10" s="1">
        <v>7.0</v>
      </c>
      <c r="F10" s="4">
        <v>36.0</v>
      </c>
      <c r="G10" s="1">
        <v>6.0</v>
      </c>
      <c r="H10" s="5">
        <f t="shared" si="2"/>
        <v>1</v>
      </c>
      <c r="I10" s="4">
        <f t="shared" si="3"/>
        <v>1</v>
      </c>
    </row>
    <row r="11">
      <c r="A11" s="1">
        <v>9.0</v>
      </c>
      <c r="B11" s="1" t="s">
        <v>37</v>
      </c>
      <c r="C11" s="1" t="s">
        <v>15</v>
      </c>
      <c r="D11" s="1" t="s">
        <v>38</v>
      </c>
      <c r="E11" s="1">
        <v>6.0</v>
      </c>
      <c r="F11" s="4">
        <v>36.0</v>
      </c>
      <c r="G11" s="1">
        <v>5.0</v>
      </c>
      <c r="H11" s="5">
        <f t="shared" si="2"/>
        <v>1</v>
      </c>
      <c r="I11" s="4">
        <f t="shared" si="3"/>
        <v>1</v>
      </c>
    </row>
    <row r="12">
      <c r="A12" s="1">
        <v>10.0</v>
      </c>
      <c r="B12" s="1" t="s">
        <v>39</v>
      </c>
      <c r="C12" s="1" t="s">
        <v>15</v>
      </c>
      <c r="D12" s="1" t="s">
        <v>40</v>
      </c>
      <c r="E12" s="1">
        <v>6.0</v>
      </c>
      <c r="F12" s="4">
        <v>36.0</v>
      </c>
      <c r="G12" s="1">
        <v>6.0</v>
      </c>
      <c r="H12" s="5">
        <f t="shared" si="2"/>
        <v>0</v>
      </c>
      <c r="I12" s="4">
        <f t="shared" si="3"/>
        <v>0</v>
      </c>
    </row>
    <row r="13">
      <c r="A13" s="1">
        <v>11.0</v>
      </c>
      <c r="B13" s="1" t="s">
        <v>41</v>
      </c>
      <c r="C13" s="1" t="s">
        <v>15</v>
      </c>
      <c r="D13" s="1" t="s">
        <v>42</v>
      </c>
      <c r="E13" s="1">
        <v>6.0</v>
      </c>
      <c r="F13" s="4">
        <v>35.0</v>
      </c>
      <c r="G13" s="1">
        <v>5.0</v>
      </c>
      <c r="H13" s="5">
        <f t="shared" si="2"/>
        <v>1</v>
      </c>
      <c r="I13" s="4">
        <f t="shared" si="3"/>
        <v>1</v>
      </c>
    </row>
    <row r="14">
      <c r="A14" s="1">
        <v>12.0</v>
      </c>
      <c r="B14" s="1" t="s">
        <v>43</v>
      </c>
      <c r="C14" s="1" t="s">
        <v>15</v>
      </c>
      <c r="D14" s="1" t="s">
        <v>44</v>
      </c>
      <c r="E14" s="1">
        <v>8.0</v>
      </c>
      <c r="F14" s="4">
        <v>36.0</v>
      </c>
      <c r="G14" s="1">
        <v>7.0</v>
      </c>
      <c r="H14" s="5">
        <f t="shared" si="2"/>
        <v>1</v>
      </c>
      <c r="I14" s="4">
        <f t="shared" si="3"/>
        <v>1</v>
      </c>
    </row>
    <row r="15">
      <c r="A15" s="1">
        <v>13.0</v>
      </c>
      <c r="B15" s="1" t="s">
        <v>45</v>
      </c>
      <c r="C15" s="1" t="s">
        <v>15</v>
      </c>
      <c r="D15" s="1" t="s">
        <v>46</v>
      </c>
      <c r="E15" s="1">
        <v>5.0</v>
      </c>
      <c r="F15" s="4">
        <v>36.0</v>
      </c>
      <c r="G15" s="1">
        <v>5.0</v>
      </c>
      <c r="H15" s="5">
        <f t="shared" si="2"/>
        <v>0</v>
      </c>
      <c r="I15" s="4">
        <f t="shared" si="3"/>
        <v>0</v>
      </c>
    </row>
    <row r="16">
      <c r="A16" s="1">
        <v>14.0</v>
      </c>
      <c r="B16" s="1" t="s">
        <v>47</v>
      </c>
      <c r="C16" s="1" t="s">
        <v>15</v>
      </c>
      <c r="D16" s="1" t="s">
        <v>48</v>
      </c>
      <c r="E16" s="1">
        <v>7.0</v>
      </c>
      <c r="F16" s="4">
        <v>35.0</v>
      </c>
      <c r="G16" s="1">
        <v>6.0</v>
      </c>
      <c r="H16" s="5">
        <f t="shared" si="2"/>
        <v>1</v>
      </c>
      <c r="I16" s="4">
        <f t="shared" si="3"/>
        <v>1</v>
      </c>
    </row>
    <row r="17">
      <c r="A17" s="1">
        <v>15.0</v>
      </c>
      <c r="B17" s="1" t="s">
        <v>49</v>
      </c>
      <c r="C17" s="1" t="s">
        <v>15</v>
      </c>
      <c r="D17" s="1" t="s">
        <v>50</v>
      </c>
      <c r="E17" s="1">
        <v>2.0</v>
      </c>
      <c r="F17" s="4">
        <v>36.0</v>
      </c>
      <c r="G17" s="1">
        <v>4.0</v>
      </c>
      <c r="H17" s="5">
        <f t="shared" si="2"/>
        <v>2</v>
      </c>
      <c r="I17" s="4">
        <f t="shared" si="3"/>
        <v>-2</v>
      </c>
    </row>
    <row r="18">
      <c r="A18" s="1">
        <v>16.0</v>
      </c>
      <c r="B18" s="1" t="s">
        <v>51</v>
      </c>
      <c r="C18" s="1" t="s">
        <v>15</v>
      </c>
      <c r="D18" s="1" t="s">
        <v>52</v>
      </c>
      <c r="E18" s="1">
        <v>7.0</v>
      </c>
      <c r="F18" s="4">
        <v>36.0</v>
      </c>
      <c r="G18" s="1">
        <v>6.0</v>
      </c>
      <c r="H18" s="5">
        <f t="shared" si="2"/>
        <v>1</v>
      </c>
      <c r="I18" s="4">
        <f t="shared" si="3"/>
        <v>1</v>
      </c>
    </row>
    <row r="19">
      <c r="A19" s="1">
        <v>17.0</v>
      </c>
      <c r="B19" s="1" t="s">
        <v>53</v>
      </c>
      <c r="C19" s="1" t="s">
        <v>15</v>
      </c>
      <c r="D19" s="1" t="s">
        <v>54</v>
      </c>
      <c r="E19" s="1">
        <v>9.0</v>
      </c>
      <c r="F19" s="4">
        <v>36.0</v>
      </c>
      <c r="G19" s="1">
        <v>7.0</v>
      </c>
      <c r="H19" s="5">
        <f t="shared" si="2"/>
        <v>2</v>
      </c>
      <c r="I19" s="4">
        <f t="shared" si="3"/>
        <v>2</v>
      </c>
    </row>
    <row r="20">
      <c r="A20" s="1">
        <v>18.0</v>
      </c>
      <c r="B20" s="1" t="s">
        <v>55</v>
      </c>
      <c r="C20" s="1" t="s">
        <v>15</v>
      </c>
      <c r="D20" s="1" t="s">
        <v>56</v>
      </c>
      <c r="E20" s="1">
        <v>7.0</v>
      </c>
      <c r="F20" s="4">
        <v>36.0</v>
      </c>
      <c r="G20" s="1">
        <v>6.0</v>
      </c>
      <c r="H20" s="5">
        <f t="shared" si="2"/>
        <v>1</v>
      </c>
      <c r="I20" s="4">
        <f t="shared" si="3"/>
        <v>1</v>
      </c>
    </row>
    <row r="21">
      <c r="A21" s="1">
        <v>19.0</v>
      </c>
      <c r="B21" s="1" t="s">
        <v>57</v>
      </c>
      <c r="C21" s="1" t="s">
        <v>15</v>
      </c>
      <c r="D21" s="1" t="s">
        <v>58</v>
      </c>
      <c r="E21" s="1">
        <v>0.0</v>
      </c>
      <c r="F21" s="4">
        <v>35.0</v>
      </c>
      <c r="G21" s="1">
        <v>3.0</v>
      </c>
      <c r="H21" s="5">
        <f t="shared" si="2"/>
        <v>3</v>
      </c>
      <c r="I21" s="4">
        <f t="shared" si="3"/>
        <v>-3</v>
      </c>
    </row>
    <row r="22">
      <c r="A22" s="1">
        <v>20.0</v>
      </c>
      <c r="B22" s="1" t="s">
        <v>59</v>
      </c>
      <c r="C22" s="1" t="s">
        <v>15</v>
      </c>
      <c r="D22" s="1" t="s">
        <v>60</v>
      </c>
      <c r="E22" s="1">
        <v>8.0</v>
      </c>
      <c r="F22" s="4">
        <v>36.0</v>
      </c>
      <c r="G22" s="1">
        <v>7.0</v>
      </c>
      <c r="H22" s="5">
        <f t="shared" si="2"/>
        <v>1</v>
      </c>
      <c r="I22" s="4">
        <f t="shared" si="3"/>
        <v>1</v>
      </c>
    </row>
    <row r="23">
      <c r="A23" s="1">
        <v>21.0</v>
      </c>
      <c r="B23" s="1" t="s">
        <v>61</v>
      </c>
      <c r="C23" s="1" t="s">
        <v>15</v>
      </c>
      <c r="D23" s="1" t="s">
        <v>62</v>
      </c>
      <c r="E23" s="1">
        <v>4.0</v>
      </c>
      <c r="F23" s="4">
        <v>35.0</v>
      </c>
      <c r="G23" s="1">
        <v>5.0</v>
      </c>
      <c r="H23" s="5">
        <f t="shared" si="2"/>
        <v>1</v>
      </c>
      <c r="I23" s="4">
        <f t="shared" si="3"/>
        <v>-1</v>
      </c>
    </row>
    <row r="24">
      <c r="A24" s="1">
        <v>22.0</v>
      </c>
      <c r="B24" s="1" t="s">
        <v>63</v>
      </c>
      <c r="C24" s="1" t="s">
        <v>15</v>
      </c>
      <c r="D24" s="1" t="s">
        <v>64</v>
      </c>
      <c r="E24" s="1">
        <v>7.0</v>
      </c>
      <c r="F24" s="4">
        <v>36.0</v>
      </c>
      <c r="G24" s="1">
        <v>5.0</v>
      </c>
      <c r="H24" s="5">
        <f t="shared" si="2"/>
        <v>2</v>
      </c>
      <c r="I24" s="4">
        <f t="shared" si="3"/>
        <v>2</v>
      </c>
    </row>
    <row r="25">
      <c r="A25" s="1">
        <v>23.0</v>
      </c>
      <c r="B25" s="1" t="s">
        <v>65</v>
      </c>
      <c r="C25" s="1" t="s">
        <v>15</v>
      </c>
      <c r="D25" s="1" t="s">
        <v>66</v>
      </c>
      <c r="E25" s="1">
        <v>1.0</v>
      </c>
      <c r="F25" s="4">
        <v>35.0</v>
      </c>
      <c r="G25" s="1">
        <v>2.0</v>
      </c>
      <c r="H25" s="5">
        <f t="shared" si="2"/>
        <v>1</v>
      </c>
      <c r="I25" s="4">
        <f t="shared" si="3"/>
        <v>-1</v>
      </c>
    </row>
    <row r="26">
      <c r="A26" s="1">
        <v>24.0</v>
      </c>
      <c r="B26" s="1" t="s">
        <v>67</v>
      </c>
      <c r="C26" s="1" t="s">
        <v>15</v>
      </c>
      <c r="D26" s="1" t="s">
        <v>68</v>
      </c>
      <c r="E26" s="1">
        <v>0.0</v>
      </c>
      <c r="F26" s="4">
        <v>35.0</v>
      </c>
      <c r="G26" s="1">
        <v>2.0</v>
      </c>
      <c r="H26" s="5">
        <f t="shared" si="2"/>
        <v>2</v>
      </c>
      <c r="I26" s="4">
        <f t="shared" si="3"/>
        <v>-2</v>
      </c>
    </row>
    <row r="27">
      <c r="A27" s="1">
        <v>25.0</v>
      </c>
      <c r="B27" s="1" t="s">
        <v>69</v>
      </c>
      <c r="C27" s="1" t="s">
        <v>15</v>
      </c>
      <c r="D27" s="1" t="s">
        <v>70</v>
      </c>
      <c r="E27" s="1">
        <v>7.0</v>
      </c>
      <c r="F27" s="4">
        <v>35.0</v>
      </c>
      <c r="G27" s="1">
        <v>5.0</v>
      </c>
      <c r="H27" s="5">
        <f t="shared" si="2"/>
        <v>2</v>
      </c>
      <c r="I27" s="4">
        <f t="shared" si="3"/>
        <v>2</v>
      </c>
    </row>
    <row r="28">
      <c r="A28" s="1">
        <v>26.0</v>
      </c>
      <c r="B28" s="1" t="s">
        <v>71</v>
      </c>
      <c r="C28" s="1" t="s">
        <v>15</v>
      </c>
      <c r="D28" s="1" t="s">
        <v>72</v>
      </c>
      <c r="E28" s="1">
        <v>7.0</v>
      </c>
      <c r="F28" s="4">
        <v>35.0</v>
      </c>
      <c r="G28" s="1">
        <v>5.0</v>
      </c>
      <c r="H28" s="5">
        <f t="shared" si="2"/>
        <v>2</v>
      </c>
      <c r="I28" s="4">
        <f t="shared" si="3"/>
        <v>2</v>
      </c>
    </row>
    <row r="29">
      <c r="A29" s="1">
        <v>27.0</v>
      </c>
      <c r="B29" s="1" t="s">
        <v>73</v>
      </c>
      <c r="C29" s="1" t="s">
        <v>15</v>
      </c>
      <c r="D29" s="1" t="s">
        <v>74</v>
      </c>
      <c r="E29" s="1">
        <v>4.0</v>
      </c>
      <c r="F29" s="4">
        <v>35.0</v>
      </c>
      <c r="G29" s="1">
        <v>4.0</v>
      </c>
      <c r="H29" s="5">
        <f t="shared" si="2"/>
        <v>0</v>
      </c>
      <c r="I29" s="4">
        <f t="shared" si="3"/>
        <v>0</v>
      </c>
    </row>
    <row r="30">
      <c r="A30" s="1">
        <v>28.0</v>
      </c>
      <c r="B30" s="1" t="s">
        <v>75</v>
      </c>
      <c r="C30" s="1" t="s">
        <v>15</v>
      </c>
      <c r="D30" s="1" t="s">
        <v>76</v>
      </c>
      <c r="E30" s="1">
        <v>4.0</v>
      </c>
      <c r="F30" s="4">
        <v>35.0</v>
      </c>
      <c r="G30" s="1">
        <v>4.0</v>
      </c>
      <c r="H30" s="5">
        <f t="shared" si="2"/>
        <v>0</v>
      </c>
      <c r="I30" s="4">
        <f t="shared" si="3"/>
        <v>0</v>
      </c>
    </row>
    <row r="31">
      <c r="A31" s="1">
        <v>29.0</v>
      </c>
      <c r="B31" s="1" t="s">
        <v>77</v>
      </c>
      <c r="C31" s="1" t="s">
        <v>15</v>
      </c>
      <c r="D31" s="1" t="s">
        <v>78</v>
      </c>
      <c r="E31" s="1">
        <v>3.0</v>
      </c>
      <c r="F31" s="4">
        <v>35.0</v>
      </c>
      <c r="G31" s="1">
        <v>5.0</v>
      </c>
      <c r="H31" s="5">
        <f t="shared" si="2"/>
        <v>2</v>
      </c>
      <c r="I31" s="4">
        <f t="shared" si="3"/>
        <v>-2</v>
      </c>
    </row>
    <row r="32">
      <c r="A32" s="1">
        <v>30.0</v>
      </c>
      <c r="B32" s="1" t="s">
        <v>79</v>
      </c>
      <c r="C32" s="1" t="s">
        <v>15</v>
      </c>
      <c r="D32" s="1" t="s">
        <v>80</v>
      </c>
      <c r="E32" s="1">
        <v>9.0</v>
      </c>
      <c r="F32" s="4">
        <v>36.0</v>
      </c>
      <c r="G32" s="1">
        <v>7.0</v>
      </c>
      <c r="H32" s="5">
        <f t="shared" si="2"/>
        <v>2</v>
      </c>
      <c r="I32" s="4">
        <f t="shared" si="3"/>
        <v>2</v>
      </c>
    </row>
    <row r="33">
      <c r="A33" s="1">
        <v>31.0</v>
      </c>
      <c r="B33" s="1" t="s">
        <v>81</v>
      </c>
      <c r="C33" s="1" t="s">
        <v>15</v>
      </c>
      <c r="D33" s="1" t="s">
        <v>82</v>
      </c>
      <c r="E33" s="1">
        <v>8.0</v>
      </c>
      <c r="F33" s="4">
        <v>35.0</v>
      </c>
      <c r="G33" s="1">
        <v>5.0</v>
      </c>
      <c r="H33" s="5">
        <f t="shared" si="2"/>
        <v>3</v>
      </c>
      <c r="I33" s="4">
        <f t="shared" si="3"/>
        <v>3</v>
      </c>
    </row>
    <row r="34">
      <c r="A34" s="1">
        <v>32.0</v>
      </c>
      <c r="B34" s="1" t="s">
        <v>83</v>
      </c>
      <c r="C34" s="1" t="s">
        <v>15</v>
      </c>
      <c r="D34" s="1" t="s">
        <v>84</v>
      </c>
      <c r="E34" s="1">
        <v>8.0</v>
      </c>
      <c r="F34" s="4">
        <v>36.0</v>
      </c>
      <c r="G34" s="1">
        <v>6.0</v>
      </c>
      <c r="H34" s="5">
        <f t="shared" si="2"/>
        <v>2</v>
      </c>
      <c r="I34" s="4">
        <f t="shared" si="3"/>
        <v>2</v>
      </c>
    </row>
    <row r="35">
      <c r="A35" s="1">
        <v>33.0</v>
      </c>
      <c r="B35" s="1" t="s">
        <v>85</v>
      </c>
      <c r="C35" s="1" t="s">
        <v>15</v>
      </c>
      <c r="D35" s="1" t="s">
        <v>86</v>
      </c>
      <c r="E35" s="1">
        <v>9.0</v>
      </c>
      <c r="F35" s="4">
        <v>36.0</v>
      </c>
      <c r="G35" s="1">
        <v>7.0</v>
      </c>
      <c r="H35" s="5">
        <f t="shared" si="2"/>
        <v>2</v>
      </c>
      <c r="I35" s="4">
        <f t="shared" si="3"/>
        <v>2</v>
      </c>
    </row>
    <row r="36">
      <c r="A36" s="1">
        <v>34.0</v>
      </c>
      <c r="B36" s="1" t="s">
        <v>87</v>
      </c>
      <c r="C36" s="1" t="s">
        <v>15</v>
      </c>
      <c r="D36" s="1" t="s">
        <v>88</v>
      </c>
      <c r="E36" s="1">
        <v>7.0</v>
      </c>
      <c r="F36" s="4">
        <v>36.0</v>
      </c>
      <c r="G36" s="1">
        <v>4.0</v>
      </c>
      <c r="H36" s="5">
        <f t="shared" si="2"/>
        <v>3</v>
      </c>
      <c r="I36" s="4">
        <f t="shared" si="3"/>
        <v>3</v>
      </c>
    </row>
    <row r="37">
      <c r="A37" s="1">
        <v>35.0</v>
      </c>
      <c r="B37" s="1" t="s">
        <v>89</v>
      </c>
      <c r="C37" s="1" t="s">
        <v>15</v>
      </c>
      <c r="D37" s="1" t="s">
        <v>90</v>
      </c>
      <c r="E37" s="1">
        <v>6.0</v>
      </c>
      <c r="F37" s="4">
        <v>35.0</v>
      </c>
      <c r="G37" s="1">
        <v>4.0</v>
      </c>
      <c r="H37" s="5">
        <f t="shared" si="2"/>
        <v>2</v>
      </c>
      <c r="I37" s="4">
        <f t="shared" si="3"/>
        <v>2</v>
      </c>
    </row>
    <row r="38">
      <c r="A38" s="1">
        <v>36.0</v>
      </c>
      <c r="B38" s="1" t="s">
        <v>91</v>
      </c>
      <c r="C38" s="1" t="s">
        <v>15</v>
      </c>
      <c r="D38" s="1" t="s">
        <v>92</v>
      </c>
      <c r="E38" s="1">
        <v>6.0</v>
      </c>
      <c r="F38" s="4">
        <v>35.0</v>
      </c>
      <c r="G38" s="1">
        <v>5.0</v>
      </c>
      <c r="H38" s="5">
        <f t="shared" si="2"/>
        <v>1</v>
      </c>
      <c r="I38" s="4">
        <f t="shared" si="3"/>
        <v>1</v>
      </c>
    </row>
    <row r="39">
      <c r="A39" s="1">
        <v>37.0</v>
      </c>
      <c r="B39" s="1" t="s">
        <v>93</v>
      </c>
      <c r="C39" s="1" t="s">
        <v>15</v>
      </c>
      <c r="D39" s="1" t="s">
        <v>94</v>
      </c>
      <c r="E39" s="1">
        <v>8.0</v>
      </c>
      <c r="F39" s="4">
        <v>36.0</v>
      </c>
      <c r="G39" s="1">
        <v>6.0</v>
      </c>
      <c r="H39" s="5">
        <f t="shared" si="2"/>
        <v>2</v>
      </c>
      <c r="I39" s="4">
        <f t="shared" si="3"/>
        <v>2</v>
      </c>
    </row>
    <row r="40">
      <c r="A40" s="1">
        <v>38.0</v>
      </c>
      <c r="B40" s="1" t="s">
        <v>95</v>
      </c>
      <c r="C40" s="1" t="s">
        <v>15</v>
      </c>
      <c r="D40" s="1" t="s">
        <v>96</v>
      </c>
      <c r="E40" s="1">
        <v>8.0</v>
      </c>
      <c r="F40" s="4">
        <v>35.0</v>
      </c>
      <c r="G40" s="1">
        <v>6.0</v>
      </c>
      <c r="H40" s="5">
        <f t="shared" si="2"/>
        <v>2</v>
      </c>
      <c r="I40" s="4">
        <f t="shared" si="3"/>
        <v>2</v>
      </c>
    </row>
    <row r="41">
      <c r="A41" s="1">
        <v>39.0</v>
      </c>
      <c r="B41" s="1" t="s">
        <v>97</v>
      </c>
      <c r="C41" s="1" t="s">
        <v>15</v>
      </c>
      <c r="D41" s="1" t="s">
        <v>98</v>
      </c>
      <c r="E41" s="1">
        <v>1.0</v>
      </c>
      <c r="F41" s="4">
        <v>35.0</v>
      </c>
      <c r="G41" s="1">
        <v>4.0</v>
      </c>
      <c r="H41" s="5">
        <f t="shared" si="2"/>
        <v>3</v>
      </c>
      <c r="I41" s="4">
        <f t="shared" si="3"/>
        <v>-3</v>
      </c>
    </row>
    <row r="42">
      <c r="A42" s="1">
        <v>40.0</v>
      </c>
      <c r="B42" s="1" t="s">
        <v>99</v>
      </c>
      <c r="C42" s="1" t="s">
        <v>15</v>
      </c>
      <c r="D42" s="1" t="s">
        <v>100</v>
      </c>
      <c r="E42" s="1">
        <v>8.0</v>
      </c>
      <c r="F42" s="4">
        <v>36.0</v>
      </c>
      <c r="G42" s="1">
        <v>6.0</v>
      </c>
      <c r="H42" s="5">
        <f t="shared" si="2"/>
        <v>2</v>
      </c>
      <c r="I42" s="4">
        <f t="shared" si="3"/>
        <v>2</v>
      </c>
    </row>
    <row r="43">
      <c r="A43" s="1">
        <v>41.0</v>
      </c>
      <c r="B43" s="1" t="s">
        <v>101</v>
      </c>
      <c r="C43" s="1" t="s">
        <v>15</v>
      </c>
      <c r="D43" s="1" t="s">
        <v>102</v>
      </c>
      <c r="E43" s="1">
        <v>7.0</v>
      </c>
      <c r="F43" s="4">
        <v>37.0</v>
      </c>
      <c r="G43" s="1">
        <v>6.0</v>
      </c>
      <c r="H43" s="5">
        <f t="shared" si="2"/>
        <v>1</v>
      </c>
      <c r="I43" s="4">
        <f t="shared" si="3"/>
        <v>1</v>
      </c>
    </row>
    <row r="44">
      <c r="A44" s="1">
        <v>42.0</v>
      </c>
      <c r="B44" s="1" t="s">
        <v>103</v>
      </c>
      <c r="C44" s="1" t="s">
        <v>15</v>
      </c>
      <c r="D44" s="1" t="s">
        <v>104</v>
      </c>
      <c r="E44" s="1">
        <v>6.0</v>
      </c>
      <c r="F44" s="4">
        <v>45.0</v>
      </c>
      <c r="G44" s="1">
        <v>5.0</v>
      </c>
      <c r="H44" s="5">
        <f t="shared" si="2"/>
        <v>1</v>
      </c>
      <c r="I44" s="4">
        <f t="shared" si="3"/>
        <v>1</v>
      </c>
    </row>
    <row r="45">
      <c r="A45" s="1">
        <v>43.0</v>
      </c>
      <c r="B45" s="1" t="s">
        <v>105</v>
      </c>
      <c r="C45" s="1" t="s">
        <v>15</v>
      </c>
      <c r="D45" s="1" t="s">
        <v>106</v>
      </c>
      <c r="E45" s="1">
        <v>9.0</v>
      </c>
      <c r="F45" s="4">
        <v>36.0</v>
      </c>
      <c r="G45" s="1">
        <v>6.0</v>
      </c>
      <c r="H45" s="5">
        <f t="shared" si="2"/>
        <v>3</v>
      </c>
      <c r="I45" s="4">
        <f t="shared" si="3"/>
        <v>3</v>
      </c>
    </row>
    <row r="46">
      <c r="A46" s="1">
        <v>44.0</v>
      </c>
      <c r="B46" s="1" t="s">
        <v>107</v>
      </c>
      <c r="C46" s="1" t="s">
        <v>15</v>
      </c>
      <c r="D46" s="1" t="s">
        <v>108</v>
      </c>
      <c r="E46" s="1">
        <v>3.0</v>
      </c>
      <c r="F46" s="4">
        <v>41.0</v>
      </c>
      <c r="G46" s="1">
        <v>5.0</v>
      </c>
      <c r="H46" s="5">
        <f t="shared" si="2"/>
        <v>2</v>
      </c>
      <c r="I46" s="4">
        <f t="shared" si="3"/>
        <v>-2</v>
      </c>
    </row>
    <row r="47">
      <c r="A47" s="1">
        <v>45.0</v>
      </c>
      <c r="B47" s="1" t="s">
        <v>109</v>
      </c>
      <c r="C47" s="1" t="s">
        <v>15</v>
      </c>
      <c r="D47" s="1" t="s">
        <v>110</v>
      </c>
      <c r="E47" s="1">
        <v>8.0</v>
      </c>
      <c r="F47" s="4">
        <v>36.0</v>
      </c>
      <c r="G47" s="1">
        <v>7.0</v>
      </c>
      <c r="H47" s="5">
        <f t="shared" si="2"/>
        <v>1</v>
      </c>
      <c r="I47" s="4">
        <f t="shared" si="3"/>
        <v>1</v>
      </c>
    </row>
    <row r="48">
      <c r="A48" s="1">
        <v>46.0</v>
      </c>
      <c r="B48" s="1" t="s">
        <v>111</v>
      </c>
      <c r="C48" s="1" t="s">
        <v>15</v>
      </c>
      <c r="D48" s="1" t="s">
        <v>112</v>
      </c>
      <c r="E48" s="1">
        <v>3.0</v>
      </c>
      <c r="F48" s="4">
        <v>35.0</v>
      </c>
      <c r="G48" s="1">
        <v>5.0</v>
      </c>
      <c r="H48" s="5">
        <f t="shared" si="2"/>
        <v>2</v>
      </c>
      <c r="I48" s="4">
        <f t="shared" si="3"/>
        <v>-2</v>
      </c>
    </row>
    <row r="49">
      <c r="A49" s="1">
        <v>47.0</v>
      </c>
      <c r="B49" s="1" t="s">
        <v>113</v>
      </c>
      <c r="C49" s="1" t="s">
        <v>15</v>
      </c>
      <c r="D49" s="1" t="s">
        <v>114</v>
      </c>
      <c r="E49" s="1">
        <v>2.0</v>
      </c>
      <c r="F49" s="4">
        <v>35.0</v>
      </c>
      <c r="G49" s="1">
        <v>3.0</v>
      </c>
      <c r="H49" s="5">
        <f t="shared" si="2"/>
        <v>1</v>
      </c>
      <c r="I49" s="4">
        <f t="shared" si="3"/>
        <v>-1</v>
      </c>
    </row>
    <row r="50">
      <c r="A50" s="1">
        <v>48.0</v>
      </c>
      <c r="B50" s="1" t="s">
        <v>115</v>
      </c>
      <c r="C50" s="1" t="s">
        <v>15</v>
      </c>
      <c r="D50" s="1" t="s">
        <v>116</v>
      </c>
      <c r="E50" s="1">
        <v>2.0</v>
      </c>
      <c r="F50" s="4">
        <v>35.0</v>
      </c>
      <c r="G50" s="1">
        <v>4.0</v>
      </c>
      <c r="H50" s="5">
        <f t="shared" si="2"/>
        <v>2</v>
      </c>
      <c r="I50" s="4">
        <f t="shared" si="3"/>
        <v>-2</v>
      </c>
    </row>
    <row r="51">
      <c r="A51" s="1">
        <v>49.0</v>
      </c>
      <c r="B51" s="1" t="s">
        <v>117</v>
      </c>
      <c r="C51" s="1" t="s">
        <v>15</v>
      </c>
      <c r="D51" s="1" t="s">
        <v>118</v>
      </c>
      <c r="E51" s="1">
        <v>8.0</v>
      </c>
      <c r="F51" s="4">
        <v>35.0</v>
      </c>
      <c r="G51" s="1">
        <v>6.0</v>
      </c>
      <c r="H51" s="5">
        <f t="shared" si="2"/>
        <v>2</v>
      </c>
      <c r="I51" s="4">
        <f t="shared" si="3"/>
        <v>2</v>
      </c>
    </row>
    <row r="52">
      <c r="A52" s="1">
        <v>50.0</v>
      </c>
      <c r="B52" s="1" t="s">
        <v>119</v>
      </c>
      <c r="C52" s="1" t="s">
        <v>15</v>
      </c>
      <c r="D52" s="1" t="s">
        <v>120</v>
      </c>
      <c r="E52" s="1">
        <v>8.0</v>
      </c>
      <c r="F52" s="4">
        <v>35.0</v>
      </c>
      <c r="G52" s="1">
        <v>6.0</v>
      </c>
      <c r="H52" s="5">
        <f t="shared" si="2"/>
        <v>2</v>
      </c>
      <c r="I52" s="4">
        <f t="shared" si="3"/>
        <v>2</v>
      </c>
    </row>
    <row r="53">
      <c r="A53" s="1">
        <v>51.0</v>
      </c>
      <c r="B53" s="1" t="s">
        <v>121</v>
      </c>
      <c r="C53" s="1" t="s">
        <v>15</v>
      </c>
      <c r="D53" s="1" t="s">
        <v>122</v>
      </c>
      <c r="E53" s="1">
        <v>4.0</v>
      </c>
      <c r="F53" s="4">
        <v>35.0</v>
      </c>
      <c r="G53" s="1">
        <v>5.0</v>
      </c>
      <c r="H53" s="5">
        <f t="shared" si="2"/>
        <v>1</v>
      </c>
      <c r="I53" s="4">
        <f t="shared" si="3"/>
        <v>-1</v>
      </c>
    </row>
    <row r="54">
      <c r="A54" s="1">
        <v>52.0</v>
      </c>
      <c r="B54" s="1" t="s">
        <v>123</v>
      </c>
      <c r="C54" s="1" t="s">
        <v>15</v>
      </c>
      <c r="D54" s="1" t="s">
        <v>124</v>
      </c>
      <c r="E54" s="1">
        <v>7.0</v>
      </c>
      <c r="F54" s="4">
        <v>36.0</v>
      </c>
      <c r="G54" s="1">
        <v>5.0</v>
      </c>
      <c r="H54" s="5">
        <f t="shared" si="2"/>
        <v>2</v>
      </c>
      <c r="I54" s="4">
        <f t="shared" si="3"/>
        <v>2</v>
      </c>
    </row>
    <row r="55">
      <c r="A55" s="1">
        <v>53.0</v>
      </c>
      <c r="B55" s="1" t="s">
        <v>125</v>
      </c>
      <c r="C55" s="1" t="s">
        <v>15</v>
      </c>
      <c r="D55" s="1" t="s">
        <v>126</v>
      </c>
      <c r="E55" s="1">
        <v>5.0</v>
      </c>
      <c r="F55" s="4">
        <v>36.0</v>
      </c>
      <c r="G55" s="1">
        <v>5.0</v>
      </c>
      <c r="H55" s="5">
        <f t="shared" si="2"/>
        <v>0</v>
      </c>
      <c r="I55" s="4">
        <f t="shared" si="3"/>
        <v>0</v>
      </c>
    </row>
    <row r="56">
      <c r="A56" s="1">
        <v>54.0</v>
      </c>
      <c r="B56" s="1" t="s">
        <v>127</v>
      </c>
      <c r="C56" s="1" t="s">
        <v>15</v>
      </c>
      <c r="D56" s="1" t="s">
        <v>128</v>
      </c>
      <c r="E56" s="1">
        <v>5.0</v>
      </c>
      <c r="F56" s="4">
        <v>36.0</v>
      </c>
      <c r="G56" s="1">
        <v>6.0</v>
      </c>
      <c r="H56" s="5">
        <f t="shared" si="2"/>
        <v>1</v>
      </c>
      <c r="I56" s="4">
        <f t="shared" si="3"/>
        <v>-1</v>
      </c>
    </row>
    <row r="57">
      <c r="A57" s="1">
        <v>55.0</v>
      </c>
      <c r="B57" s="1" t="s">
        <v>129</v>
      </c>
      <c r="C57" s="1" t="s">
        <v>15</v>
      </c>
      <c r="D57" s="1" t="s">
        <v>130</v>
      </c>
      <c r="E57" s="1">
        <v>9.0</v>
      </c>
      <c r="F57" s="4">
        <v>36.0</v>
      </c>
      <c r="G57" s="1">
        <v>6.0</v>
      </c>
      <c r="H57" s="5">
        <f t="shared" si="2"/>
        <v>3</v>
      </c>
      <c r="I57" s="4">
        <f t="shared" si="3"/>
        <v>3</v>
      </c>
    </row>
    <row r="58">
      <c r="A58" s="1">
        <v>56.0</v>
      </c>
      <c r="B58" s="1" t="s">
        <v>131</v>
      </c>
      <c r="C58" s="1" t="s">
        <v>15</v>
      </c>
      <c r="D58" s="1" t="s">
        <v>132</v>
      </c>
      <c r="E58" s="1">
        <v>4.0</v>
      </c>
      <c r="F58" s="4">
        <v>35.0</v>
      </c>
      <c r="G58" s="1">
        <v>5.0</v>
      </c>
      <c r="H58" s="5">
        <f t="shared" si="2"/>
        <v>1</v>
      </c>
      <c r="I58" s="4">
        <f t="shared" si="3"/>
        <v>-1</v>
      </c>
    </row>
    <row r="59">
      <c r="A59" s="1">
        <v>57.0</v>
      </c>
      <c r="B59" s="1" t="s">
        <v>133</v>
      </c>
      <c r="C59" s="1" t="s">
        <v>15</v>
      </c>
      <c r="D59" s="1" t="s">
        <v>134</v>
      </c>
      <c r="E59" s="1">
        <v>0.0</v>
      </c>
      <c r="F59" s="4">
        <v>35.0</v>
      </c>
      <c r="G59" s="1">
        <v>0.0</v>
      </c>
      <c r="H59" s="5">
        <f t="shared" si="2"/>
        <v>0</v>
      </c>
      <c r="I59" s="4">
        <f t="shared" si="3"/>
        <v>0</v>
      </c>
    </row>
    <row r="60">
      <c r="A60" s="1">
        <v>58.0</v>
      </c>
      <c r="B60" s="1" t="s">
        <v>135</v>
      </c>
      <c r="C60" s="1" t="s">
        <v>15</v>
      </c>
      <c r="D60" s="1" t="s">
        <v>136</v>
      </c>
      <c r="E60" s="1">
        <v>2.0</v>
      </c>
      <c r="F60" s="4">
        <v>35.0</v>
      </c>
      <c r="G60" s="1">
        <v>5.0</v>
      </c>
      <c r="H60" s="5">
        <f t="shared" si="2"/>
        <v>3</v>
      </c>
      <c r="I60" s="4">
        <f t="shared" si="3"/>
        <v>-3</v>
      </c>
    </row>
    <row r="61">
      <c r="A61" s="1">
        <v>59.0</v>
      </c>
      <c r="B61" s="1" t="s">
        <v>137</v>
      </c>
      <c r="C61" s="1" t="s">
        <v>15</v>
      </c>
      <c r="D61" s="1" t="s">
        <v>138</v>
      </c>
      <c r="E61" s="1">
        <v>3.0</v>
      </c>
      <c r="F61" s="4">
        <v>35.0</v>
      </c>
      <c r="G61" s="1">
        <v>4.0</v>
      </c>
      <c r="H61" s="5">
        <f t="shared" si="2"/>
        <v>1</v>
      </c>
      <c r="I61" s="4">
        <f t="shared" si="3"/>
        <v>-1</v>
      </c>
    </row>
    <row r="62">
      <c r="A62" s="1">
        <v>60.0</v>
      </c>
      <c r="B62" s="1" t="s">
        <v>139</v>
      </c>
      <c r="C62" s="1" t="s">
        <v>15</v>
      </c>
      <c r="D62" s="1" t="s">
        <v>140</v>
      </c>
      <c r="E62" s="1">
        <v>1.0</v>
      </c>
      <c r="F62" s="4">
        <v>35.0</v>
      </c>
      <c r="G62" s="1">
        <v>5.0</v>
      </c>
      <c r="H62" s="5">
        <f t="shared" si="2"/>
        <v>4</v>
      </c>
      <c r="I62" s="4">
        <f t="shared" si="3"/>
        <v>-4</v>
      </c>
    </row>
    <row r="63">
      <c r="A63" s="1">
        <v>61.0</v>
      </c>
      <c r="B63" s="1" t="s">
        <v>141</v>
      </c>
      <c r="C63" s="1" t="s">
        <v>15</v>
      </c>
      <c r="D63" s="1" t="s">
        <v>142</v>
      </c>
      <c r="E63" s="1">
        <v>9.0</v>
      </c>
      <c r="F63" s="4">
        <v>36.0</v>
      </c>
      <c r="G63" s="1">
        <v>7.0</v>
      </c>
      <c r="H63" s="5">
        <f t="shared" si="2"/>
        <v>2</v>
      </c>
      <c r="I63" s="4">
        <f t="shared" si="3"/>
        <v>2</v>
      </c>
    </row>
    <row r="64">
      <c r="A64" s="1">
        <v>62.0</v>
      </c>
      <c r="B64" s="1" t="s">
        <v>143</v>
      </c>
      <c r="C64" s="1" t="s">
        <v>15</v>
      </c>
      <c r="D64" s="1" t="s">
        <v>144</v>
      </c>
      <c r="E64" s="1">
        <v>3.0</v>
      </c>
      <c r="F64" s="4">
        <v>36.0</v>
      </c>
      <c r="G64" s="1">
        <v>5.0</v>
      </c>
      <c r="H64" s="5">
        <f t="shared" si="2"/>
        <v>2</v>
      </c>
      <c r="I64" s="4">
        <f t="shared" si="3"/>
        <v>-2</v>
      </c>
    </row>
    <row r="65">
      <c r="A65" s="1">
        <v>63.0</v>
      </c>
      <c r="B65" s="1" t="s">
        <v>145</v>
      </c>
      <c r="C65" s="1" t="s">
        <v>15</v>
      </c>
      <c r="D65" s="1" t="s">
        <v>146</v>
      </c>
      <c r="E65" s="1">
        <v>2.0</v>
      </c>
      <c r="F65" s="4">
        <v>35.0</v>
      </c>
      <c r="G65" s="1">
        <v>5.0</v>
      </c>
      <c r="H65" s="5">
        <f t="shared" si="2"/>
        <v>3</v>
      </c>
      <c r="I65" s="4">
        <f t="shared" si="3"/>
        <v>-3</v>
      </c>
    </row>
    <row r="66">
      <c r="A66" s="1">
        <v>64.0</v>
      </c>
      <c r="B66" s="1" t="s">
        <v>147</v>
      </c>
      <c r="C66" s="1" t="s">
        <v>15</v>
      </c>
      <c r="D66" s="1" t="s">
        <v>148</v>
      </c>
      <c r="E66" s="1">
        <v>0.0</v>
      </c>
      <c r="F66" s="4">
        <v>35.0</v>
      </c>
      <c r="G66" s="1">
        <v>0.0</v>
      </c>
      <c r="H66" s="5">
        <f t="shared" si="2"/>
        <v>0</v>
      </c>
      <c r="I66" s="4">
        <f t="shared" si="3"/>
        <v>0</v>
      </c>
    </row>
    <row r="67">
      <c r="A67" s="1">
        <v>65.0</v>
      </c>
      <c r="B67" s="1" t="s">
        <v>149</v>
      </c>
      <c r="C67" s="1" t="s">
        <v>15</v>
      </c>
      <c r="D67" s="1" t="s">
        <v>150</v>
      </c>
      <c r="E67" s="1">
        <v>0.0</v>
      </c>
      <c r="F67" s="4">
        <v>35.0</v>
      </c>
      <c r="G67" s="1">
        <v>0.0</v>
      </c>
      <c r="H67" s="5">
        <f t="shared" si="2"/>
        <v>0</v>
      </c>
      <c r="I67" s="4">
        <f t="shared" si="3"/>
        <v>0</v>
      </c>
    </row>
    <row r="68">
      <c r="A68" s="1">
        <v>66.0</v>
      </c>
      <c r="B68" s="1" t="s">
        <v>151</v>
      </c>
      <c r="C68" s="1" t="s">
        <v>15</v>
      </c>
      <c r="D68" s="1" t="s">
        <v>152</v>
      </c>
      <c r="E68" s="1">
        <v>4.0</v>
      </c>
      <c r="F68" s="4">
        <v>35.0</v>
      </c>
      <c r="G68" s="1">
        <v>5.0</v>
      </c>
      <c r="H68" s="5">
        <f t="shared" si="2"/>
        <v>1</v>
      </c>
      <c r="I68" s="4">
        <f t="shared" si="3"/>
        <v>-1</v>
      </c>
    </row>
    <row r="69">
      <c r="A69" s="1">
        <v>67.0</v>
      </c>
      <c r="B69" s="1" t="s">
        <v>153</v>
      </c>
      <c r="C69" s="1" t="s">
        <v>15</v>
      </c>
      <c r="D69" s="1" t="s">
        <v>154</v>
      </c>
      <c r="E69" s="1">
        <v>6.0</v>
      </c>
      <c r="F69" s="4">
        <v>35.0</v>
      </c>
      <c r="G69" s="1">
        <v>5.0</v>
      </c>
      <c r="H69" s="5">
        <f t="shared" si="2"/>
        <v>1</v>
      </c>
      <c r="I69" s="4">
        <f t="shared" si="3"/>
        <v>1</v>
      </c>
    </row>
    <row r="70">
      <c r="A70" s="1">
        <v>68.0</v>
      </c>
      <c r="B70" s="1" t="s">
        <v>155</v>
      </c>
      <c r="C70" s="1" t="s">
        <v>15</v>
      </c>
      <c r="D70" s="1" t="s">
        <v>156</v>
      </c>
      <c r="E70" s="1">
        <v>8.0</v>
      </c>
      <c r="F70" s="4">
        <v>36.0</v>
      </c>
      <c r="G70" s="1">
        <v>7.0</v>
      </c>
      <c r="H70" s="5">
        <f t="shared" si="2"/>
        <v>1</v>
      </c>
      <c r="I70" s="4">
        <f t="shared" si="3"/>
        <v>1</v>
      </c>
    </row>
    <row r="71">
      <c r="A71" s="1">
        <v>69.0</v>
      </c>
      <c r="B71" s="1" t="s">
        <v>157</v>
      </c>
      <c r="C71" s="1" t="s">
        <v>15</v>
      </c>
      <c r="D71" s="1" t="s">
        <v>158</v>
      </c>
      <c r="E71" s="1">
        <v>5.0</v>
      </c>
      <c r="F71" s="4">
        <v>35.0</v>
      </c>
      <c r="G71" s="1">
        <v>5.0</v>
      </c>
      <c r="H71" s="5">
        <f t="shared" si="2"/>
        <v>0</v>
      </c>
      <c r="I71" s="4">
        <f t="shared" si="3"/>
        <v>0</v>
      </c>
    </row>
    <row r="72">
      <c r="A72" s="1">
        <v>70.0</v>
      </c>
      <c r="B72" s="1" t="s">
        <v>159</v>
      </c>
      <c r="C72" s="1" t="s">
        <v>15</v>
      </c>
      <c r="D72" s="1" t="s">
        <v>160</v>
      </c>
      <c r="E72" s="1">
        <v>0.0</v>
      </c>
      <c r="F72" s="4">
        <v>35.0</v>
      </c>
      <c r="G72" s="1">
        <v>2.0</v>
      </c>
      <c r="H72" s="5">
        <f t="shared" si="2"/>
        <v>2</v>
      </c>
      <c r="I72" s="4">
        <f t="shared" si="3"/>
        <v>-2</v>
      </c>
    </row>
    <row r="73">
      <c r="F73" s="4">
        <f>AVERAGE(F2:F72)</f>
        <v>35.91549296</v>
      </c>
    </row>
  </sheetData>
  <drawing r:id="rId1"/>
</worksheet>
</file>