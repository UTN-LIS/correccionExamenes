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2-7b" sheetId="1" r:id="rId5"/>
  </sheets>
  <definedNames/>
  <calcPr/>
</workbook>
</file>

<file path=xl/sharedStrings.xml><?xml version="1.0" encoding="utf-8"?>
<sst xmlns="http://schemas.openxmlformats.org/spreadsheetml/2006/main" count="368" uniqueCount="229">
  <si>
    <t>step</t>
  </si>
  <si>
    <t>entrada</t>
  </si>
  <si>
    <t>contexto</t>
  </si>
  <si>
    <t>salida</t>
  </si>
  <si>
    <t>esperado</t>
  </si>
  <si>
    <t>tiempo</t>
  </si>
  <si>
    <t>Nota Normalizada</t>
  </si>
  <si>
    <t>DIFERENCIA ABSOLUTO</t>
  </si>
  <si>
    <t>DIFERENCIA</t>
  </si>
  <si>
    <t>ERROR MAXIMO</t>
  </si>
  <si>
    <t>ERROR MEDIO ABSOLUTO</t>
  </si>
  <si>
    <t>SESGO DE CALIFICACION</t>
  </si>
  <si>
    <t>COINCIDENCIA EXACTA</t>
  </si>
  <si>
    <t>Exacto +-1 diferencia</t>
  </si>
  <si>
    <t>Respuesta: 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</si>
  <si>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Pregunta: Explica el ciclo TDD  y su importancia en el desarrollo de software.</t>
  </si>
  <si>
    <t>Nota: 6
La respuesta del estudiante contiene algunos conceptos correctos sobre TDD, pero falta una explicación más detallada y precisa. Se menciona correctamente que TDD es un enfoque donde primero se escriben pr</t>
  </si>
  <si>
    <t>Respuesta: 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</si>
  <si>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Pregunta: Compara TDD con un enfoque tradicional de testing en el desarrollo de software.</t>
  </si>
  <si>
    <t>La respuesta proporcionada tiene elementos correctos pero también hay algunos puntos que pueden mejorar. Aquí te doy una evaluación detallada:
### Evaluación:
- **Precisión de la comparación (3/5):** La respuesta com</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</si>
  <si>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</si>
  <si>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</si>
  <si>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</si>
  <si>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</si>
  <si>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</si>
  <si>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Pregunta: Describe las buenas prácticas en TDD y su impacto en la calidad del software.</t>
  </si>
  <si>
    <t>La respuesta del estudiante muestra una comprensión general de las buenas prácticas en TDD y su impacto en la calidad del software, pero hay algunos aspectos que podrían mejorar para obtener una calificación más alta. Aquí</t>
  </si>
  <si>
    <t>-</t>
  </si>
  <si>
    <t>Respuesta: MockMvc es una herramienta que nos sirve para comprobar las peticiones HTTP que nos da con Sprint Boot, como por ejemplo, el GET de un request. GET https://createstudent donde estás comprobado los estudiantes que hay, nos mostraría la lista de los estudiantes. Otro ejemplo, sería el POST, el cuál nos sirve para añadir un estudiante a la lista, devolveria el 200 OK, mostrando que sí se ha creado dicho estudiante. También tenemos PUT y DELETE. El PUT se usa para actualizar lo que anteriormente hayamos creado. Y DELETE, eliminar el elemento que el usuario quiera eliminar. Esta herramienta la podemos usar con Postman para comprobar dichas peticiones.</t>
  </si>
  <si>
    <t>Pregunta: Explica el uso de MockMvc para el testing de APIs REST dentro del contexto de aplicaciones Spring.</t>
  </si>
  <si>
    <t>Nota: 5
La respuesta proporcionada tiene algunos errores y falta información importante sobre MockMvc en el contexto de Spring Testing. Aquí te dejo algunas correcciones y mejoras:
1. **Claridad**: La explicación de MockMvc</t>
  </si>
  <si>
    <t>Respuesta: Las ventajas de implementar TDD: 
* Se comprueba el uso de todos los test necesarios para el proyecto.
* Podemos observar el funcionamiento/comportamiento de los test. 
* El código de cada método es para el mismo. Está bien implementado y es independiente de los demás. 
* Podemos ver qué métodos si han pasado el test y cuáles no. 
Las desventajas de implementar TDD: 
* No podemos comprobar si los test funcionan en su ejecución.
* No podemos ver qué métodos si han pasado el test y cuáles no.
* Los test implementados podrían ser de un solo test o de varios. No son independientes del resto.</t>
  </si>
  <si>
    <t>Pregunta: Discute las ventajas y desventajas de implementar TDD en un proyecto de software.</t>
  </si>
  <si>
    <t>La respuesta del estudiante muestra una comprensión parcial de las ventajas y desventajas de TDD (Desarrollo Dirigido por Pruebas), pero presenta algunas inexactitudes y falta información crucial. Aquí está una evalu</t>
  </si>
  <si>
    <t>Respuesta: La cobertura del código va unido a la relevancia del TDD porque podemos ver las línas de código que hemos implementado y su funcionamiento. Se puede comprobar en qué está fallando los test y corregirlos. Sin embargo, la definición del concepto de cobertura de código es la métrica que observa el porcentaje de acierto de los test implementados en el proyecto, cuánto más alto es el porcentaje, más test se han realizado y comprobado. Es decir, mide el porcentaje de código fuente implementado junto con los test realizados.</t>
  </si>
  <si>
    <t>Pregunta: Define el concepto de cobertura de código y su relevancia en el contexto de TDD.</t>
  </si>
  <si>
    <t>La respuesta del estudiante muestra una comprensión aceptable pero no completa del concepto de cobertura de código y su relevancia en el contexto del desarrollo dirigido por pruebas (TDD). Aquí hay algunas mejoras que podrían</t>
  </si>
  <si>
    <t>Respuesta: En primer lugar, es importante usar el TDD para verificar el funcionamiento de los test implementados. En segundo lugar, el primer test realizado fallará porque no hay ningún test implementado para poder comprobar su funcionamiento. Es fundamental que este test falle antes de implementar para comprobar que se han realizado dichos test y se ha podido comprobar el funcionamiento de los mismos. Se quiere comprobar el funcionamiento de la implementación individual de cada test del proyecto, por lo tanto, se necesita saber si esos test sin implementar funcionan correctamente y no se ha modificado su comportamiento. Estos test nos ayudan a la evolución del sistema ya que podemos comprobar en cada punto su funcionamiento y poder mejorarlo o corregirlo dependiendo del resultado de los test. Y es importante también por la comunicación entre los miembros del proyecto ya que se puede comprobar cada test que se haga y poder corregir el fallo en dónde esté.</t>
  </si>
  <si>
    <t>Pregunta: En el contexto de TDD, ¿por qué es fundamental que un test falle antes de escribir cualquier código de producción? Explica cómo este principio influye en la calidad del diseño del software y en la evolución del sistema, considerando tanto aspectos técnicos como de comunicación entre equipos.</t>
  </si>
  <si>
    <t>La respuesta del estudiante aborda algunos conceptos clave de TDD pero presenta una serie de ideas confusas y redundantes. La evaluación sería la siguiente:
Calificación: 5
El estudiante menciona correctamente que un test debe</t>
  </si>
  <si>
    <t>Respuesta: 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</si>
  <si>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Pregunta: Explica la importancia de validar entradas en el contexto de TDD y cómo se relaciona con la robustez del software.</t>
  </si>
  <si>
    <t>La respuesta del estudiante muestra un entendimiento básico pero incompleto de la importancia de la validación de entradas en el contexto de TDD (Desarrollo Dirigido por Pruebas). Aquí está el análisis detallado</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</si>
  <si>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</si>
  <si>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</si>
  <si>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La respuesta del estudiante tiene algunos puntos correctos pero también carece de detalles importantes y claridad. Aquí está una evaluación detallada:
**Calificación: 6/10**
**Aspectos positivos:**
- El</t>
  </si>
  <si>
    <t>Respuesta: Se intalaría Maven, y se podría usar los comandos para la comprobación del funcionamiento de los test.
Se usaría mvn test para ejecutar todos los test implementados. Se podría usar mvn test nombreTest para poder comprobar el test que queremos comprobar su funcionamiento. Asi se puede comprobar el comportamiento y poder ver y corregir el fallo del test. Inclsu
Por otra parte, podemos usar el informe que nos muestra JaCoCo para comprobar el funcionamiento de los test.</t>
  </si>
  <si>
    <t>Pregunta: Discute el papel de los frameworks de testing en Java y su contribución a TDD.</t>
  </si>
  <si>
    <t>La respuesta del estudiante muestra un conocimiento básico sobre cómo ejecutar tests con Maven, pero falta una discusión más profunda sobre los frameworks de testing en Java y su contribución a TDD (Desarrollo Dirigido por Pr</t>
  </si>
  <si>
    <t>Respuesta: 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</si>
  <si>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La respuesta proporcionada contiene elementos correctos sobre el ciclo TDD pero carece de claridad y precisión en varios aspectos. Se le otorgará una nota de 5/10.
**Aspectos positivos:**
- Ident</t>
  </si>
  <si>
    <t>Respuesta: 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</si>
  <si>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 xml:space="preserve">La respuesta del estudiante muestra una comprensión general de la diferencia entre TDD y un enfoque tradicional de testing, pero carece de detalles más precisos y completos. Aquí está la evaluación:
Calificación: </t>
  </si>
  <si>
    <t>Respuesta: 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</si>
  <si>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La respuesta proporcionada tiene elementos correctos pero falta profundizar y estructurar mejor el tema. Aquí te doy una evaluación detallada:
**Calificación: 7/10**
**Aspectos fuertes:**
-</t>
  </si>
  <si>
    <t>Respuesta: El MockMvc es una herramienta que nos permite realizar peticiones HTTP sin tener que levantar servidores reales, ademas nos permite realizar pruebas con los endpoints de JUnit haciendolo mas simple, por otra parte, Spring gestiona dependencias como JUnit o JaCoCo ademas de compilar y ejecutar los test que se definan para verificar la cobertura del codigo.</t>
  </si>
  <si>
    <t>La respuesta del estudiante contiene algunos elementos correctos pero también hay errores y confusiones. Aquí está la evaluación:
Calificación: 6/10
Explicación:
- **Concepto básico correcto**: La idea de que</t>
  </si>
  <si>
    <t>Respuesta: Lo bueno del Test Driven Development es que te aseguras bien de si existen problemas a lo largo del desarrolo del software, esto nos permite ir corrigiendo las partes que fallen o que no esten cubiertas para llegar al final del ciclo con un software mas testeado y conociendo exactamente como funciona; Sin embargo, si no usaramos el TDD y desarrollaramos el codigo de forma directa (de forma tradicional) hasta el final sin realizar pruebas, tenemos mayor probabilidad de que nuestro software sea mas critico y vulnerable con mas errores que nos costaria mas solucionar si se acumulan al final del desarrollo.</t>
  </si>
  <si>
    <t>La respuesta proporcionada tiene elementos correctos pero falta profundizar en algunas áreas y estructurar mejor la información. Aquí te doy una calificación y algunos comentarios constructivos:
Calificación: 6/10
Comentarios:
1.</t>
  </si>
  <si>
    <t>Respuesta: La cobertura del codigo nos indica si el codigo cumple o no con lo definido en los test, es una buena practica realizar los test primero ya que esto significaria que los test diseñan como es el software y no al reves. Por ejemplo podemos ver si el codigo esta mas o menos cubierto con JaCoCo y sus reports en el index.html que nos miuestra el porcentaje del codigo cubierto. Si esto lo hacemos de forma recurrente a lo largo del Test Driven Development nos aseguramos de que el software sea mas fiable y este mas cubierto, esto aparecerie con una franja verde y roja en JaCoCo dependiendo si esta mas o menos cubierto.</t>
  </si>
  <si>
    <t>La respuesta del estudiante contiene elementos correctos pero presenta algunas inexactitudes y falta claridad en algunas partes. Aquí está una evaluación detallada:
### Evaluación:
- **Definición de Cobertura de Código**: La defin</t>
  </si>
  <si>
    <t>Respuesta: Es una muy buena practica escribir antes los test (que fallen en rojo) por que los test deben diseñar el software, y no que los test se adapten a el, es el codigo el que se debe adaptar a los test. Es bueno realizar test de forma recurrente para obtener una mayor cobertura en el codigo y por ello obtener una mayor franja verde o porcentaje, esto es posible verlo usando la herramienta de JaCoCo en un report que genera en /target/site/jacoco/index.html.</t>
  </si>
  <si>
    <t>La respuesta del estudiante aborda algunos puntos importantes pero falta profundizar en la explicación y en la relación con la calidad del diseño y la evolución del sistema. Aquí está la evaluación:
Calificación: 6
**Aspectos</t>
  </si>
  <si>
    <t>Respuesta: 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</si>
  <si>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La respuesta del estudiante aborda correctamente la importancia de validar entradas en el contexto de TDD (Desarrollo Dirigido por Pruebas) y su relación con la robustez del software. Sin embargo, hay algunos puntos que podr</t>
  </si>
  <si>
    <t>Respuesta: Las aserciones en el contexto del software, son muy relevantes para cubrir el codigo y evitar excepciones y errores que provocarian si no son revisados con este metodo asertivo.</t>
  </si>
  <si>
    <t>La respuesta del estudiante toca algunos puntos correctos pero carece de detalles más detallados y precisos. Aquí está una evaluación más detallada:
- **Precisión**: 5/10
  - La respuesta</t>
  </si>
  <si>
    <t>Respuesta: Los frameworks, como por ejemplo JUnit son muy utiles parta realizar test de cobertura en Java, nos ayudan a producir un software mas estable y robusto reduciendo posibles fallas; si a esto se le suma el usar la metodologia de Test Driven Development, nos estaria potenciando el producir el codigo con la mayor parte de funciones cubiertas y probarlo y corregirlo a lo largo del ciclo softwarte sin tener que espertar al final.</t>
  </si>
  <si>
    <t>La respuesta proporcionada es correcta y aborda correctamente el tema, pero falta un poco más de profundidad y estructura. Aquí te doy una calificación y algunos comentarios constructivos:
Calificación: 7/10
Com</t>
  </si>
  <si>
    <t>Respuesta: 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</si>
  <si>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La respuesta del estudiante proporciona una descripción básica del ciclo TDD, pero carece de detalles importantes y claridad en algunas partes. Aquí está la evaluación:
Calificación: 5/10
Explicación:
-</t>
  </si>
  <si>
    <t>Respuesta: 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</si>
  <si>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La respuesta proporcionada por el estudiante es clara y aborda los puntos principales de la comparación entre el enfoque tradicional de testing y el TDD (Desarrollo Dirigido por Pruebas). Sin embargo, hay algunos</t>
  </si>
  <si>
    <t>Respuesta: 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</si>
  <si>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La respuesta del estudiante aborda dos aspectos importantes de las buenas prácticas en TDD (Desarrollo Dirigido por Pruebas), pero falta una discusión más completa sobre el tema y su impacto en la calidad</t>
  </si>
  <si>
    <t>Respuesta: El MockMvc es una herramienta framework que está dentro de SpringBoot. Esto se utiliza para poder hacer peticiones HTTP sin necesidad de tener un servidor real en funcionamiento. Por ejemplo, se pueden simular algunas peticiones de POST o GET desde MockMvc y para confirmar si los endpoints de nuestra API Rest están bien desarrollados.</t>
  </si>
  <si>
    <t>La respuesta del estudiante tiene elementos correctos pero falta profundizar en algunos aspectos clave. Aquí te doy mi evaluación:
Calificación: 6/10
Aspectos correctos:
- Se menciona que MockMvc está</t>
  </si>
  <si>
    <t>Respuesta: * Ventajas:
* Codigo fiable, limpio, robusto y modular.
* Cada funcionalidad se desarrolla para que pueda superar el test. Esto quiere decir que si el test pasa significa que la funcionalidad estará bien implementada
* Documentación continua y actualizada
* Desventajas:
* Curva de aprendizaje
* Mayor tiempo de comienzo</t>
  </si>
  <si>
    <t>La respuesta del estudiante aborda tanto las ventajas como las desventajas de TDD (Desarrollo Dirigido por Pruebas), pero falta profundizar un poco más en cada punto. Sin embargo, se mencionan los aspect</t>
  </si>
  <si>
    <t>Respuesta: La cobertura de codigo es cuando se mide que porcentaje de lineas de codigo están siendo utilizadas para superar el test correspondiente. Se puede decir que si supera el 70% de cobertura, el codigo es bueno (buena calidad); si el codigo tiene una cobertura de entre un 80% y 95%, la calidad es practicamente excelente.
Su relevancia en el contexto TDD es que se desarrolle única y exclusivamente el codigo necesario para que las funcionalidades sean fiables (a prueba de errores) y hagan todo lo que tienen que hacer.</t>
  </si>
  <si>
    <t>La respuesta del estudiante contiene elementos correctos pero también hay algunas inexactitudes y falta de profundidad. Aquí está la evaluación:
**Nota: 6/10**
**Aspectos positivos:**
- El estudiante define</t>
  </si>
  <si>
    <t>Respuesta: Que un test falle antes de desarrollar cualquier linea de codigo dentro del proyecto es necesario para seguir extrictamente el ciclo TDD (Rojo-Verde-Refactor) y esto se hace para conseervar un codigo limpio y unitario/modular.
Afecta a la calidad del software ya que el test se tiene que mantener en fallo hasta que esté el minimo codigo o por así decirlo, el codigo mas primitivo hasta que se supere el test por primera vez. Para luego, mantenerlo en verde hasta refactorizar el codigo con una mayor calidad.</t>
  </si>
  <si>
    <t>La respuesta del estudiante toca algunos puntos importantes pero carece de profundidad y claridad en algunas áreas. Aquí está la evaluación:
Calificación: 6/10
Explicación:
1. **Conceptualización**:</t>
  </si>
  <si>
    <t>Respuesta: Las aserciones en los test son importantes ya que son los que nos dan la confirmación de que los tests están bien hechos y desarrollados y consiguen abarcar todas o la mayoria de los posibles errores de neustros test y codigo de proyecto.</t>
  </si>
  <si>
    <t>La respuesta del estudiante muestra un entendimiento básico de lo que son las aserciones y su importancia, pero falta una descripción más detallada y precisa. Aquí está la evaluación:
Calificación: 6/10</t>
  </si>
  <si>
    <t>Respuesta: Los frameworks son herramientas de testing que nos permite tener un control de los test que se llevan a cabo en nuestro codigo. Algunas de estas herramientas son JUnit 5 (esta herramienta es la principal utilizada para test unitarios), Mokito (crear objetos para test), Spring Boot test (la propia herramienta de Spring Boot para realizar test)</t>
  </si>
  <si>
    <t>La respuesta proporcionada por el estudiante tiene un contenido básico pero no aborda completamente la pregunta. El estudiante menciona correctamente algunos frameworks de testing para Java, pero no discute su papel en el desarrollo orientado a pruebas (TDD</t>
  </si>
  <si>
    <t>Respuesta: 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</si>
  <si>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La respuesta del estudiante muestra un entendimiento general del Ciclo TDD y sus componentes, pero hay algunos aspectos que podrían mejorar para una evaluación más completa. Aquí está una evaluación detallada:
- **Explic</t>
  </si>
  <si>
    <t>Respuesta: 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</si>
  <si>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La respuesta del estudiante es buena y muestra una comprensión aceptable del concepto de TDD (Desarrollo Dirigido por Pruebas) en comparación con el enfoque tradicional de testing. Sin embargo, hay algunas</t>
  </si>
  <si>
    <t>Respuesta: 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</si>
  <si>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La respuesta del estudiante aborda algunos aspectos importantes de las buenas prácticas en TDD (Desarrollo Dirigido por Pruebas), pero falta información crucial y hay algunas ideas que podrían ser mejor formuladas. Aquí</t>
  </si>
  <si>
    <t>Respuesta: El MockMvc es una clase dada por Spring Boot Test, la cual manda peticiones HTTP sin necesidad de usar un servidor web real, usa controladores REST, tambien usa las operaciones de GET, POST, PUT y DELETE, para el spring facilita el testing de APIs REST sin necesidad de dependencias externas.</t>
  </si>
  <si>
    <t>La respuesta del estudiante tiene varios puntos correctos pero también presenta algunas omisiones y simplificaciones que pueden afectar la precisión de la explicación. Aquí está la evaluación:
**Calificación: 7/10**
**</t>
  </si>
  <si>
    <t>Respuesta: Entre las ventajas se encuentran un mejor diseño de software, que es modular, un buen mantenimiento, y una gran previsión ante posibles errores. Y las desventajas son la curva de aprendizaje, el mayor tiempo de comienzo, y que si no se siguen unas buenas practicas de TDD el test puede resultar fragil, compromentiendolo.</t>
  </si>
  <si>
    <t>La respuesta proporcionada aborda tanto las ventajas como las desventajas del TDD (Desarrollo Dirigido por Pruebas), pero hay algunos aspectos que podrían mejorar para ser más completos y precisos. Aún así</t>
  </si>
  <si>
    <t>Respuesta: La cobertura de codigo es la metrica que se utiliza para que saber que porcentaje de los test han sido utilizados, independientemente si son correctos o no, en el TDD es muy importante ya que por ejemplo en el segundo metodo del ciclo (VERDE) al implementar las funcionalidades para los test debes saber si estas usando todas, ya que al no decir si son correctas o no, tu no sabes si te estan faltando test para programar sus funcionalidades.</t>
  </si>
  <si>
    <t>La respuesta del estudiante muestra una comprensión parcial del concepto de cobertura de código y su relevancia en el TDD, pero hay algunos errores y falta de claridad que afectan la precisión de la definición.
Cal</t>
  </si>
  <si>
    <t>Respuesta: Que el test falle es primordial para luego hacer el codigo de producción, lo primero del ciclo es crear test que fallen ya que asi es mas facil para luego escribir un codigo de produccion que funcione con cada test independiente, para luego poder mejorarlos sin alterar el comportamiento, si creas una programacion y ajustas el test a esa programacion fallará en cuanto aparezca un test nuevo, en cambio si un test falla y luego haces la programacion podras prevenir cualquier test que aparezca, localizas el test que falla, creas un codigo de produccion y funciona, un ejemplo podria ser un examen, te dan el problema y resuelves el problema, pero no puedes tener una respuesta anticipada para resolver cualquier problema que te salga despues.</t>
  </si>
  <si>
    <t>La respuesta del estudiante aborda correctamente el concepto clave de que los tests deben fallar antes de escribir el código de producción, aunque falta profundizar en algunos aspectos técnicos y de comunicación. Aquí está la evaluación:
**</t>
  </si>
  <si>
    <t>Respuesta: Es muy importante el validar entradas ya que comienzas con una estructura muy robusta y correcta, sino a mitad del proceso se pueden volver los test fragil.</t>
  </si>
  <si>
    <t>La respuesta proporcionada tiene algunos elementos correctos pero carece de detalle y claridad. Aquí está la evaluación:
Calificación: 5/10
Explicación:
- El estudiante reconoce la importancia de validar entr</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</si>
  <si>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</si>
  <si>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La respuesta del estudiante tiene algunos elementos correctos, pero falta profundizar en el tema. Aquí está la evaluación:
Calificación: 6/10
Explicación:
- El estudiante reconoce correctamente que las aserc</t>
  </si>
  <si>
    <t>Respuesta: Los framework son herramientas que simulan el comportamiento a traves de pruebas automaticas. Entre ellos destacan: 
-JUnit 5: que ayuda al testing para comprobar si estan correctos.
-Mockito: que crea objetos simulados llamados mocks que imitan el comportamiento de dependencias reales, aislando los test por unidad haciendo mas facil su tratamiento.
-AssertJ: con una sintaxis mas fluida y clara para las assertions.
-Spring Boot Test: que crea pruebas integradas para el funcionamiento de los test</t>
  </si>
  <si>
    <t>La respuesta proporcionada tiene elementos correctos pero falta profundizar en el tema. Aquí está una evaluación detallada:
- **Completitud**: 4/10
  - La respuesta menciona algunos frameworks de testing en Java</t>
  </si>
  <si>
    <t>Respuesta: 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</si>
  <si>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Tu respuesta muestra un entendimiento básico del Ciclo TDD, pero hay algunas áreas donde podrías mejorar para reflejar una comprensión más completa. Aquí te doy mi evaluación:
Nota: 6/10
**</t>
  </si>
  <si>
    <t>Respuesta: En el enfoque tradicional de testing en el desarrollo de software es algo que se centra más en el código que pasar los test, los test se consideran algo secundario. 
En el desarrollo del TDD se centra más en el partado de los test que el desarrollo del código en si.</t>
  </si>
  <si>
    <t>La respuesta proporcionada tiene algunos elementos correctos pero carece de detalles importantes para una comparación completa. Aquí está la evaluación:
Calificación: 5/10
Explicación:
- El estudiante ha identificado correctamente que</t>
  </si>
  <si>
    <t>Respuesta: 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</si>
  <si>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La respuesta del estudiante muestra una comprensión general, pero carece de detalles específicos sobre las buenas prácticas del TDD y su impacto en la calidad del software. Aquí está la evaluación:
Nota: 4</t>
  </si>
  <si>
    <t>Respuesta: Las ventajas de implementar el TDD en un proyecto software son que evita número de bugs durante el desarrollo, que incremente el software de manera progresiva, un código limpio y que gracias a los test podemos comprobar que líneas de código están siendo ejecutadas de manera correcta
Esto implica unas desventas de tiempo principalmente porque tienes que ver como reaccionan los test a cada cambio que estas realizando en el código y puede hacer que retrase la entrega del proyecto.</t>
  </si>
  <si>
    <t>Tu respuesta aborda correctamente algunas de las ventajas y desventajas del TDD (Desarrollo Dirigido por Pruebas), pero hay algunos puntos que podrían ser más detallados o precisos. Aquí te doy una</t>
  </si>
  <si>
    <t>Respuesta: Tienes que ver los informes del codigo y como están reaccionando. Esto habla de las líneas que estan siendo ejecutadas (verdes), las líneas que se ejecutan parcialmente (naranjas) y las líneas que no están siendo ejecutadas (rojas). Si el resultado de las líneas es que más del 70% de las líneas está siendo ejecutada significa que esta de manera correcta, si tienes el 80% significa que están bien las líneas de codigo y con más del 90% significa que está perfecto</t>
  </si>
  <si>
    <t>La respuesta proporcionada tiene algunos elementos correctos pero falta una definición más precisa y completa del concepto de cobertura de código y su relevancia en el contexto del Desarrollo Dirigido por Pruebas (TDD). Aquí te</t>
  </si>
  <si>
    <t>Respuesta: Es fundamental que un test falle antes de escribir cualquier código para entender el código que estás deasarrollando. Es como si fuera un boceto y las explicaciones que te dan son las cosas que tienes que desarrollar como mínimo para que pase ese test. La calidad del diseño de software mejora porque todo el grupo que está trabajando en ello ha visto ese primer boceto haciendo una especie de guía. Por ejemplo queremos desarrollar una calculadora y para ese test primer test que va a fallar vamos a poner las funciones principales que va a hacer esa calculadora. En la evolución del sistema va a ser más viable poder desarrollarlo porque lo has hecho de manera clara y que todo el mundo pueda entender que va a hacer nuestro programa. En la calculadora ya hemos realizado las cuatro funciones básicas (sumar, restar, multiplicar y dividir), pero ahora el cliente quiere que hagamos raices cuadradas y nosotros a partir de esas funciones básicas vamos a desarrollar como hacer funciones cuadradas.</t>
  </si>
  <si>
    <t>La respuesta del estudiante muestra un entendimiento básico de la importancia de que un test falle antes de escribir código en el contexto de TDD, pero falta profundizar en los aspectos técnicos y de comunicación. La nota asignada</t>
  </si>
  <si>
    <t>Respuesta: 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</si>
  <si>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La respuesta del estudiante muestra un intento de explicar la importancia de validar entradas en el contexto de TDD (Desarrollo Dirigido por Pruebas) y su relación con la robustez del software. Sin embargo, hay</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</si>
  <si>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</si>
  <si>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La respuesta del estudiante contiene algunos elementos correctos pero carece de claridad y profundidad. La evaluación es la siguiente:
Calificación: 5/10
Explicación:
- El concepto básico de aserciones se</t>
  </si>
  <si>
    <t>Respuesta: El papel del frameworks de testingn en java consisten en ver de manera visual los resultado que te han dado los tests y que líneas de código de código son las que están puestas de manera correcta. 
Esto contribuye al TDD de manera muy eficaz ya que cuando tu pones el primer test en rojo ves de manera visual que no está funcionando en el código y que tienes que implementar para que funcione. En caso de que ya hayas implementado lo mínimo y hayas pasado ese primer test, te permite volver a pasar ese test para ver que de verdad has podido mejorar y puedes seguir viendo el test en verde</t>
  </si>
  <si>
    <t>La respuesta del estudiante muestra un esfuerzo por entender el tema, pero hay varios aspectos que se pueden mejorar para una evaluación más precisa. Aquí está la evaluación:
**Calificación: 5/10**
**</t>
  </si>
  <si>
    <t>Respuesta: 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</si>
  <si>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La respuesta del estudiante muestra un buen entendimiento del ciclo TDD y sus pasos básicos, así como de su importancia en el desarrollo de software. Sin embargo, hay algunos detalles que podrían mejorar para obtener una evaluación más alta</t>
  </si>
  <si>
    <t>Respuesta: 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</si>
  <si>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La respuesta proporcionada contiene elementos correctos sobre TDD y un enfoque tradicional de testing, pero también hay algunos aspectos que pueden ser mejorados o precisados. Aquí está la evaluación:
**Evaluación:**
-</t>
  </si>
  <si>
    <t>Respuesta: -El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</si>
  <si>
    <t>La respuesta del estudiante aborda varios aspectos importantes de las buenas prácticas en TDD, pero hay algunos puntos que podrían ser más detallados o claros. Aquí está la evaluación:
Calificación: 7</t>
  </si>
  <si>
    <t>Respuesta: MockMvc es una biblioteca de Spring Boot que permite crear tests que prueban peticiones HTTP (GET, POST, PUT...) en tiempo real sin necesidad de levantar un servidor y testean controladores de tipo REST.</t>
  </si>
  <si>
    <t>La respuesta proporcionada tiene algunos errores y falta información importante. Aquí te presento una evaluación detallada:
- **Exactitud**: 4/10
  - La definición de MockMvc es incorrecta. MockMvc no</t>
  </si>
  <si>
    <t>Respuesta: Ventajas:
-Permite minimizar el número de bugs o fallos
-Fuerza a implementar el código estrictamente necesario para que el programa y los tests no fallen
-Se debe implementar en programas que no sean muy cambiantes 
-Asegura que todas las líneas de código estén cubiertas
-La codificación proactiva permite crear programas en menos tiempo
Desventajas:
-No es una bala de plata, ya que no asegura que el test esté libre de fallos
-Puede ser complicado de implementar en programadores noveles o sin mucha experiencia
-Se debe de cambiar completamente la mentalidad a la hora de programar, puesto que lo común o tradicional es implementar primero el código y después los tests
-Curva de aprendizaje muy alta</t>
  </si>
  <si>
    <t>La respuesta proporcionada aborda tanto las ventajas como las desventajas de implementar TDD (Desarrollo Dirigido por Pruebas) de manera general, pero hay algunas áreas que podrían mejorar. Aquí está la evaluación</t>
  </si>
  <si>
    <t>Respuesta: La cobertura de código es una medida que se refiere a la cantidad de líneas, ramas, etc. de código que ejecutan los tests. En otras palabras, es el nivel de código que es ejecutado por los tests.
Es importante en el contexto del Test Driven Development porque para que esta metodología esté bien implementada o usada es necesario que todas las líneas de código estén cubiertas por los tests previamente creados, es decir, que la cobertura de código sea la máxima posible.</t>
  </si>
  <si>
    <t xml:space="preserve">La respuesta del estudiante proporciona una definición básica de la cobertura de código y hace referencia a su importancia en el contexto de TDD, pero carece de detalles más profundos y precisos. Aquí está la evaluación:
</t>
  </si>
  <si>
    <t>Respuesta: Es fundamental para asegurarnos que el código que vamos a escribir después de los tests sea el justo y necesario para que el programa funcione correctamente, sin escribir código innecesario y mejorando la eficiencia y sencillez del programa.
Influye positivamente tanto en el diseño del software como en la evolución del sistema puesto que permite crear código eficiente y que funciona correctamente, posibilita mejorar el código sin modificar el comportamiento o finalidad del programa...</t>
  </si>
  <si>
    <t>La respuesta del estudiante aborda parcialmente el concepto pero falta una explicación más detallada y completa. Aquí está la calificación y algunas sugerencias:
Calificación: 6/10
Sugerencias:
1</t>
  </si>
  <si>
    <t>Respuesta: Es importante validar entradas en el contexto de TDD puesto que garantiza que el código no devuelva valores erróneos o sin sentido, permitiendo que el código sea eficiente y robusto.</t>
  </si>
  <si>
    <t>La respuesta proporcionada es una buena base pero carece de profundidad y detalles adicionales que podrían mejorar la calidad de la explicación. Aquí tienes una evaluación más detallada:
- **Contenido**: 6/10</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</si>
  <si>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</si>
  <si>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La respuesta del estudiante contiene varios elementos correctos pero también tiene algunas inexactitudes y falta información relevante. Aquí está la evaluación:
**Calificación: 6/10**
**Puntos fuertes:**
- Se</t>
  </si>
  <si>
    <t>Respuesta: Un ejemplo de framework de testing en java es JUnit5 o JaCoCo (Java Code Coverage), que permite analizar la cobertura de un código de manera sencilla y visual mediante el uso de porcentajes y colores.
Estos frameworks permite asegurar que todo el código que ha sido creado a partir de un TDD sea lo más eficiente, completo y sencillo posible, siendo un añadido para un buen desarrollo de software.</t>
  </si>
  <si>
    <t>Nota: 5
La respuesta proporciona información básica sobre los frameworks de testing en Java y su relación con TDD, pero falta una discusión más detallada y completa. Se menciona solo un ejemplo (JUnit5 y JaCo</t>
  </si>
  <si>
    <t>Respuesta: 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</si>
  <si>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La respuesta del estudiante muestra una comprensión básica pero incompleta del ciclo TDD. Se identifican los tres pasos principales (Red-Green-Refactor) y se proporciona un ejemplo simplificado, pero falta profundizar</t>
  </si>
  <si>
    <t>Respuesta: 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</si>
  <si>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La respuesta del estudiante presenta algunas ideas correctas pero también hay algunas inexactitudes y falta de profundidad. Aquí está la evaluación:
Calificación: 6/10
Explicación:
- **Inexactitud en la</t>
  </si>
  <si>
    <t>Respuesta: 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</si>
  <si>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 xml:space="preserve">La respuesta del estudiante aborda correctamente algunas de las buenas prácticas en TDD y su impacto en la calidad del software, pero falta una descripción más completa y precisa. Aquí está la evaluación:
Calificación: </t>
  </si>
  <si>
    <t>Respuesta: MockMvc es un framework de tests de integración, un test de integración es un test que comprueba la conexión entre diferentes módulos de un proyecto, tests, que tienen características como que se realizan menos que los tests unitarios y son más frágiles que estos.</t>
  </si>
  <si>
    <t>La respuesta proporcionada tiene elementos correctos pero no aborda completamente el tema propuesto. Se menciona correctamente que MockMvc es un framework de tests de integración, pero falta una explicación más detallada sobre su uso específico con APIs REST</t>
  </si>
  <si>
    <t>Respuesta: Las ventajas de implementar el ciclo TDD en un proyecto de software son: Primero de todo, te ofrece un inicio de testing temprano, y sencillo, ya que te basas en lo que falla. Otra ventaja es que es muy óptimo, puesto que al aplicar la refactorización, mejoras mucho el código que tenías. Además, es un ciclo sistemático y esto aporta orden al desarrollo del proyecto, y evita caos si se trabaja en equipo.
Y en cuanto a desventajas, a diferencia de un ciclo de testing normal, en el que la idea es que el testing se haga cuando ya tienes tu código mucho mejor que en el TDD, en este último no partes con un código tan optimizad y estructurado como podría ser en uno normal.</t>
  </si>
  <si>
    <t>La respuesta del estudiante aborda tanto las ventajas como las desventajas de TDD, pero hay algunos aspectos que podrían mejorar para ser más precisos y completos. Aquí está la evaluación:
Ventajas:
- Se</t>
  </si>
  <si>
    <t>Respuesta: La cobertura de código se basa en ver cuanto porcentaje de código cubren los tests, utilizamos herramientas como JaCoCo(Java Code Coverage, capaz de generar reportes para observar visualmente los porcentajes de cobertura de los tests), para ello. Hay tres tipos de Coverage:
* Code Coverage
* Branch Coverage 
* Method Coverage
Estos tres tipos tratan de ver la cobertura del codigo en Código específico, Ramas y Métodos o funciones.
La relevancia de la cobertura del coódigo en el ciclo TDD es alta, puesto que al ser un ciclo de testing, siempre es importante ver que porcentaje del código cubren esos tests realizados, así pues, se podría ir aplicando el ciclo TDD mientras consultamos la cobertura que van teniendo estos tests.</t>
  </si>
  <si>
    <t>La respuesta del estudiante aborda correctamente el concepto de cobertura de código y su relevancia en el contexto de TDD, por lo que se le puede asignar una nota de 8/10. 
**Aspectos positivos</t>
  </si>
  <si>
    <t>Respuesta: Es importante que en el ciclo TDD falle un test primeramente por que trabajas en base a lo que se ha fallado, esto quiere decir que te aseguras de no añadir ni más ni menos de lo que necesitas, añades lo justo para que el test pase, lo que optimiza mucho el proyecto ya que no ejecuta lineas inútiles.</t>
  </si>
  <si>
    <t>La respuesta del estudiante toca en parte el tema pero carece de profundidad y no aborda completamente la pregunta. Se le dará una calificación de 5/10.
La respuesta se centra principalmente en cómo el test fall</t>
  </si>
  <si>
    <t>Respuesta: La validación de entradas en los ciclos TDD es importante ya que te encargas de que las entradas existen y evitas que haya algún tipo de inconsistencia de datos.</t>
  </si>
  <si>
    <t xml:space="preserve">La respuesta del estudiante muestra una comprensión básica de la importancia de la validación de entradas en el contexto de TDD, pero carece de detalles más profundos y completos. Aquí hay algunas mejoras sugeridas:
</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</si>
  <si>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</si>
  <si>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La respuesta del estudiante es clara y precisa, cubre bien el tema de las aserciones en los tests y su importancia. Sin embargo, podría ser un poco más detallada y explicar cómo funcionan exactamente dentro de</t>
  </si>
  <si>
    <t>Respuesta: Los framewoks de testing en Java son importantes por que dan pie a que se realicen proyectos con testing y permiten ejecutar tests para ello. Contribuye al TDD precisamente por esto último que dije.
Un framework de testing en Java importante es JUnit5, que se compone por 3 sistemas por así decirlo, que serían JUnit Platform, JUnit Jupiter y JUnit Vintage.</t>
  </si>
  <si>
    <t>Tu respuesta tiene información correcta pero falta profundizar más en el tema. Te daré una nota de 6/10 y te proporcionaré algunas sugerencias para mejorar:
1. La primera frase es correcta pero podría ser más completa</t>
  </si>
  <si>
    <t>Respuesta: 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</si>
  <si>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La respuesta del estudiante proporciona una explicación general del ciclo TDD, pero falta profundizar en algunos aspectos clave y mejorar la claridad. Aquí está la evaluación:
Calificación: 7/10
Explicación</t>
  </si>
  <si>
    <t>Respuesta: El mecanismo TDD se ejecutan pruebas y luego se escribe el código, mientras que el enfoque tradicional se realiza el código y luego se ejecutan los test</t>
  </si>
  <si>
    <t>La respuesta proporcionada tiene un buen punto pero falta una comparación más detallada. Aquí está la evaluación:
Calificación: 6/10
Explicación:
- El estudiante ha identificado correctamente el orden inverso</t>
  </si>
  <si>
    <t>Respuesta: poner nombres simples e intuitivos, seguir el enfoque de las tres AAA y no probar varias funcionalidades en un mismo test, hacer varias que prueben y testeen una por una</t>
  </si>
  <si>
    <t>La respuesta del estudiante aborda algunos aspectos importantes de las buenas prácticas en TDD (Desarrollo Dirigido por Pruebas), pero falta un poco de contexto y profundidad. Aquí está la evaluación:
Cal</t>
  </si>
  <si>
    <t>Respuesta: Permite hacer consultas de tipo API sin necesidad de ejecutar un servidor real</t>
  </si>
  <si>
    <t>La respuesta proporcionada es parcialmente correcta pero falta mucha información importante. Vamos a evaluarla:
1. **Precisión**: 4/10
2. **Complejidad**: 3/10
3</t>
  </si>
  <si>
    <t>Respuesta: obtienes un mejor diseño del código pero es mas lento al inicio del desarrollo porque tienes que fijar un test antes de hacer una implementación, pero peude que estos test no estén bien implementados, por lo que teines que tener claro los problemas que ha de solucionar, por lo que no te centras de primeras en como solucionar el problema si no en el problema en si, y tiene un menor tiempo de depuración ya que puedes ir viendo donde se encuentra el problema poco a poco.</t>
  </si>
  <si>
    <t>La respuesta proporcionada tiene varios puntos válidos, pero falta estructura y claridad en algunos aspectos. Aquí está una evaluación detallada:
- **Ventajas (3/5)**: Menciona que obtienes un mejor</t>
  </si>
  <si>
    <t>Respuesta: El coverage te permite informarte sobre que lineas de código se estan usando (verde) y cuales no del código (rojo), lo que te permite identificar en que momento ha fallado un método al ejecutar el test, y es muy importante ya que te permite a la hora de hacer el test seguir el flujo del programa y ver donde ha perdido el hilo o donde se ha quedado atascado</t>
  </si>
  <si>
    <t>La respuesta del estudiante contiene elementos correctos pero no está completamente precisa ni completa. Se le asigna una nota de 6.
El estudiante menciona correctamente que el cobertura de código proporciona información sobre qué líneas de código están siendo</t>
  </si>
  <si>
    <t>Respuesta: ya que nos permite ir siguiendo una progresión del código y focalizarnos en métodos individuales, es la primera parte del ciclo y tratamos de solucionarlo, una vez solucionado el test pasa y en la última fase perfeccionamos y depuramos el código ya funcional</t>
  </si>
  <si>
    <t>La respuesta proporcionada tiene algunos elementos correctos pero falta profundizar en varios aspectos importantes. Aquí te doy mi evaluación:
Calificación: 6/10
Aspectos positivos:
- Menciona que los tests fall</t>
  </si>
  <si>
    <t>Respuesta: 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</si>
  <si>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La respuesta del estudiante aborda correctamente la idea principal de la importancia de validar entradas en el contexto de TDD y su relación con la robustez del software. Sin embargo, la explicación podría ser más detallada y precisa.</t>
  </si>
  <si>
    <t>Respuesta: las aserciones permiten validar que el test haya pasado o no despues de haber declarado las variables con arrange y ejecutarlas con act, y assert valida que el test haya sido pasado con éxito, que es lo que buscamos</t>
  </si>
  <si>
    <t>La respuesta del estudiante contiene algunos elementos correctos pero también tiene algunas inexactitudes y falta de claridad. Vamos a analizarla:
- **Correcto**: La idea general de que las aserciones se usan para validar si</t>
  </si>
  <si>
    <t>Respuesta: Permiten escribir, gestionar y validar código de forma más fácil e intuitiva, por lo que en el caso del TDD nos permite llegar más rápido y sencillo a la solución y pasar de verde a refactor mucho más rápido.</t>
  </si>
  <si>
    <t xml:space="preserve">La respuesta del estudiante toca algunos puntos importantes pero falta una explicación más detallada y completa sobre el papel de los frameworks de testing en Java y su contribución al TDD. Aquí está la evaluación:
Calificación: </t>
  </si>
  <si>
    <t>Respuesta: 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</si>
  <si>
    <t>La respuesta del estudiante proporciona un resumen aceptable del ciclo TDD, pero hay algunos aspectos que podrían mejorar para ser más precisos y completos. Aquí está la evaluación:
Calificación: 7/10</t>
  </si>
  <si>
    <t>Respuesta: Las principales ventajas de TDD respecto a un enfoque tradicional de testing en desarrollo software, son que el codigo se reduce, mayor seguridad al refactorizar, codigo mas limpio y mas modulado, menos errores y tambien disminuye el tiempo de debugging.</t>
  </si>
  <si>
    <t>La respuesta del estudiante aborda algunos puntos importantes sobre las ventajas de TDD (Desarrollo Dirigido por Pruebas) frente a un enfoque tradicional de testing, pero falta una comparación más detallada y precisa</t>
  </si>
  <si>
    <t>Respuesta: Desarrollar buenas en TDD es muy importante ya mejora la calidad del software notablemente, en el desarrollo de los tests prima la calidad a la cantidad, tambien es muy importante desarrollar codigo bien estructurado, ya que esto los errores,</t>
  </si>
  <si>
    <t>Nota: 6
La respuesta del estudiante contiene elementos correctos sobre TDD y su impacto en la calidad del software, pero falta una descripción más detallada y precisa de las buenas prácticas específicas de TDD</t>
  </si>
  <si>
    <t>Respuesta: MockMvc es una herramienta que sirve para realizar peticiones HTTP sin levantar un servidor , esto sirve para realizar simulaciones de APIs REST en un entorno controlado.</t>
  </si>
  <si>
    <t>La respuesta proporcionada tiene un buen inicio, pero carece de detalles específicos sobre el uso de MockMvc en el contexto de las aplicaciones Spring y cómo se integra con las pruebas unitarias y de integración. Aquí está la</t>
  </si>
  <si>
    <t>Respuesta: Las principales ventajas de implementar TDD en un proyecto software son las siguientes, codigo mas claro, estructurado y modulado, seguridad al refactorizar, dismuye el debbuging,y los test sirven como documentacion viva.
Respecto a las desventajas, las principales son curva de aprendizaje mas lenta, mayor tiempo al inicio del proyecto, mayor cantidad de codigo y test erroneos si se diseñan mal.</t>
  </si>
  <si>
    <t>La respuesta proporcionada por el estudiante aborda adecuadamente tanto las ventajas como las desventajas de implementar TDD (Desarrollo Dirigido por Pruebas). Sin embargo, hay algunos aspectos que podrían mejorar para</t>
  </si>
  <si>
    <t>Respuesta: La cobertura de codigo es la cantidad de codigo que se ha ejecutado durante los test, el rango optimo esta entre el 70 y el 90%, una de las herramientas que se utiliza para medir la cobertura es JaCoCo que mediante uninterfaz grafica en html te indica el porcentaje, se mide en cubierto (Verde), no cubierto (Rojo) y refactor (Amarillo).</t>
  </si>
  <si>
    <t>La respuesta proporcionada por el estudiante contiene elementos correctos pero también hay aspectos que podrían ser más detallados o precisos. Vamos a evaluarla:
### Puntos positivos:
1. **Definición**: La</t>
  </si>
  <si>
    <t>Respuesta: Que falle un test antes de escribir cualquier codigo de produccion, es muy importante ya el codigo se desarrolla a partir de los test, esto es un aspecto muy positivo de esta metodologia ya que a nivel tecnico como a nivel de comunicacion de equipos ya que el codigo que se desarrolla es un codigo muy bien estructurado, se reducen los errores, y el tiempo en debuggin.</t>
  </si>
  <si>
    <t>La respuesta del estudiante refleja correctamente la idea principal de TDD (Desarrollo Dirigido por Pruebas), pero carece de profundidad en varios aspectos. La evaluación sería:
Calificación: 6/10</t>
  </si>
  <si>
    <t>Respuesta: Validar la entradas de contexto es importante ya que evita conflictos en el codigo y esto hace que el codigo sea mas robusto.</t>
  </si>
  <si>
    <t>La respuesta proporcionada tiene un punto correcto pero falta profundizar en el tema. Vamos a evaluarla:
1- **Compreensión General**: El estudiante comprende la idea básica, por lo que se le puede dar un</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</si>
  <si>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</si>
  <si>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La respuesta del estudiante tiene algunos puntos correctos pero también falta profundidad y claridad en algunas áreas. Aquí está una evaluación más detallada:
- **Precision**: El concepto de aserciones se explica correctamente, aunque</t>
  </si>
  <si>
    <t>Respuesta: Los frameworks en java cumplen un papel fundamental, una de las herramientas utilizadas es JUnit5 ya que son los encargados de ejecutar los test. Son los encargados de estructurar, analizar y ejecutar los test.</t>
  </si>
  <si>
    <t>La respuesta proporcionada tiene elementos correctos pero falta profundidad y contexto. Aquí está la evaluación:
Calificación: 5/10
Explicación:
- El estudiante menciona correctamente que los frameworks de testing en Java son</t>
  </si>
  <si>
    <t>Respuesta: 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</si>
  <si>
    <t>La respuesta del estudiante muestra un buen esfuerzo para explicar el ciclo TDD, pero hay algunos aspectos que podrían mejorar para aumentar la precisión y la profundidad de la explicación. Aquí está la evaluación</t>
  </si>
  <si>
    <t>Respuesta: 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</si>
  <si>
    <t>La respuesta del estudiante muestra una comprensión básica de las diferencias entre TDD (Desarrollo Dirigido por Pruebas) y un enfoque tradicional de pruebas, pero falta detalle y claridad en algunas áreas.</t>
  </si>
  <si>
    <t>Respuesta: 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</si>
  <si>
    <t>La respuesta del estudiante contiene los puntos esenciales de las buenas prácticas en TDD (Desarrollo Dirigido por Pruebas) basadas en el principio FIRST. Sin embargo, faltan algunas explicaciones adicionales</t>
  </si>
  <si>
    <t>Respuesta: MockMvc, es como bien dice el enunciado, una clase de testing dentro de aplicaciones spring, la usamos entre otros para: 
-Simular peticiones http sin levantar un servidor real
-Usar controladores rest de manera aislada
-Verficar respuestas http ( entrada, headers...)</t>
  </si>
  <si>
    <t>La respuesta del estudiante contiene elementos correctos pero falta profundidad y claridad en la explicación. Se le puede dar una nota de 6/10.
Aspectos positivos:
- Menciona que es una clase de testing en</t>
  </si>
  <si>
    <t>Respuesta: Ventajas de implementar TDD:
-Mejora de codigo: Ya que al tener los test antes, estos nos ayudan a cambiar de manera directa partes del codigo de manera exacta, lo cual mejora de manera exponencial la calidad de manera general al no tener que cambiar todo cuando algo falla
-Documentacion viva
-Menor uso de debugging
Desventajas de implementar TDD:
-Curva de aprendizaje: Al final existe un cambio de mentalidad en los desarrolladores al cambiar la manera en la que se trabaja, es complejo el hecho de que a un programador con poca experiencia le den una metodologia de trabajo como esta, por eso se aconseja que se use en caso de programadores mas experimentados
-Mas codigo: Es un hecho que, al tener que escribir antes el test que el propio codigo, sea mayor el trabajo de produccion de codigo 
-Mas tiempo: Va ligada con la anterior ya que necesitamos mas tiempo para hacer mas codigo
-Posibilidad de que los test sean fragiles
-No es una bala de plata: posibilidad de que haya bugs, aunque menor</t>
  </si>
  <si>
    <t>La respuesta del estudiante aborda tanto las ventajas como las desventajas de implementar TDD de manera adecuada, proporcionando una visión completa del tema. Sin embargo, hay algunas áreas donde se puede mejorar la claridad y precis</t>
  </si>
  <si>
    <t>Respuesta: El concepto de cobertura de codigo o coverage es el porcentaje de codigo (calculado en base al numero de lineas) que estamos testeando/comprobando al realizar los test.
En el contexto del TDD es muy relevante ya que, si mayor es el numero de coverage, mayores son las lineas que estamos pasando con las pruebas de testing.
Sin embargo, el numero muchas veces puede dar a confusion, por ejemplo, si el coverage supera el 90% ya hay un sobretesting, ademas de que si llega al 100% no significa que no pueda haber algun bug
Hay diferentes tipos de cobertura --&gt;
-de rama
-de clase
-de metodo
-de linea</t>
  </si>
  <si>
    <t>La respuesta del estudiante contiene elementos correctos pero falta una definición más precisa y completa del concepto de cobertura de código y su relevancia en TDD. Aquí está la evaluación:
Nota: 6/10
El</t>
  </si>
  <si>
    <t>Respuesta: Porque el tdd se basa en que primero el test sea rojo, que falle, que no haya codigo, es el principio fundamental del tdd.
PRIMERO EL TEST Y LUEGO SU CODIGO DE PRODUCCION
Al final trabajamos en base a que el test ha fallado, y hacemos codigo de produccion minimo hasta que pase, de esta manera mejoramos la calidad del codigo de manera exponencial, de menos a mas, no directamente implementar todo el codigo</t>
  </si>
  <si>
    <t>La respuesta del estudiante muestra un entendimiento básico del concepto de TDD (Desarrollo Dirigido por Pruebas), pero carece de detalles y análisis más profundos. Aquí está la evaluación:
Nota: 4/</t>
  </si>
  <si>
    <t>Respuesta: Porque no puedes escribir codigo a lo loco, al final necesitas ajustarte a unos parametros para que el test pueda pasar por esas lineas que va a comprobar, y que este pueda entenderlo</t>
  </si>
  <si>
    <t xml:space="preserve">La respuesta del estudiante muestra un entendimiento básico pero incompleto de la importancia de validar entradas en el contexto de TDD (Desarrollo Dirigido por Pruebas). Aquí está una evaluación más detallada:
</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</si>
  <si>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</si>
  <si>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La respuesta del estudiante muestra un entendimiento básico de las aserciones y su importancia en los tests, pero falta profundizar en varios aspectos. Aquí está la evaluación:
Calificación: 6
Explicación:
-</t>
  </si>
  <si>
    <t>Respuesta: El ejemplo mas claro es JaCoCo, java code coverage, el cual es una biblioteca gratuita para evaluar coverage en java.
Son fundamentales ya que, sin un framework especifico, algun lengueaje de programacion no podria validar test, y JaCoCo es uno de ellos</t>
  </si>
  <si>
    <t xml:space="preserve">La respuesta del estudiante aborda correctamente un aspecto relevante de los frameworks de testing en Java, pero falta desarrollar más sobre el tema y no menciona otros frameworks importantes. Aquí está la evaluación:
Calificación: 6
</t>
  </si>
  <si>
    <t>Respuesta: 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</si>
  <si>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Tu explicación sobre el ciclo TDD es bastante buena y muestra un entendimiento correcto de la metodología. Sin embargo, hay algunos aspectos que podrían mejorar para ser más precisos y detallados.
**Calificación:** 7</t>
  </si>
  <si>
    <t>Respuesta: 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</si>
  <si>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La respuesta del estudiante proporciona una comparación general entre TDD (Desarrollo Dirigido por Pruebas) y un enfoque tradicional de testing, destacando algunos de los beneficios del TDD. Sin embargo, la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</si>
</sst>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theme="1"/>
      <name val="&quot;Google Sans Text&quot;"/>
    </font>
  </fonts>
  <fills count="4">
    <fill>
      <patternFill patternType="none"/>
    </fill>
    <fill>
      <patternFill patternType="lightGray"/>
    </fill>
    <fill>
      <patternFill patternType="solid">
        <fgColor rgb="FFFFFFFF"/>
        <bgColor rgb="FFFFFFFF"/>
      </patternFill>
    </fill>
    <fill>
      <patternFill patternType="solid">
        <fgColor rgb="FFFFE599"/>
        <bgColor rgb="FFFFE599"/>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3" fontId="2" numFmtId="0" xfId="0" applyAlignment="1" applyFont="1">
      <alignment horizontal="right" vertical="bottom"/>
    </xf>
    <xf borderId="0" fillId="3" fontId="2" numFmtId="0" xfId="0" applyAlignment="1" applyFont="1">
      <alignment horizontal="right" readingOrder="0" vertical="bottom"/>
    </xf>
    <xf borderId="0" fillId="3" fontId="2" numFmtId="0" xfId="0" applyAlignment="1" applyFont="1">
      <alignment vertical="bottom"/>
    </xf>
    <xf borderId="0" fillId="0" fontId="1" numFmtId="0" xfId="0" applyFont="1"/>
    <xf borderId="0" fillId="2" fontId="1" numFmtId="0" xfId="0" applyFont="1"/>
    <xf borderId="0" fillId="3" fontId="1" numFmtId="0" xfId="0" applyFont="1"/>
    <xf borderId="0" fillId="3" fontId="1" numFmtId="9" xfId="0" applyAlignment="1" applyFont="1" applyNumberFormat="1">
      <alignment readingOrder="0"/>
    </xf>
    <xf borderId="0" fillId="3" fontId="2" numFmtId="164" xfId="0" applyAlignment="1" applyFont="1" applyNumberFormat="1">
      <alignment horizontal="right" vertical="bottom"/>
    </xf>
    <xf borderId="0" fillId="3" fontId="2" numFmtId="10" xfId="0" applyAlignment="1" applyFont="1" applyNumberFormat="1">
      <alignment horizontal="right" vertical="bottom"/>
    </xf>
    <xf borderId="0" fillId="3" fontId="1" numFmtId="0" xfId="0" applyAlignment="1" applyFont="1">
      <alignment readingOrder="0" shrinkToFit="0" wrapText="1"/>
    </xf>
    <xf borderId="0" fillId="3" fontId="3" numFmtId="0" xfId="0" applyAlignment="1" applyFont="1">
      <alignment readingOrder="0"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'resultadosQwen2-7b'!$H$1</c:f>
            </c:strRef>
          </c:tx>
          <c:spPr>
            <a:ln cmpd="sng">
              <a:solidFill>
                <a:srgbClr val="4285F4"/>
              </a:solidFill>
            </a:ln>
          </c:spPr>
          <c:marker>
            <c:symbol val="none"/>
          </c:marker>
          <c:val>
            <c:numRef>
              <c:f>'resultadosQwen2-7b'!$H$2:$H$90</c:f>
              <c:numCache/>
            </c:numRef>
          </c:val>
          <c:smooth val="0"/>
        </c:ser>
        <c:axId val="637284921"/>
        <c:axId val="295277628"/>
      </c:lineChart>
      <c:catAx>
        <c:axId val="6372849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95277628"/>
      </c:catAx>
      <c:valAx>
        <c:axId val="2952776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728492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22%</a:t>
            </a:r>
          </a:p>
        </c:rich>
      </c:tx>
      <c:layout>
        <c:manualLayout>
          <c:xMode val="edge"/>
          <c:yMode val="edge"/>
          <c:x val="0.03091666666666667"/>
          <c:y val="0.044609164420485174"/>
        </c:manualLayout>
      </c:layout>
      <c:overlay val="0"/>
    </c:title>
    <c:plotArea>
      <c:layout>
        <c:manualLayout>
          <c:xMode val="edge"/>
          <c:yMode val="edge"/>
          <c:x val="0.03091666666666667"/>
          <c:y val="0.13454627133872415"/>
          <c:w val="0.9381666666666668"/>
          <c:h val="0.8127583108715183"/>
        </c:manualLayout>
      </c:layout>
      <c:doughnutChart>
        <c:varyColors val="1"/>
        <c:ser>
          <c:idx val="0"/>
          <c:order val="0"/>
          <c:dPt>
            <c:idx val="0"/>
            <c:spPr>
              <a:solidFill>
                <a:srgbClr val="4285F4"/>
              </a:solidFill>
            </c:spPr>
          </c:dPt>
          <c:dLbls>
            <c:showLegendKey val="0"/>
            <c:showVal val="0"/>
            <c:showCatName val="0"/>
            <c:showSerName val="0"/>
            <c:showPercent val="0"/>
            <c:showBubbleSize val="0"/>
            <c:showLeaderLines val="1"/>
          </c:dLbls>
          <c:cat>
            <c:strRef>
              <c:f>'resultadosQwen2-7b'!$P$1:$Z$1</c:f>
            </c:strRef>
          </c:cat>
          <c:val>
            <c:numRef>
              <c:f>'resultadosQwen2-7b'!$P$2:$Z$2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809625</xdr:colOff>
      <xdr:row>3</xdr:row>
      <xdr:rowOff>723900</xdr:rowOff>
    </xdr:from>
    <xdr:ext cx="2952750" cy="18288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704850</xdr:colOff>
      <xdr:row>2</xdr:row>
      <xdr:rowOff>285750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75"/>
    <col customWidth="1" min="3" max="3" width="36.38"/>
    <col customWidth="1" min="4" max="4" width="58.63"/>
    <col customWidth="1" min="7" max="7" width="15.13"/>
    <col customWidth="1" min="8" max="8" width="20.63"/>
    <col customWidth="1" min="13" max="13" width="14.25"/>
    <col customWidth="1" min="14" max="14" width="22.5"/>
    <col customWidth="1" min="15" max="15" width="21.88"/>
    <col customWidth="1" min="16" max="16" width="20.13"/>
  </cols>
  <sheetData>
    <row r="1">
      <c r="A1" s="1" t="s">
        <v>0</v>
      </c>
      <c r="B1" s="1" t="s">
        <v>1</v>
      </c>
      <c r="C1" s="1" t="s">
        <v>2</v>
      </c>
      <c r="D1" s="1" t="s">
        <v>3</v>
      </c>
      <c r="E1" s="1" t="s">
        <v>4</v>
      </c>
      <c r="F1" s="1" t="s">
        <v>5</v>
      </c>
      <c r="G1" s="1" t="s">
        <v>6</v>
      </c>
      <c r="H1" s="1" t="s">
        <v>7</v>
      </c>
      <c r="I1" s="2" t="s">
        <v>8</v>
      </c>
      <c r="M1" s="3" t="s">
        <v>9</v>
      </c>
      <c r="N1" s="3" t="s">
        <v>10</v>
      </c>
      <c r="O1" s="3" t="s">
        <v>11</v>
      </c>
      <c r="P1" s="3" t="s">
        <v>12</v>
      </c>
      <c r="Q1" s="4">
        <v>1.0</v>
      </c>
      <c r="R1" s="4">
        <v>2.0</v>
      </c>
      <c r="S1" s="4">
        <v>3.0</v>
      </c>
      <c r="T1" s="3">
        <v>4.0</v>
      </c>
      <c r="U1" s="5">
        <v>5.0</v>
      </c>
      <c r="V1" s="4">
        <v>-1.0</v>
      </c>
      <c r="W1" s="4">
        <v>-2.0</v>
      </c>
      <c r="X1" s="4">
        <v>-3.0</v>
      </c>
      <c r="Y1" s="3">
        <v>-4.0</v>
      </c>
      <c r="Z1" s="5">
        <v>-5.0</v>
      </c>
      <c r="AA1" s="6" t="s">
        <v>13</v>
      </c>
    </row>
    <row r="2">
      <c r="A2" s="1">
        <v>0.0</v>
      </c>
      <c r="B2" s="1" t="s">
        <v>14</v>
      </c>
      <c r="C2" s="1" t="s">
        <v>15</v>
      </c>
      <c r="D2" s="1" t="s">
        <v>16</v>
      </c>
      <c r="E2" s="1">
        <v>9.0</v>
      </c>
      <c r="F2" s="7">
        <v>72.0</v>
      </c>
      <c r="G2" s="1">
        <v>6.0</v>
      </c>
      <c r="H2" s="8">
        <f t="shared" ref="H2:H3" si="2">ABS(E2-G2)</f>
        <v>3</v>
      </c>
      <c r="I2" s="7">
        <f t="shared" ref="I2:I3" si="3">E2-G2</f>
        <v>3</v>
      </c>
      <c r="M2" s="9">
        <f>MAX(H1:H90)</f>
        <v>5</v>
      </c>
      <c r="N2" s="9">
        <f t="shared" ref="N2:O2" si="1">AVERAGE(H1:H90)</f>
        <v>1.444444444</v>
      </c>
      <c r="O2" s="9">
        <f t="shared" si="1"/>
        <v>0.4666666667</v>
      </c>
      <c r="P2" s="10">
        <f>COUNTIF(I2:I101, 0) / COUNT(I2:I101)
</f>
        <v>0.22</v>
      </c>
      <c r="Q2" s="11">
        <f>COUNTIF(I2:I72, 1) / COUNT(I2:I72)</f>
        <v>0.2368421053</v>
      </c>
      <c r="R2" s="12">
        <f>COUNTIF(I2:I72, 2) / COUNT(I2:I72)</f>
        <v>0.07894736842</v>
      </c>
      <c r="S2" s="12">
        <f>COUNTIF(I2:I72, 3) / COUNT(I2:I72)</f>
        <v>0.1052631579</v>
      </c>
      <c r="T2" s="9">
        <f>COUNTIF(I2:I72, 4) / COUNT(I2:I72)</f>
        <v>0</v>
      </c>
      <c r="U2" s="12">
        <f>COUNTIF(I2:I72, 5) / COUNT(I2:I72)</f>
        <v>0.05263157895</v>
      </c>
      <c r="V2" s="12">
        <f>COUNTIF(I2:I72, -1) / COUNT(I2:I72)</f>
        <v>0.1578947368</v>
      </c>
      <c r="W2" s="12">
        <f>COUNTIF(I2:I72, -2) / COUNT(I2:I72)</f>
        <v>0.1052631579</v>
      </c>
      <c r="X2" s="12">
        <f>COUNTIF(I2:I72, -3) / COUNT(I2:I72)</f>
        <v>0.02631578947</v>
      </c>
      <c r="Y2" s="12">
        <f>COUNTIF(H2:H72, -4) / COUNT(H2:H72)</f>
        <v>0</v>
      </c>
      <c r="Z2" s="12">
        <f>COUNTIF(I2:I72, -5) / COUNT(I2:I72)</f>
        <v>0</v>
      </c>
      <c r="AA2" s="12">
        <f>COUNTIF(H:H, "&lt;=1") / COUNT(H:H)</f>
        <v>0.5882352941</v>
      </c>
    </row>
    <row r="3">
      <c r="A3" s="1">
        <v>1.0</v>
      </c>
      <c r="B3" s="1" t="s">
        <v>17</v>
      </c>
      <c r="C3" s="1" t="s">
        <v>18</v>
      </c>
      <c r="D3" s="1" t="s">
        <v>19</v>
      </c>
      <c r="E3" s="1">
        <v>7.0</v>
      </c>
      <c r="F3" s="7">
        <v>38.0</v>
      </c>
      <c r="G3" s="1">
        <v>6.0</v>
      </c>
      <c r="H3" s="8">
        <f t="shared" si="2"/>
        <v>1</v>
      </c>
      <c r="I3" s="7">
        <f t="shared" si="3"/>
        <v>1</v>
      </c>
      <c r="M3" s="13" t="s">
        <v>20</v>
      </c>
      <c r="N3" s="13" t="s">
        <v>21</v>
      </c>
      <c r="O3" s="14" t="s">
        <v>22</v>
      </c>
      <c r="P3" s="14" t="s">
        <v>23</v>
      </c>
    </row>
    <row r="4">
      <c r="A4" s="1">
        <v>2.0</v>
      </c>
      <c r="B4" s="1" t="s">
        <v>24</v>
      </c>
      <c r="C4" s="1" t="s">
        <v>25</v>
      </c>
      <c r="D4" s="1" t="s">
        <v>26</v>
      </c>
      <c r="E4" s="1">
        <v>6.0</v>
      </c>
      <c r="F4" s="7">
        <v>41.0</v>
      </c>
      <c r="G4" s="1" t="s">
        <v>27</v>
      </c>
      <c r="H4" s="8"/>
      <c r="M4" s="15"/>
      <c r="N4" s="15"/>
    </row>
    <row r="5">
      <c r="A5" s="1">
        <v>3.0</v>
      </c>
      <c r="B5" s="1" t="s">
        <v>28</v>
      </c>
      <c r="C5" s="1" t="s">
        <v>29</v>
      </c>
      <c r="D5" s="1" t="s">
        <v>30</v>
      </c>
      <c r="E5" s="1">
        <v>3.0</v>
      </c>
      <c r="F5" s="7">
        <v>45.0</v>
      </c>
      <c r="G5" s="1">
        <v>5.0</v>
      </c>
      <c r="H5" s="8">
        <f>ABS(E5-G5)</f>
        <v>2</v>
      </c>
      <c r="I5" s="7">
        <f>E5-G5</f>
        <v>-2</v>
      </c>
    </row>
    <row r="6">
      <c r="A6" s="1">
        <v>4.0</v>
      </c>
      <c r="B6" s="1" t="s">
        <v>31</v>
      </c>
      <c r="C6" s="1" t="s">
        <v>32</v>
      </c>
      <c r="D6" s="1" t="s">
        <v>33</v>
      </c>
      <c r="E6" s="1">
        <v>3.0</v>
      </c>
      <c r="F6" s="7">
        <v>40.0</v>
      </c>
      <c r="G6" s="1" t="s">
        <v>27</v>
      </c>
      <c r="H6" s="8"/>
    </row>
    <row r="7">
      <c r="A7" s="1">
        <v>5.0</v>
      </c>
      <c r="B7" s="1" t="s">
        <v>34</v>
      </c>
      <c r="C7" s="1" t="s">
        <v>35</v>
      </c>
      <c r="D7" s="1" t="s">
        <v>36</v>
      </c>
      <c r="E7" s="1">
        <v>8.0</v>
      </c>
      <c r="F7" s="7">
        <v>36.0</v>
      </c>
      <c r="G7" s="1" t="s">
        <v>27</v>
      </c>
      <c r="H7" s="8"/>
    </row>
    <row r="8">
      <c r="A8" s="1">
        <v>6.0</v>
      </c>
      <c r="B8" s="1" t="s">
        <v>37</v>
      </c>
      <c r="C8" s="1" t="s">
        <v>38</v>
      </c>
      <c r="D8" s="1" t="s">
        <v>39</v>
      </c>
      <c r="E8" s="1">
        <v>5.0</v>
      </c>
      <c r="F8" s="7">
        <v>37.0</v>
      </c>
      <c r="G8" s="1">
        <v>5.0</v>
      </c>
      <c r="H8" s="8">
        <f>ABS(E8-G8)</f>
        <v>0</v>
      </c>
      <c r="I8" s="7">
        <f>E8-G8</f>
        <v>0</v>
      </c>
    </row>
    <row r="9">
      <c r="A9" s="1">
        <v>7.0</v>
      </c>
      <c r="B9" s="1" t="s">
        <v>40</v>
      </c>
      <c r="C9" s="1" t="s">
        <v>41</v>
      </c>
      <c r="D9" s="1" t="s">
        <v>42</v>
      </c>
      <c r="E9" s="1">
        <v>7.0</v>
      </c>
      <c r="F9" s="7">
        <v>36.0</v>
      </c>
      <c r="G9" s="1" t="s">
        <v>27</v>
      </c>
      <c r="H9" s="8"/>
    </row>
    <row r="10">
      <c r="A10" s="1">
        <v>8.0</v>
      </c>
      <c r="B10" s="1" t="s">
        <v>43</v>
      </c>
      <c r="C10" s="1" t="s">
        <v>44</v>
      </c>
      <c r="D10" s="1" t="s">
        <v>45</v>
      </c>
      <c r="E10" s="1">
        <v>4.0</v>
      </c>
      <c r="F10" s="7">
        <v>35.0</v>
      </c>
      <c r="G10" s="1">
        <v>6.0</v>
      </c>
      <c r="H10" s="8">
        <f>ABS(E10-G10)</f>
        <v>2</v>
      </c>
      <c r="I10" s="7">
        <f>E10-G10</f>
        <v>-2</v>
      </c>
    </row>
    <row r="11">
      <c r="A11" s="1">
        <v>9.0</v>
      </c>
      <c r="B11" s="1" t="s">
        <v>46</v>
      </c>
      <c r="C11" s="1" t="s">
        <v>47</v>
      </c>
      <c r="D11" s="1" t="s">
        <v>48</v>
      </c>
      <c r="E11" s="1">
        <v>2.0</v>
      </c>
      <c r="F11" s="7">
        <v>36.0</v>
      </c>
      <c r="G11" s="1" t="s">
        <v>27</v>
      </c>
      <c r="H11" s="8"/>
    </row>
    <row r="12">
      <c r="A12" s="1">
        <v>10.0</v>
      </c>
      <c r="B12" s="1" t="s">
        <v>49</v>
      </c>
      <c r="C12" s="1" t="s">
        <v>15</v>
      </c>
      <c r="D12" s="1" t="s">
        <v>50</v>
      </c>
      <c r="E12" s="1">
        <v>8.0</v>
      </c>
      <c r="F12" s="7">
        <v>36.0</v>
      </c>
      <c r="G12" s="1">
        <v>5.0</v>
      </c>
      <c r="H12" s="8">
        <f>ABS(E12-G12)</f>
        <v>3</v>
      </c>
      <c r="I12" s="7">
        <f>E12-G12</f>
        <v>3</v>
      </c>
    </row>
    <row r="13">
      <c r="A13" s="1">
        <v>11.0</v>
      </c>
      <c r="B13" s="1" t="s">
        <v>51</v>
      </c>
      <c r="C13" s="1" t="s">
        <v>18</v>
      </c>
      <c r="D13" s="1" t="s">
        <v>52</v>
      </c>
      <c r="E13" s="1">
        <v>6.0</v>
      </c>
      <c r="F13" s="7">
        <v>36.0</v>
      </c>
      <c r="G13" s="1" t="s">
        <v>27</v>
      </c>
      <c r="H13" s="8"/>
    </row>
    <row r="14">
      <c r="A14" s="1">
        <v>12.0</v>
      </c>
      <c r="B14" s="1" t="s">
        <v>53</v>
      </c>
      <c r="C14" s="1" t="s">
        <v>25</v>
      </c>
      <c r="D14" s="1" t="s">
        <v>54</v>
      </c>
      <c r="E14" s="1">
        <v>8.0</v>
      </c>
      <c r="F14" s="7">
        <v>36.0</v>
      </c>
      <c r="G14" s="1">
        <v>7.0</v>
      </c>
      <c r="H14" s="8">
        <f t="shared" ref="H14:H16" si="4">ABS(E14-G14)</f>
        <v>1</v>
      </c>
      <c r="I14" s="7">
        <f t="shared" ref="I14:I16" si="5">E14-G14</f>
        <v>1</v>
      </c>
    </row>
    <row r="15">
      <c r="A15" s="1">
        <v>13.0</v>
      </c>
      <c r="B15" s="1" t="s">
        <v>55</v>
      </c>
      <c r="C15" s="1" t="s">
        <v>29</v>
      </c>
      <c r="D15" s="1" t="s">
        <v>56</v>
      </c>
      <c r="E15" s="1">
        <v>7.0</v>
      </c>
      <c r="F15" s="7">
        <v>36.0</v>
      </c>
      <c r="G15" s="1">
        <v>6.0</v>
      </c>
      <c r="H15" s="8">
        <f t="shared" si="4"/>
        <v>1</v>
      </c>
      <c r="I15" s="7">
        <f t="shared" si="5"/>
        <v>1</v>
      </c>
    </row>
    <row r="16">
      <c r="A16" s="1">
        <v>14.0</v>
      </c>
      <c r="B16" s="1" t="s">
        <v>57</v>
      </c>
      <c r="C16" s="1" t="s">
        <v>32</v>
      </c>
      <c r="D16" s="1" t="s">
        <v>58</v>
      </c>
      <c r="E16" s="1">
        <v>5.0</v>
      </c>
      <c r="F16" s="7">
        <v>36.0</v>
      </c>
      <c r="G16" s="1">
        <v>6.0</v>
      </c>
      <c r="H16" s="8">
        <f t="shared" si="4"/>
        <v>1</v>
      </c>
      <c r="I16" s="7">
        <f t="shared" si="5"/>
        <v>-1</v>
      </c>
    </row>
    <row r="17">
      <c r="A17" s="1">
        <v>15.0</v>
      </c>
      <c r="B17" s="1" t="s">
        <v>59</v>
      </c>
      <c r="C17" s="1" t="s">
        <v>35</v>
      </c>
      <c r="D17" s="1" t="s">
        <v>60</v>
      </c>
      <c r="E17" s="1">
        <v>8.0</v>
      </c>
      <c r="F17" s="7">
        <v>36.0</v>
      </c>
      <c r="G17" s="1" t="s">
        <v>27</v>
      </c>
      <c r="H17" s="8"/>
    </row>
    <row r="18">
      <c r="A18" s="1">
        <v>16.0</v>
      </c>
      <c r="B18" s="1" t="s">
        <v>61</v>
      </c>
      <c r="C18" s="1" t="s">
        <v>38</v>
      </c>
      <c r="D18" s="1" t="s">
        <v>62</v>
      </c>
      <c r="E18" s="1">
        <v>6.0</v>
      </c>
      <c r="F18" s="7">
        <v>36.0</v>
      </c>
      <c r="G18" s="1">
        <v>6.0</v>
      </c>
      <c r="H18" s="8">
        <f>ABS(E18-G18)</f>
        <v>0</v>
      </c>
      <c r="I18" s="7">
        <f>E18-G18</f>
        <v>0</v>
      </c>
    </row>
    <row r="19">
      <c r="A19" s="1">
        <v>17.0</v>
      </c>
      <c r="B19" s="1" t="s">
        <v>63</v>
      </c>
      <c r="C19" s="1" t="s">
        <v>41</v>
      </c>
      <c r="D19" s="1" t="s">
        <v>64</v>
      </c>
      <c r="E19" s="1">
        <v>7.0</v>
      </c>
      <c r="F19" s="7">
        <v>36.0</v>
      </c>
      <c r="G19" s="1" t="s">
        <v>27</v>
      </c>
      <c r="H19" s="8"/>
    </row>
    <row r="20">
      <c r="A20" s="1">
        <v>18.0</v>
      </c>
      <c r="B20" s="1" t="s">
        <v>65</v>
      </c>
      <c r="C20" s="1" t="s">
        <v>44</v>
      </c>
      <c r="D20" s="1" t="s">
        <v>66</v>
      </c>
      <c r="E20" s="1">
        <v>2.0</v>
      </c>
      <c r="F20" s="7">
        <v>35.0</v>
      </c>
      <c r="G20" s="1">
        <v>5.0</v>
      </c>
      <c r="H20" s="8">
        <f t="shared" ref="H20:H22" si="6">ABS(E20-G20)</f>
        <v>3</v>
      </c>
      <c r="I20" s="7">
        <f t="shared" ref="I20:I22" si="7">E20-G20</f>
        <v>-3</v>
      </c>
    </row>
    <row r="21">
      <c r="A21" s="1">
        <v>19.0</v>
      </c>
      <c r="B21" s="1" t="s">
        <v>67</v>
      </c>
      <c r="C21" s="1" t="s">
        <v>47</v>
      </c>
      <c r="D21" s="1" t="s">
        <v>68</v>
      </c>
      <c r="E21" s="1">
        <v>6.0</v>
      </c>
      <c r="F21" s="7">
        <v>35.0</v>
      </c>
      <c r="G21" s="1">
        <v>7.0</v>
      </c>
      <c r="H21" s="8">
        <f t="shared" si="6"/>
        <v>1</v>
      </c>
      <c r="I21" s="7">
        <f t="shared" si="7"/>
        <v>-1</v>
      </c>
    </row>
    <row r="22">
      <c r="A22" s="1">
        <v>20.0</v>
      </c>
      <c r="B22" s="1" t="s">
        <v>69</v>
      </c>
      <c r="C22" s="1" t="s">
        <v>15</v>
      </c>
      <c r="D22" s="1" t="s">
        <v>70</v>
      </c>
      <c r="E22" s="1">
        <v>10.0</v>
      </c>
      <c r="F22" s="7">
        <v>36.0</v>
      </c>
      <c r="G22" s="1">
        <v>5.0</v>
      </c>
      <c r="H22" s="8">
        <f t="shared" si="6"/>
        <v>5</v>
      </c>
      <c r="I22" s="7">
        <f t="shared" si="7"/>
        <v>5</v>
      </c>
    </row>
    <row r="23">
      <c r="A23" s="1">
        <v>21.0</v>
      </c>
      <c r="B23" s="1" t="s">
        <v>71</v>
      </c>
      <c r="C23" s="1" t="s">
        <v>18</v>
      </c>
      <c r="D23" s="1" t="s">
        <v>72</v>
      </c>
      <c r="E23" s="1">
        <v>9.0</v>
      </c>
      <c r="F23" s="7">
        <v>36.0</v>
      </c>
      <c r="G23" s="1" t="s">
        <v>27</v>
      </c>
      <c r="H23" s="8"/>
    </row>
    <row r="24">
      <c r="A24" s="1">
        <v>22.0</v>
      </c>
      <c r="B24" s="1" t="s">
        <v>73</v>
      </c>
      <c r="C24" s="1" t="s">
        <v>25</v>
      </c>
      <c r="D24" s="1" t="s">
        <v>74</v>
      </c>
      <c r="E24" s="1">
        <v>6.0</v>
      </c>
      <c r="F24" s="7">
        <v>36.0</v>
      </c>
      <c r="G24" s="1" t="s">
        <v>27</v>
      </c>
      <c r="H24" s="8"/>
    </row>
    <row r="25">
      <c r="A25" s="1">
        <v>23.0</v>
      </c>
      <c r="B25" s="1" t="s">
        <v>75</v>
      </c>
      <c r="C25" s="1" t="s">
        <v>29</v>
      </c>
      <c r="D25" s="1" t="s">
        <v>76</v>
      </c>
      <c r="E25" s="1">
        <v>8.0</v>
      </c>
      <c r="F25" s="7">
        <v>36.0</v>
      </c>
      <c r="G25" s="1">
        <v>6.0</v>
      </c>
      <c r="H25" s="8">
        <f>ABS(E25-G25)</f>
        <v>2</v>
      </c>
      <c r="I25" s="7">
        <f>E25-G25</f>
        <v>2</v>
      </c>
    </row>
    <row r="26">
      <c r="A26" s="1">
        <v>24.0</v>
      </c>
      <c r="B26" s="1" t="s">
        <v>77</v>
      </c>
      <c r="C26" s="1" t="s">
        <v>32</v>
      </c>
      <c r="D26" s="1" t="s">
        <v>78</v>
      </c>
      <c r="E26" s="1">
        <v>7.0</v>
      </c>
      <c r="F26" s="7">
        <v>35.0</v>
      </c>
      <c r="G26" s="1" t="s">
        <v>27</v>
      </c>
      <c r="H26" s="8"/>
    </row>
    <row r="27">
      <c r="A27" s="1">
        <v>25.0</v>
      </c>
      <c r="B27" s="1" t="s">
        <v>79</v>
      </c>
      <c r="C27" s="1" t="s">
        <v>35</v>
      </c>
      <c r="D27" s="1" t="s">
        <v>80</v>
      </c>
      <c r="E27" s="1">
        <v>8.0</v>
      </c>
      <c r="F27" s="7">
        <v>36.0</v>
      </c>
      <c r="G27" s="1">
        <v>6.0</v>
      </c>
      <c r="H27" s="8">
        <f t="shared" ref="H27:H29" si="8">ABS(E27-G27)</f>
        <v>2</v>
      </c>
      <c r="I27" s="7">
        <f t="shared" ref="I27:I29" si="9">E27-G27</f>
        <v>2</v>
      </c>
    </row>
    <row r="28">
      <c r="A28" s="1">
        <v>26.0</v>
      </c>
      <c r="B28" s="1" t="s">
        <v>81</v>
      </c>
      <c r="C28" s="1" t="s">
        <v>38</v>
      </c>
      <c r="D28" s="1" t="s">
        <v>82</v>
      </c>
      <c r="E28" s="1">
        <v>6.0</v>
      </c>
      <c r="F28" s="7">
        <v>36.0</v>
      </c>
      <c r="G28" s="1">
        <v>6.0</v>
      </c>
      <c r="H28" s="8">
        <f t="shared" si="8"/>
        <v>0</v>
      </c>
      <c r="I28" s="7">
        <f t="shared" si="9"/>
        <v>0</v>
      </c>
    </row>
    <row r="29">
      <c r="A29" s="1">
        <v>27.0</v>
      </c>
      <c r="B29" s="1" t="s">
        <v>83</v>
      </c>
      <c r="C29" s="1" t="s">
        <v>44</v>
      </c>
      <c r="D29" s="1" t="s">
        <v>84</v>
      </c>
      <c r="E29" s="1">
        <v>5.0</v>
      </c>
      <c r="F29" s="7">
        <v>36.0</v>
      </c>
      <c r="G29" s="1">
        <v>6.0</v>
      </c>
      <c r="H29" s="8">
        <f t="shared" si="8"/>
        <v>1</v>
      </c>
      <c r="I29" s="7">
        <f t="shared" si="9"/>
        <v>-1</v>
      </c>
    </row>
    <row r="30">
      <c r="A30" s="1">
        <v>28.0</v>
      </c>
      <c r="B30" s="1" t="s">
        <v>85</v>
      </c>
      <c r="C30" s="1" t="s">
        <v>47</v>
      </c>
      <c r="D30" s="1" t="s">
        <v>86</v>
      </c>
      <c r="E30" s="1">
        <v>6.0</v>
      </c>
      <c r="F30" s="7">
        <v>35.0</v>
      </c>
      <c r="G30" s="1" t="s">
        <v>27</v>
      </c>
      <c r="H30" s="8"/>
    </row>
    <row r="31">
      <c r="A31" s="1">
        <v>29.0</v>
      </c>
      <c r="B31" s="1" t="s">
        <v>87</v>
      </c>
      <c r="C31" s="1" t="s">
        <v>15</v>
      </c>
      <c r="D31" s="1" t="s">
        <v>88</v>
      </c>
      <c r="E31" s="1">
        <v>10.0</v>
      </c>
      <c r="F31" s="7">
        <v>36.0</v>
      </c>
      <c r="G31" s="1" t="s">
        <v>27</v>
      </c>
      <c r="H31" s="8"/>
    </row>
    <row r="32">
      <c r="A32" s="1">
        <v>30.0</v>
      </c>
      <c r="B32" s="1" t="s">
        <v>89</v>
      </c>
      <c r="C32" s="1" t="s">
        <v>18</v>
      </c>
      <c r="D32" s="1" t="s">
        <v>90</v>
      </c>
      <c r="E32" s="1">
        <v>8.0</v>
      </c>
      <c r="F32" s="7">
        <v>35.0</v>
      </c>
      <c r="G32" s="1" t="s">
        <v>27</v>
      </c>
      <c r="H32" s="8"/>
    </row>
    <row r="33">
      <c r="A33" s="1">
        <v>31.0</v>
      </c>
      <c r="B33" s="1" t="s">
        <v>91</v>
      </c>
      <c r="C33" s="1" t="s">
        <v>25</v>
      </c>
      <c r="D33" s="1" t="s">
        <v>92</v>
      </c>
      <c r="E33" s="1">
        <v>6.0</v>
      </c>
      <c r="F33" s="7">
        <v>36.0</v>
      </c>
      <c r="G33" s="1" t="s">
        <v>27</v>
      </c>
      <c r="H33" s="8"/>
    </row>
    <row r="34">
      <c r="A34" s="1">
        <v>32.0</v>
      </c>
      <c r="B34" s="1" t="s">
        <v>93</v>
      </c>
      <c r="C34" s="1" t="s">
        <v>29</v>
      </c>
      <c r="D34" s="1" t="s">
        <v>94</v>
      </c>
      <c r="E34" s="1">
        <v>8.0</v>
      </c>
      <c r="F34" s="7">
        <v>35.0</v>
      </c>
      <c r="G34" s="1">
        <v>7.0</v>
      </c>
      <c r="H34" s="8">
        <f>ABS(E34-G34)</f>
        <v>1</v>
      </c>
      <c r="I34" s="7">
        <f>E34-G34</f>
        <v>1</v>
      </c>
    </row>
    <row r="35">
      <c r="A35" s="1">
        <v>33.0</v>
      </c>
      <c r="B35" s="1" t="s">
        <v>95</v>
      </c>
      <c r="C35" s="1" t="s">
        <v>32</v>
      </c>
      <c r="D35" s="1" t="s">
        <v>96</v>
      </c>
      <c r="E35" s="1">
        <v>9.0</v>
      </c>
      <c r="F35" s="7">
        <v>36.0</v>
      </c>
      <c r="G35" s="1" t="s">
        <v>27</v>
      </c>
      <c r="H35" s="8"/>
    </row>
    <row r="36">
      <c r="A36" s="1">
        <v>34.0</v>
      </c>
      <c r="B36" s="1" t="s">
        <v>97</v>
      </c>
      <c r="C36" s="1" t="s">
        <v>35</v>
      </c>
      <c r="D36" s="1" t="s">
        <v>98</v>
      </c>
      <c r="E36" s="1">
        <v>4.0</v>
      </c>
      <c r="F36" s="7">
        <v>35.0</v>
      </c>
      <c r="G36" s="1" t="s">
        <v>27</v>
      </c>
      <c r="H36" s="8"/>
    </row>
    <row r="37">
      <c r="A37" s="1">
        <v>35.0</v>
      </c>
      <c r="B37" s="1" t="s">
        <v>99</v>
      </c>
      <c r="C37" s="1" t="s">
        <v>38</v>
      </c>
      <c r="D37" s="1" t="s">
        <v>100</v>
      </c>
      <c r="E37" s="1">
        <v>6.0</v>
      </c>
      <c r="F37" s="7">
        <v>36.0</v>
      </c>
      <c r="G37" s="1" t="s">
        <v>27</v>
      </c>
      <c r="H37" s="8"/>
    </row>
    <row r="38">
      <c r="A38" s="1">
        <v>36.0</v>
      </c>
      <c r="B38" s="1" t="s">
        <v>101</v>
      </c>
      <c r="C38" s="1" t="s">
        <v>41</v>
      </c>
      <c r="D38" s="1" t="s">
        <v>102</v>
      </c>
      <c r="E38" s="1">
        <v>3.0</v>
      </c>
      <c r="F38" s="7">
        <v>34.0</v>
      </c>
      <c r="G38" s="1">
        <v>5.0</v>
      </c>
      <c r="H38" s="8">
        <f t="shared" ref="H38:H43" si="10">ABS(E38-G38)</f>
        <v>2</v>
      </c>
      <c r="I38" s="7">
        <f t="shared" ref="I38:I43" si="11">E38-G38</f>
        <v>-2</v>
      </c>
    </row>
    <row r="39">
      <c r="A39" s="1">
        <v>37.0</v>
      </c>
      <c r="B39" s="1" t="s">
        <v>103</v>
      </c>
      <c r="C39" s="1" t="s">
        <v>44</v>
      </c>
      <c r="D39" s="1" t="s">
        <v>104</v>
      </c>
      <c r="E39" s="1">
        <v>4.0</v>
      </c>
      <c r="F39" s="7">
        <v>35.0</v>
      </c>
      <c r="G39" s="1">
        <v>6.0</v>
      </c>
      <c r="H39" s="8">
        <f t="shared" si="10"/>
        <v>2</v>
      </c>
      <c r="I39" s="7">
        <f t="shared" si="11"/>
        <v>-2</v>
      </c>
    </row>
    <row r="40">
      <c r="A40" s="1">
        <v>38.0</v>
      </c>
      <c r="B40" s="1" t="s">
        <v>105</v>
      </c>
      <c r="C40" s="1" t="s">
        <v>47</v>
      </c>
      <c r="D40" s="1" t="s">
        <v>106</v>
      </c>
      <c r="E40" s="1">
        <v>7.0</v>
      </c>
      <c r="F40" s="7">
        <v>35.0</v>
      </c>
      <c r="G40" s="1">
        <v>4.0</v>
      </c>
      <c r="H40" s="8">
        <f t="shared" si="10"/>
        <v>3</v>
      </c>
      <c r="I40" s="7">
        <f t="shared" si="11"/>
        <v>3</v>
      </c>
    </row>
    <row r="41">
      <c r="A41" s="1">
        <v>39.0</v>
      </c>
      <c r="B41" s="1" t="s">
        <v>107</v>
      </c>
      <c r="C41" s="1" t="s">
        <v>15</v>
      </c>
      <c r="D41" s="1" t="s">
        <v>108</v>
      </c>
      <c r="E41" s="1">
        <v>9.0</v>
      </c>
      <c r="F41" s="7">
        <v>36.0</v>
      </c>
      <c r="G41" s="1">
        <v>6.0</v>
      </c>
      <c r="H41" s="8">
        <f t="shared" si="10"/>
        <v>3</v>
      </c>
      <c r="I41" s="7">
        <f t="shared" si="11"/>
        <v>3</v>
      </c>
    </row>
    <row r="42">
      <c r="A42" s="1">
        <v>40.0</v>
      </c>
      <c r="B42" s="1" t="s">
        <v>109</v>
      </c>
      <c r="C42" s="1" t="s">
        <v>18</v>
      </c>
      <c r="D42" s="1" t="s">
        <v>110</v>
      </c>
      <c r="E42" s="1">
        <v>6.0</v>
      </c>
      <c r="F42" s="7">
        <v>35.0</v>
      </c>
      <c r="G42" s="1">
        <v>5.0</v>
      </c>
      <c r="H42" s="8">
        <f t="shared" si="10"/>
        <v>1</v>
      </c>
      <c r="I42" s="7">
        <f t="shared" si="11"/>
        <v>1</v>
      </c>
    </row>
    <row r="43">
      <c r="A43" s="1">
        <v>41.0</v>
      </c>
      <c r="B43" s="1" t="s">
        <v>111</v>
      </c>
      <c r="C43" s="1" t="s">
        <v>25</v>
      </c>
      <c r="D43" s="1" t="s">
        <v>112</v>
      </c>
      <c r="E43" s="1">
        <v>3.0</v>
      </c>
      <c r="F43" s="7">
        <v>35.0</v>
      </c>
      <c r="G43" s="1">
        <v>4.0</v>
      </c>
      <c r="H43" s="8">
        <f t="shared" si="10"/>
        <v>1</v>
      </c>
      <c r="I43" s="7">
        <f t="shared" si="11"/>
        <v>-1</v>
      </c>
    </row>
    <row r="44">
      <c r="A44" s="1">
        <v>42.0</v>
      </c>
      <c r="B44" s="1" t="s">
        <v>113</v>
      </c>
      <c r="C44" s="1" t="s">
        <v>32</v>
      </c>
      <c r="D44" s="1" t="s">
        <v>114</v>
      </c>
      <c r="E44" s="1">
        <v>8.0</v>
      </c>
      <c r="F44" s="7">
        <v>35.0</v>
      </c>
      <c r="G44" s="1" t="s">
        <v>27</v>
      </c>
      <c r="H44" s="8"/>
    </row>
    <row r="45">
      <c r="A45" s="1">
        <v>43.0</v>
      </c>
      <c r="B45" s="1" t="s">
        <v>115</v>
      </c>
      <c r="C45" s="1" t="s">
        <v>35</v>
      </c>
      <c r="D45" s="1" t="s">
        <v>116</v>
      </c>
      <c r="E45" s="1">
        <v>5.0</v>
      </c>
      <c r="F45" s="7">
        <v>36.0</v>
      </c>
      <c r="G45" s="1" t="s">
        <v>27</v>
      </c>
      <c r="H45" s="8"/>
    </row>
    <row r="46">
      <c r="A46" s="1">
        <v>44.0</v>
      </c>
      <c r="B46" s="1" t="s">
        <v>117</v>
      </c>
      <c r="C46" s="1" t="s">
        <v>38</v>
      </c>
      <c r="D46" s="1" t="s">
        <v>118</v>
      </c>
      <c r="E46" s="1">
        <v>7.0</v>
      </c>
      <c r="F46" s="7">
        <v>37.0</v>
      </c>
      <c r="G46" s="1" t="s">
        <v>27</v>
      </c>
      <c r="H46" s="8"/>
    </row>
    <row r="47">
      <c r="A47" s="1">
        <v>45.0</v>
      </c>
      <c r="B47" s="1" t="s">
        <v>119</v>
      </c>
      <c r="C47" s="1" t="s">
        <v>41</v>
      </c>
      <c r="D47" s="1" t="s">
        <v>120</v>
      </c>
      <c r="E47" s="1">
        <v>6.0</v>
      </c>
      <c r="F47" s="7">
        <v>36.0</v>
      </c>
      <c r="G47" s="1" t="s">
        <v>27</v>
      </c>
      <c r="H47" s="8"/>
    </row>
    <row r="48">
      <c r="A48" s="1">
        <v>46.0</v>
      </c>
      <c r="B48" s="1" t="s">
        <v>121</v>
      </c>
      <c r="C48" s="1" t="s">
        <v>44</v>
      </c>
      <c r="D48" s="1" t="s">
        <v>122</v>
      </c>
      <c r="E48" s="1">
        <v>6.0</v>
      </c>
      <c r="F48" s="7">
        <v>35.0</v>
      </c>
      <c r="G48" s="1">
        <v>5.0</v>
      </c>
      <c r="H48" s="8">
        <f t="shared" ref="H48:H49" si="12">ABS(E48-G48)</f>
        <v>1</v>
      </c>
      <c r="I48" s="7">
        <f t="shared" ref="I48:I49" si="13">E48-G48</f>
        <v>1</v>
      </c>
    </row>
    <row r="49">
      <c r="A49" s="1">
        <v>47.0</v>
      </c>
      <c r="B49" s="1" t="s">
        <v>123</v>
      </c>
      <c r="C49" s="1" t="s">
        <v>47</v>
      </c>
      <c r="D49" s="1" t="s">
        <v>124</v>
      </c>
      <c r="E49" s="1">
        <v>6.0</v>
      </c>
      <c r="F49" s="7">
        <v>36.0</v>
      </c>
      <c r="G49" s="1">
        <v>5.0</v>
      </c>
      <c r="H49" s="8">
        <f t="shared" si="12"/>
        <v>1</v>
      </c>
      <c r="I49" s="7">
        <f t="shared" si="13"/>
        <v>1</v>
      </c>
    </row>
    <row r="50">
      <c r="A50" s="1">
        <v>48.0</v>
      </c>
      <c r="B50" s="1" t="s">
        <v>125</v>
      </c>
      <c r="C50" s="1" t="s">
        <v>15</v>
      </c>
      <c r="D50" s="1" t="s">
        <v>126</v>
      </c>
      <c r="E50" s="1">
        <v>10.0</v>
      </c>
      <c r="F50" s="7">
        <v>36.0</v>
      </c>
      <c r="G50" s="1" t="s">
        <v>27</v>
      </c>
      <c r="H50" s="8"/>
    </row>
    <row r="51">
      <c r="A51" s="1">
        <v>49.0</v>
      </c>
      <c r="B51" s="1" t="s">
        <v>127</v>
      </c>
      <c r="C51" s="1" t="s">
        <v>18</v>
      </c>
      <c r="D51" s="1" t="s">
        <v>128</v>
      </c>
      <c r="E51" s="1">
        <v>10.0</v>
      </c>
      <c r="F51" s="7">
        <v>36.0</v>
      </c>
      <c r="G51" s="1" t="s">
        <v>27</v>
      </c>
      <c r="H51" s="8"/>
    </row>
    <row r="52">
      <c r="A52" s="1">
        <v>50.0</v>
      </c>
      <c r="B52" s="1" t="s">
        <v>129</v>
      </c>
      <c r="C52" s="1" t="s">
        <v>25</v>
      </c>
      <c r="D52" s="1" t="s">
        <v>130</v>
      </c>
      <c r="E52" s="1">
        <v>9.0</v>
      </c>
      <c r="F52" s="7">
        <v>36.0</v>
      </c>
      <c r="G52" s="1">
        <v>7.0</v>
      </c>
      <c r="H52" s="8">
        <f t="shared" ref="H52:H53" si="14">ABS(E52-G52)</f>
        <v>2</v>
      </c>
      <c r="I52" s="7">
        <f t="shared" ref="I52:I53" si="15">E52-G52</f>
        <v>2</v>
      </c>
    </row>
    <row r="53">
      <c r="A53" s="1">
        <v>51.0</v>
      </c>
      <c r="B53" s="1" t="s">
        <v>131</v>
      </c>
      <c r="C53" s="1" t="s">
        <v>29</v>
      </c>
      <c r="D53" s="1" t="s">
        <v>132</v>
      </c>
      <c r="E53" s="1">
        <v>9.0</v>
      </c>
      <c r="F53" s="7">
        <v>35.0</v>
      </c>
      <c r="G53" s="1">
        <v>4.0</v>
      </c>
      <c r="H53" s="8">
        <f t="shared" si="14"/>
        <v>5</v>
      </c>
      <c r="I53" s="7">
        <f t="shared" si="15"/>
        <v>5</v>
      </c>
    </row>
    <row r="54">
      <c r="A54" s="1">
        <v>52.0</v>
      </c>
      <c r="B54" s="1" t="s">
        <v>133</v>
      </c>
      <c r="C54" s="1" t="s">
        <v>32</v>
      </c>
      <c r="D54" s="1" t="s">
        <v>134</v>
      </c>
      <c r="E54" s="1">
        <v>8.0</v>
      </c>
      <c r="F54" s="7">
        <v>35.0</v>
      </c>
      <c r="G54" s="1" t="s">
        <v>27</v>
      </c>
      <c r="H54" s="8"/>
    </row>
    <row r="55">
      <c r="A55" s="1">
        <v>53.0</v>
      </c>
      <c r="B55" s="1" t="s">
        <v>135</v>
      </c>
      <c r="C55" s="1" t="s">
        <v>35</v>
      </c>
      <c r="D55" s="1" t="s">
        <v>136</v>
      </c>
      <c r="E55" s="1">
        <v>8.0</v>
      </c>
      <c r="F55" s="7">
        <v>35.0</v>
      </c>
      <c r="G55" s="1" t="s">
        <v>27</v>
      </c>
      <c r="H55" s="8"/>
    </row>
    <row r="56">
      <c r="A56" s="1">
        <v>54.0</v>
      </c>
      <c r="B56" s="1" t="s">
        <v>137</v>
      </c>
      <c r="C56" s="1" t="s">
        <v>38</v>
      </c>
      <c r="D56" s="1" t="s">
        <v>138</v>
      </c>
      <c r="E56" s="1">
        <v>6.0</v>
      </c>
      <c r="F56" s="7">
        <v>37.0</v>
      </c>
      <c r="G56" s="1">
        <v>6.0</v>
      </c>
      <c r="H56" s="8">
        <f t="shared" ref="H56:H59" si="16">ABS(E56-G56)</f>
        <v>0</v>
      </c>
      <c r="I56" s="7">
        <f t="shared" ref="I56:I59" si="17">E56-G56</f>
        <v>0</v>
      </c>
    </row>
    <row r="57">
      <c r="A57" s="1">
        <v>55.0</v>
      </c>
      <c r="B57" s="1" t="s">
        <v>139</v>
      </c>
      <c r="C57" s="1" t="s">
        <v>41</v>
      </c>
      <c r="D57" s="1" t="s">
        <v>140</v>
      </c>
      <c r="E57" s="1">
        <v>5.0</v>
      </c>
      <c r="F57" s="7">
        <v>37.0</v>
      </c>
      <c r="G57" s="1">
        <v>6.0</v>
      </c>
      <c r="H57" s="8">
        <f t="shared" si="16"/>
        <v>1</v>
      </c>
      <c r="I57" s="7">
        <f t="shared" si="17"/>
        <v>-1</v>
      </c>
    </row>
    <row r="58">
      <c r="A58" s="1">
        <v>56.0</v>
      </c>
      <c r="B58" s="1" t="s">
        <v>141</v>
      </c>
      <c r="C58" s="1" t="s">
        <v>44</v>
      </c>
      <c r="D58" s="1" t="s">
        <v>142</v>
      </c>
      <c r="E58" s="1">
        <v>6.0</v>
      </c>
      <c r="F58" s="7">
        <v>37.0</v>
      </c>
      <c r="G58" s="1">
        <v>6.0</v>
      </c>
      <c r="H58" s="8">
        <f t="shared" si="16"/>
        <v>0</v>
      </c>
      <c r="I58" s="7">
        <f t="shared" si="17"/>
        <v>0</v>
      </c>
    </row>
    <row r="59">
      <c r="A59" s="1">
        <v>57.0</v>
      </c>
      <c r="B59" s="1" t="s">
        <v>143</v>
      </c>
      <c r="C59" s="1" t="s">
        <v>47</v>
      </c>
      <c r="D59" s="1" t="s">
        <v>144</v>
      </c>
      <c r="E59" s="1">
        <v>4.0</v>
      </c>
      <c r="F59" s="7">
        <v>37.0</v>
      </c>
      <c r="G59" s="1">
        <v>5.0</v>
      </c>
      <c r="H59" s="8">
        <f t="shared" si="16"/>
        <v>1</v>
      </c>
      <c r="I59" s="7">
        <f t="shared" si="17"/>
        <v>-1</v>
      </c>
    </row>
    <row r="60">
      <c r="A60" s="1">
        <v>58.0</v>
      </c>
      <c r="B60" s="1" t="s">
        <v>145</v>
      </c>
      <c r="C60" s="1" t="s">
        <v>15</v>
      </c>
      <c r="D60" s="1" t="s">
        <v>146</v>
      </c>
      <c r="E60" s="1">
        <v>5.0</v>
      </c>
      <c r="F60" s="7">
        <v>36.0</v>
      </c>
      <c r="G60" s="1" t="s">
        <v>27</v>
      </c>
      <c r="H60" s="8"/>
    </row>
    <row r="61">
      <c r="A61" s="1">
        <v>59.0</v>
      </c>
      <c r="B61" s="1" t="s">
        <v>147</v>
      </c>
      <c r="C61" s="1" t="s">
        <v>18</v>
      </c>
      <c r="D61" s="1" t="s">
        <v>148</v>
      </c>
      <c r="E61" s="1">
        <v>7.0</v>
      </c>
      <c r="F61" s="7">
        <v>35.0</v>
      </c>
      <c r="G61" s="1">
        <v>6.0</v>
      </c>
      <c r="H61" s="8">
        <f>ABS(E61-G61)</f>
        <v>1</v>
      </c>
      <c r="I61" s="7">
        <f>E61-G61</f>
        <v>1</v>
      </c>
    </row>
    <row r="62">
      <c r="A62" s="1">
        <v>60.0</v>
      </c>
      <c r="B62" s="1" t="s">
        <v>149</v>
      </c>
      <c r="C62" s="1" t="s">
        <v>25</v>
      </c>
      <c r="D62" s="1" t="s">
        <v>150</v>
      </c>
      <c r="E62" s="1">
        <v>6.0</v>
      </c>
      <c r="F62" s="7">
        <v>37.0</v>
      </c>
      <c r="G62" s="1" t="s">
        <v>27</v>
      </c>
      <c r="H62" s="8"/>
    </row>
    <row r="63">
      <c r="A63" s="1">
        <v>61.0</v>
      </c>
      <c r="B63" s="1" t="s">
        <v>151</v>
      </c>
      <c r="C63" s="1" t="s">
        <v>29</v>
      </c>
      <c r="D63" s="1" t="s">
        <v>152</v>
      </c>
      <c r="E63" s="1">
        <v>2.0</v>
      </c>
      <c r="F63" s="7">
        <v>36.0</v>
      </c>
      <c r="G63" s="1" t="s">
        <v>27</v>
      </c>
      <c r="H63" s="8"/>
    </row>
    <row r="64">
      <c r="A64" s="1">
        <v>62.0</v>
      </c>
      <c r="B64" s="1" t="s">
        <v>153</v>
      </c>
      <c r="C64" s="1" t="s">
        <v>32</v>
      </c>
      <c r="D64" s="1" t="s">
        <v>154</v>
      </c>
      <c r="E64" s="1">
        <v>7.0</v>
      </c>
      <c r="F64" s="7">
        <v>36.0</v>
      </c>
      <c r="G64" s="1" t="s">
        <v>27</v>
      </c>
      <c r="H64" s="8"/>
    </row>
    <row r="65">
      <c r="A65" s="1">
        <v>63.0</v>
      </c>
      <c r="B65" s="1" t="s">
        <v>155</v>
      </c>
      <c r="C65" s="1" t="s">
        <v>35</v>
      </c>
      <c r="D65" s="1" t="s">
        <v>156</v>
      </c>
      <c r="E65" s="1">
        <v>8.0</v>
      </c>
      <c r="F65" s="7">
        <v>36.0</v>
      </c>
      <c r="G65" s="1">
        <v>8.0</v>
      </c>
      <c r="H65" s="8">
        <f t="shared" ref="H65:H66" si="18">ABS(E65-G65)</f>
        <v>0</v>
      </c>
      <c r="I65" s="7">
        <f t="shared" ref="I65:I66" si="19">E65-G65</f>
        <v>0</v>
      </c>
    </row>
    <row r="66">
      <c r="A66" s="1">
        <v>64.0</v>
      </c>
      <c r="B66" s="1" t="s">
        <v>157</v>
      </c>
      <c r="C66" s="1" t="s">
        <v>38</v>
      </c>
      <c r="D66" s="1" t="s">
        <v>158</v>
      </c>
      <c r="E66" s="1">
        <v>5.0</v>
      </c>
      <c r="F66" s="7">
        <v>36.0</v>
      </c>
      <c r="G66" s="1">
        <v>5.0</v>
      </c>
      <c r="H66" s="8">
        <f t="shared" si="18"/>
        <v>0</v>
      </c>
      <c r="I66" s="7">
        <f t="shared" si="19"/>
        <v>0</v>
      </c>
    </row>
    <row r="67">
      <c r="A67" s="1">
        <v>65.0</v>
      </c>
      <c r="B67" s="1" t="s">
        <v>159</v>
      </c>
      <c r="C67" s="1" t="s">
        <v>41</v>
      </c>
      <c r="D67" s="1" t="s">
        <v>160</v>
      </c>
      <c r="E67" s="1">
        <v>4.0</v>
      </c>
      <c r="F67" s="7">
        <v>35.0</v>
      </c>
      <c r="G67" s="1" t="s">
        <v>27</v>
      </c>
      <c r="H67" s="8"/>
    </row>
    <row r="68">
      <c r="A68" s="1">
        <v>66.0</v>
      </c>
      <c r="B68" s="1" t="s">
        <v>161</v>
      </c>
      <c r="C68" s="1" t="s">
        <v>44</v>
      </c>
      <c r="D68" s="1" t="s">
        <v>162</v>
      </c>
      <c r="E68" s="1">
        <v>7.0</v>
      </c>
      <c r="F68" s="7">
        <v>36.0</v>
      </c>
      <c r="G68" s="1" t="s">
        <v>27</v>
      </c>
      <c r="H68" s="8"/>
    </row>
    <row r="69">
      <c r="A69" s="1">
        <v>67.0</v>
      </c>
      <c r="B69" s="1" t="s">
        <v>163</v>
      </c>
      <c r="C69" s="1" t="s">
        <v>47</v>
      </c>
      <c r="D69" s="1" t="s">
        <v>164</v>
      </c>
      <c r="E69" s="1">
        <v>6.0</v>
      </c>
      <c r="F69" s="7">
        <v>36.0</v>
      </c>
      <c r="G69" s="1">
        <v>6.0</v>
      </c>
      <c r="H69" s="8">
        <f t="shared" ref="H69:H71" si="20">ABS(E69-G69)</f>
        <v>0</v>
      </c>
      <c r="I69" s="7">
        <f t="shared" ref="I69:I71" si="21">E69-G69</f>
        <v>0</v>
      </c>
    </row>
    <row r="70">
      <c r="A70" s="1">
        <v>68.0</v>
      </c>
      <c r="B70" s="1" t="s">
        <v>165</v>
      </c>
      <c r="C70" s="1" t="s">
        <v>15</v>
      </c>
      <c r="D70" s="1" t="s">
        <v>166</v>
      </c>
      <c r="E70" s="1">
        <v>8.0</v>
      </c>
      <c r="F70" s="7">
        <v>37.0</v>
      </c>
      <c r="G70" s="1">
        <v>7.0</v>
      </c>
      <c r="H70" s="8">
        <f t="shared" si="20"/>
        <v>1</v>
      </c>
      <c r="I70" s="7">
        <f t="shared" si="21"/>
        <v>1</v>
      </c>
    </row>
    <row r="71">
      <c r="A71" s="1">
        <v>69.0</v>
      </c>
      <c r="B71" s="1" t="s">
        <v>167</v>
      </c>
      <c r="C71" s="1" t="s">
        <v>18</v>
      </c>
      <c r="D71" s="1" t="s">
        <v>168</v>
      </c>
      <c r="E71" s="1">
        <v>6.0</v>
      </c>
      <c r="F71" s="7">
        <v>36.0</v>
      </c>
      <c r="G71" s="1">
        <v>6.0</v>
      </c>
      <c r="H71" s="8">
        <f t="shared" si="20"/>
        <v>0</v>
      </c>
      <c r="I71" s="7">
        <f t="shared" si="21"/>
        <v>0</v>
      </c>
    </row>
    <row r="72">
      <c r="A72" s="1">
        <v>70.0</v>
      </c>
      <c r="B72" s="1" t="s">
        <v>169</v>
      </c>
      <c r="C72" s="1" t="s">
        <v>25</v>
      </c>
      <c r="D72" s="1" t="s">
        <v>170</v>
      </c>
      <c r="E72" s="1">
        <v>6.0</v>
      </c>
      <c r="F72" s="7">
        <v>35.0</v>
      </c>
      <c r="G72" s="1" t="s">
        <v>27</v>
      </c>
      <c r="H72" s="8"/>
    </row>
    <row r="73">
      <c r="A73" s="1">
        <v>71.0</v>
      </c>
      <c r="B73" s="1" t="s">
        <v>171</v>
      </c>
      <c r="C73" s="1" t="s">
        <v>29</v>
      </c>
      <c r="D73" s="1" t="s">
        <v>172</v>
      </c>
      <c r="E73" s="1">
        <v>5.0</v>
      </c>
      <c r="F73" s="7">
        <v>36.0</v>
      </c>
      <c r="G73" s="1">
        <v>4.0</v>
      </c>
      <c r="H73" s="8">
        <f t="shared" ref="H73:H74" si="22">ABS(E73-G73)</f>
        <v>1</v>
      </c>
      <c r="I73" s="7">
        <f t="shared" ref="I73:I74" si="23">E73-G73</f>
        <v>1</v>
      </c>
    </row>
    <row r="74">
      <c r="A74" s="1">
        <v>72.0</v>
      </c>
      <c r="B74" s="1" t="s">
        <v>173</v>
      </c>
      <c r="C74" s="1" t="s">
        <v>32</v>
      </c>
      <c r="D74" s="1" t="s">
        <v>174</v>
      </c>
      <c r="E74" s="1">
        <v>7.0</v>
      </c>
      <c r="F74" s="7">
        <v>37.0</v>
      </c>
      <c r="G74" s="1">
        <v>6.0</v>
      </c>
      <c r="H74" s="8">
        <f t="shared" si="22"/>
        <v>1</v>
      </c>
      <c r="I74" s="7">
        <f t="shared" si="23"/>
        <v>1</v>
      </c>
    </row>
    <row r="75">
      <c r="A75" s="1">
        <v>73.0</v>
      </c>
      <c r="B75" s="1" t="s">
        <v>175</v>
      </c>
      <c r="C75" s="1" t="s">
        <v>35</v>
      </c>
      <c r="D75" s="1" t="s">
        <v>176</v>
      </c>
      <c r="E75" s="1">
        <v>5.0</v>
      </c>
      <c r="F75" s="7">
        <v>36.0</v>
      </c>
      <c r="G75" s="1" t="s">
        <v>27</v>
      </c>
      <c r="H75" s="8"/>
    </row>
    <row r="76">
      <c r="A76" s="1">
        <v>74.0</v>
      </c>
      <c r="B76" s="1" t="s">
        <v>177</v>
      </c>
      <c r="C76" s="1" t="s">
        <v>38</v>
      </c>
      <c r="D76" s="1" t="s">
        <v>178</v>
      </c>
      <c r="E76" s="1">
        <v>4.0</v>
      </c>
      <c r="F76" s="7">
        <v>35.0</v>
      </c>
      <c r="G76" s="1">
        <v>6.0</v>
      </c>
      <c r="H76" s="8">
        <f>ABS(E76-G76)</f>
        <v>2</v>
      </c>
      <c r="I76" s="7">
        <f>E76-G76</f>
        <v>-2</v>
      </c>
    </row>
    <row r="77">
      <c r="A77" s="1">
        <v>75.0</v>
      </c>
      <c r="B77" s="1" t="s">
        <v>179</v>
      </c>
      <c r="C77" s="1" t="s">
        <v>41</v>
      </c>
      <c r="D77" s="1" t="s">
        <v>180</v>
      </c>
      <c r="E77" s="1">
        <v>5.0</v>
      </c>
      <c r="F77" s="7">
        <v>35.0</v>
      </c>
      <c r="G77" s="1" t="s">
        <v>27</v>
      </c>
      <c r="H77" s="8"/>
    </row>
    <row r="78">
      <c r="A78" s="1">
        <v>76.0</v>
      </c>
      <c r="B78" s="1" t="s">
        <v>181</v>
      </c>
      <c r="C78" s="1" t="s">
        <v>44</v>
      </c>
      <c r="D78" s="1" t="s">
        <v>182</v>
      </c>
      <c r="E78" s="1">
        <v>5.0</v>
      </c>
      <c r="F78" s="7">
        <v>36.0</v>
      </c>
      <c r="G78" s="1" t="s">
        <v>27</v>
      </c>
      <c r="H78" s="8"/>
    </row>
    <row r="79">
      <c r="A79" s="1">
        <v>77.0</v>
      </c>
      <c r="B79" s="1" t="s">
        <v>183</v>
      </c>
      <c r="C79" s="1" t="s">
        <v>47</v>
      </c>
      <c r="D79" s="1" t="s">
        <v>184</v>
      </c>
      <c r="E79" s="1">
        <v>5.0</v>
      </c>
      <c r="F79" s="7">
        <v>36.0</v>
      </c>
      <c r="G79" s="1" t="s">
        <v>27</v>
      </c>
      <c r="H79" s="8"/>
    </row>
    <row r="80">
      <c r="A80" s="1">
        <v>78.0</v>
      </c>
      <c r="B80" s="1" t="s">
        <v>185</v>
      </c>
      <c r="C80" s="1" t="s">
        <v>15</v>
      </c>
      <c r="D80" s="1" t="s">
        <v>186</v>
      </c>
      <c r="E80" s="1">
        <v>10.0</v>
      </c>
      <c r="F80" s="7">
        <v>37.0</v>
      </c>
      <c r="G80" s="1">
        <v>7.0</v>
      </c>
      <c r="H80" s="8">
        <f>ABS(E80-G80)</f>
        <v>3</v>
      </c>
      <c r="I80" s="7">
        <f>E80-G80</f>
        <v>3</v>
      </c>
    </row>
    <row r="81">
      <c r="A81" s="1">
        <v>79.0</v>
      </c>
      <c r="B81" s="1" t="s">
        <v>187</v>
      </c>
      <c r="C81" s="1" t="s">
        <v>18</v>
      </c>
      <c r="D81" s="1" t="s">
        <v>188</v>
      </c>
      <c r="E81" s="1">
        <v>4.0</v>
      </c>
      <c r="F81" s="7">
        <v>36.0</v>
      </c>
      <c r="G81" s="1" t="s">
        <v>27</v>
      </c>
      <c r="H81" s="8"/>
    </row>
    <row r="82">
      <c r="A82" s="1">
        <v>80.0</v>
      </c>
      <c r="B82" s="1" t="s">
        <v>189</v>
      </c>
      <c r="C82" s="1" t="s">
        <v>25</v>
      </c>
      <c r="D82" s="1" t="s">
        <v>190</v>
      </c>
      <c r="E82" s="1">
        <v>3.0</v>
      </c>
      <c r="F82" s="7">
        <v>35.0</v>
      </c>
      <c r="G82" s="1">
        <v>6.0</v>
      </c>
      <c r="H82" s="8">
        <f>ABS(E82-G82)</f>
        <v>3</v>
      </c>
      <c r="I82" s="7">
        <f>E82-G82</f>
        <v>-3</v>
      </c>
    </row>
    <row r="83">
      <c r="A83" s="1">
        <v>81.0</v>
      </c>
      <c r="B83" s="1" t="s">
        <v>191</v>
      </c>
      <c r="C83" s="1" t="s">
        <v>29</v>
      </c>
      <c r="D83" s="1" t="s">
        <v>192</v>
      </c>
      <c r="E83" s="1">
        <v>9.0</v>
      </c>
      <c r="F83" s="7">
        <v>35.0</v>
      </c>
      <c r="G83" s="1" t="s">
        <v>27</v>
      </c>
      <c r="H83" s="8"/>
    </row>
    <row r="84">
      <c r="A84" s="1">
        <v>82.0</v>
      </c>
      <c r="B84" s="1" t="s">
        <v>193</v>
      </c>
      <c r="C84" s="1" t="s">
        <v>32</v>
      </c>
      <c r="D84" s="1" t="s">
        <v>194</v>
      </c>
      <c r="E84" s="1">
        <v>9.0</v>
      </c>
      <c r="F84" s="7">
        <v>36.0</v>
      </c>
      <c r="G84" s="1" t="s">
        <v>27</v>
      </c>
      <c r="H84" s="8"/>
    </row>
    <row r="85">
      <c r="A85" s="1">
        <v>83.0</v>
      </c>
      <c r="B85" s="1" t="s">
        <v>195</v>
      </c>
      <c r="C85" s="1" t="s">
        <v>35</v>
      </c>
      <c r="D85" s="1" t="s">
        <v>196</v>
      </c>
      <c r="E85" s="1">
        <v>4.0</v>
      </c>
      <c r="F85" s="7">
        <v>36.0</v>
      </c>
      <c r="G85" s="1" t="s">
        <v>27</v>
      </c>
      <c r="H85" s="8"/>
    </row>
    <row r="86">
      <c r="A86" s="1">
        <v>84.0</v>
      </c>
      <c r="B86" s="1" t="s">
        <v>197</v>
      </c>
      <c r="C86" s="1" t="s">
        <v>38</v>
      </c>
      <c r="D86" s="1" t="s">
        <v>198</v>
      </c>
      <c r="E86" s="1">
        <v>6.0</v>
      </c>
      <c r="F86" s="7">
        <v>36.0</v>
      </c>
      <c r="G86" s="1">
        <v>6.0</v>
      </c>
      <c r="H86" s="8">
        <f>ABS(E86-G86)</f>
        <v>0</v>
      </c>
      <c r="I86" s="7">
        <f>E86-G86</f>
        <v>0</v>
      </c>
    </row>
    <row r="87">
      <c r="A87" s="1">
        <v>85.0</v>
      </c>
      <c r="B87" s="1" t="s">
        <v>199</v>
      </c>
      <c r="C87" s="1" t="s">
        <v>41</v>
      </c>
      <c r="D87" s="1" t="s">
        <v>200</v>
      </c>
      <c r="E87" s="1">
        <v>4.0</v>
      </c>
      <c r="F87" s="7">
        <v>35.0</v>
      </c>
      <c r="G87" s="1" t="s">
        <v>27</v>
      </c>
      <c r="H87" s="8"/>
    </row>
    <row r="88">
      <c r="A88" s="1">
        <v>86.0</v>
      </c>
      <c r="B88" s="1" t="s">
        <v>201</v>
      </c>
      <c r="C88" s="1" t="s">
        <v>44</v>
      </c>
      <c r="D88" s="1" t="s">
        <v>202</v>
      </c>
      <c r="E88" s="1">
        <v>7.0</v>
      </c>
      <c r="F88" s="7">
        <v>35.0</v>
      </c>
      <c r="G88" s="1" t="s">
        <v>27</v>
      </c>
      <c r="H88" s="8"/>
    </row>
    <row r="89">
      <c r="A89" s="1">
        <v>87.0</v>
      </c>
      <c r="B89" s="1" t="s">
        <v>203</v>
      </c>
      <c r="C89" s="1" t="s">
        <v>47</v>
      </c>
      <c r="D89" s="1" t="s">
        <v>204</v>
      </c>
      <c r="E89" s="1">
        <v>6.0</v>
      </c>
      <c r="F89" s="7">
        <v>35.0</v>
      </c>
      <c r="G89" s="1">
        <v>5.0</v>
      </c>
      <c r="H89" s="8">
        <f>ABS(E89-G89)</f>
        <v>1</v>
      </c>
      <c r="I89" s="7">
        <f>E89-G89</f>
        <v>1</v>
      </c>
    </row>
    <row r="90">
      <c r="A90" s="1">
        <v>88.0</v>
      </c>
      <c r="B90" s="1" t="s">
        <v>205</v>
      </c>
      <c r="C90" s="1" t="s">
        <v>15</v>
      </c>
      <c r="D90" s="1" t="s">
        <v>206</v>
      </c>
      <c r="E90" s="1">
        <v>9.0</v>
      </c>
      <c r="F90" s="7">
        <v>36.0</v>
      </c>
      <c r="G90" s="1" t="s">
        <v>27</v>
      </c>
      <c r="H90" s="8"/>
    </row>
    <row r="91">
      <c r="A91" s="1">
        <v>89.0</v>
      </c>
      <c r="B91" s="1" t="s">
        <v>207</v>
      </c>
      <c r="C91" s="1" t="s">
        <v>18</v>
      </c>
      <c r="D91" s="1" t="s">
        <v>208</v>
      </c>
      <c r="E91" s="1">
        <v>10.0</v>
      </c>
      <c r="F91" s="7">
        <v>36.0</v>
      </c>
      <c r="G91" s="1" t="s">
        <v>27</v>
      </c>
      <c r="H91" s="8"/>
    </row>
    <row r="92">
      <c r="A92" s="1">
        <v>90.0</v>
      </c>
      <c r="B92" s="1" t="s">
        <v>209</v>
      </c>
      <c r="C92" s="1" t="s">
        <v>25</v>
      </c>
      <c r="D92" s="1" t="s">
        <v>210</v>
      </c>
      <c r="E92" s="1">
        <v>8.0</v>
      </c>
      <c r="F92" s="7">
        <v>35.0</v>
      </c>
      <c r="G92" s="1" t="s">
        <v>27</v>
      </c>
      <c r="H92" s="8"/>
    </row>
    <row r="93">
      <c r="A93" s="1">
        <v>91.0</v>
      </c>
      <c r="B93" s="1" t="s">
        <v>211</v>
      </c>
      <c r="C93" s="1" t="s">
        <v>29</v>
      </c>
      <c r="D93" s="1" t="s">
        <v>212</v>
      </c>
      <c r="E93" s="1">
        <v>9.0</v>
      </c>
      <c r="F93" s="7">
        <v>35.0</v>
      </c>
      <c r="G93" s="1">
        <v>6.0</v>
      </c>
      <c r="H93" s="8">
        <f>ABS(E93-G93)</f>
        <v>3</v>
      </c>
      <c r="I93" s="7">
        <f>E93-G93</f>
        <v>3</v>
      </c>
    </row>
    <row r="94">
      <c r="A94" s="1">
        <v>92.0</v>
      </c>
      <c r="B94" s="1" t="s">
        <v>213</v>
      </c>
      <c r="C94" s="1" t="s">
        <v>32</v>
      </c>
      <c r="D94" s="1" t="s">
        <v>214</v>
      </c>
      <c r="E94" s="1">
        <v>9.0</v>
      </c>
      <c r="F94" s="7">
        <v>37.0</v>
      </c>
      <c r="G94" s="1" t="s">
        <v>27</v>
      </c>
      <c r="H94" s="8"/>
    </row>
    <row r="95">
      <c r="A95" s="1">
        <v>93.0</v>
      </c>
      <c r="B95" s="1" t="s">
        <v>215</v>
      </c>
      <c r="C95" s="1" t="s">
        <v>35</v>
      </c>
      <c r="D95" s="1" t="s">
        <v>216</v>
      </c>
      <c r="E95" s="1">
        <v>8.0</v>
      </c>
      <c r="F95" s="7">
        <v>36.0</v>
      </c>
      <c r="G95" s="1">
        <v>6.0</v>
      </c>
      <c r="H95" s="8">
        <f t="shared" ref="H95:H96" si="24">ABS(E95-G95)</f>
        <v>2</v>
      </c>
      <c r="I95" s="7">
        <f t="shared" ref="I95:I96" si="25">E95-G95</f>
        <v>2</v>
      </c>
    </row>
    <row r="96">
      <c r="A96" s="1">
        <v>94.0</v>
      </c>
      <c r="B96" s="1" t="s">
        <v>217</v>
      </c>
      <c r="C96" s="1" t="s">
        <v>38</v>
      </c>
      <c r="D96" s="1" t="s">
        <v>218</v>
      </c>
      <c r="E96" s="1">
        <v>6.0</v>
      </c>
      <c r="F96" s="7">
        <v>36.0</v>
      </c>
      <c r="G96" s="1">
        <v>4.0</v>
      </c>
      <c r="H96" s="8">
        <f t="shared" si="24"/>
        <v>2</v>
      </c>
      <c r="I96" s="7">
        <f t="shared" si="25"/>
        <v>2</v>
      </c>
    </row>
    <row r="97">
      <c r="A97" s="1">
        <v>95.0</v>
      </c>
      <c r="B97" s="1" t="s">
        <v>219</v>
      </c>
      <c r="C97" s="1" t="s">
        <v>41</v>
      </c>
      <c r="D97" s="1" t="s">
        <v>220</v>
      </c>
      <c r="E97" s="1">
        <v>3.0</v>
      </c>
      <c r="F97" s="7">
        <v>35.0</v>
      </c>
      <c r="G97" s="1" t="s">
        <v>27</v>
      </c>
      <c r="H97" s="8"/>
    </row>
    <row r="98">
      <c r="A98" s="1">
        <v>96.0</v>
      </c>
      <c r="B98" s="1" t="s">
        <v>221</v>
      </c>
      <c r="C98" s="1" t="s">
        <v>44</v>
      </c>
      <c r="D98" s="1" t="s">
        <v>222</v>
      </c>
      <c r="E98" s="1">
        <v>6.0</v>
      </c>
      <c r="F98" s="7">
        <v>35.0</v>
      </c>
      <c r="G98" s="1">
        <v>6.0</v>
      </c>
      <c r="H98" s="8">
        <f t="shared" ref="H98:H99" si="26">ABS(E98-G98)</f>
        <v>0</v>
      </c>
      <c r="I98" s="7">
        <f t="shared" ref="I98:I99" si="27">E98-G98</f>
        <v>0</v>
      </c>
    </row>
    <row r="99">
      <c r="A99" s="1">
        <v>97.0</v>
      </c>
      <c r="B99" s="1" t="s">
        <v>223</v>
      </c>
      <c r="C99" s="1" t="s">
        <v>47</v>
      </c>
      <c r="D99" s="1" t="s">
        <v>224</v>
      </c>
      <c r="E99" s="1">
        <v>2.0</v>
      </c>
      <c r="F99" s="7">
        <v>35.0</v>
      </c>
      <c r="G99" s="1">
        <v>6.0</v>
      </c>
      <c r="H99" s="8">
        <f t="shared" si="26"/>
        <v>4</v>
      </c>
      <c r="I99" s="7">
        <f t="shared" si="27"/>
        <v>-4</v>
      </c>
    </row>
    <row r="100">
      <c r="A100" s="1">
        <v>98.0</v>
      </c>
      <c r="B100" s="1" t="s">
        <v>225</v>
      </c>
      <c r="C100" s="1" t="s">
        <v>15</v>
      </c>
      <c r="D100" s="1" t="s">
        <v>226</v>
      </c>
      <c r="E100" s="1">
        <v>7.0</v>
      </c>
      <c r="F100" s="7">
        <v>36.0</v>
      </c>
      <c r="G100" s="1" t="s">
        <v>27</v>
      </c>
      <c r="H100" s="8"/>
    </row>
    <row r="101">
      <c r="A101" s="1">
        <v>99.0</v>
      </c>
      <c r="B101" s="1" t="s">
        <v>227</v>
      </c>
      <c r="C101" s="1" t="s">
        <v>18</v>
      </c>
      <c r="D101" s="1" t="s">
        <v>228</v>
      </c>
      <c r="E101" s="1">
        <v>6.0</v>
      </c>
      <c r="F101" s="7">
        <v>36.0</v>
      </c>
      <c r="G101" s="1" t="s">
        <v>27</v>
      </c>
      <c r="H101" s="8"/>
    </row>
    <row r="102">
      <c r="F102" s="7">
        <f>AVERAGE(F2:F101)</f>
        <v>36.33</v>
      </c>
      <c r="H102" s="8">
        <f>ABS(E102-G102)</f>
        <v>0</v>
      </c>
      <c r="I102" s="7">
        <f>E102-G102</f>
        <v>0</v>
      </c>
    </row>
    <row r="103">
      <c r="H103" s="8"/>
    </row>
    <row r="104">
      <c r="H104" s="8"/>
    </row>
    <row r="105">
      <c r="H105" s="8"/>
    </row>
    <row r="106">
      <c r="H106" s="8"/>
    </row>
    <row r="107">
      <c r="H107" s="8"/>
    </row>
    <row r="108">
      <c r="H108" s="8"/>
    </row>
    <row r="109">
      <c r="H109" s="8"/>
    </row>
    <row r="110">
      <c r="H110" s="8"/>
    </row>
    <row r="111">
      <c r="H111" s="8"/>
    </row>
    <row r="112">
      <c r="H112" s="8"/>
    </row>
    <row r="113">
      <c r="H113" s="8"/>
    </row>
    <row r="114">
      <c r="H114" s="8"/>
    </row>
    <row r="115">
      <c r="H115" s="8"/>
    </row>
    <row r="116">
      <c r="H116" s="8"/>
    </row>
    <row r="117">
      <c r="H117" s="8"/>
    </row>
    <row r="118">
      <c r="H118" s="8"/>
    </row>
    <row r="119">
      <c r="H119" s="8"/>
    </row>
    <row r="120">
      <c r="H120" s="8"/>
    </row>
    <row r="121">
      <c r="H121" s="8"/>
    </row>
    <row r="122">
      <c r="H122" s="8"/>
    </row>
    <row r="123">
      <c r="H123" s="8"/>
    </row>
    <row r="124">
      <c r="H124" s="8"/>
    </row>
    <row r="125">
      <c r="H125" s="8"/>
    </row>
    <row r="126">
      <c r="H126" s="8"/>
    </row>
    <row r="127">
      <c r="H127" s="8"/>
    </row>
    <row r="128">
      <c r="H128" s="8"/>
    </row>
    <row r="129">
      <c r="H129" s="8"/>
    </row>
    <row r="130">
      <c r="H130" s="8"/>
    </row>
    <row r="131">
      <c r="H131" s="8"/>
    </row>
    <row r="132">
      <c r="H132" s="8"/>
    </row>
    <row r="133">
      <c r="H133" s="8"/>
    </row>
    <row r="134">
      <c r="H134" s="8"/>
    </row>
    <row r="135">
      <c r="H135" s="8"/>
    </row>
    <row r="136">
      <c r="H136" s="8"/>
    </row>
    <row r="137">
      <c r="H137" s="8"/>
    </row>
    <row r="138">
      <c r="H138" s="8"/>
    </row>
    <row r="139">
      <c r="H139" s="8"/>
    </row>
    <row r="140">
      <c r="H140" s="8"/>
    </row>
    <row r="141">
      <c r="H141" s="8"/>
    </row>
    <row r="142">
      <c r="H142" s="8"/>
    </row>
    <row r="143">
      <c r="H143" s="8"/>
    </row>
    <row r="144">
      <c r="H144" s="8"/>
    </row>
    <row r="145">
      <c r="H145" s="8"/>
    </row>
    <row r="146">
      <c r="H146" s="8"/>
    </row>
    <row r="147">
      <c r="H147" s="8"/>
    </row>
    <row r="148">
      <c r="H148" s="8"/>
    </row>
    <row r="149">
      <c r="H149" s="8"/>
    </row>
    <row r="150">
      <c r="H150" s="8"/>
    </row>
    <row r="151">
      <c r="H151" s="8"/>
    </row>
    <row r="152">
      <c r="H152" s="8"/>
    </row>
    <row r="153">
      <c r="H153" s="8"/>
    </row>
    <row r="154">
      <c r="H154" s="8"/>
    </row>
    <row r="155">
      <c r="H155" s="8"/>
    </row>
    <row r="156">
      <c r="H156" s="8"/>
    </row>
    <row r="157">
      <c r="H157" s="8"/>
    </row>
    <row r="158">
      <c r="H158" s="8"/>
    </row>
    <row r="159">
      <c r="H159" s="8"/>
    </row>
    <row r="160">
      <c r="H160" s="8"/>
    </row>
    <row r="161">
      <c r="H161" s="8"/>
    </row>
    <row r="162">
      <c r="H162" s="8"/>
    </row>
    <row r="163">
      <c r="H163" s="8"/>
    </row>
    <row r="164">
      <c r="H164" s="8"/>
    </row>
    <row r="165">
      <c r="H165" s="8"/>
    </row>
    <row r="166">
      <c r="H166" s="8"/>
    </row>
    <row r="167">
      <c r="H167" s="8"/>
    </row>
    <row r="168">
      <c r="H168" s="8"/>
    </row>
    <row r="169">
      <c r="H169" s="8"/>
    </row>
    <row r="170">
      <c r="H170" s="8"/>
    </row>
    <row r="171">
      <c r="H171" s="8"/>
    </row>
    <row r="172">
      <c r="H172" s="8"/>
    </row>
    <row r="173">
      <c r="H173" s="8"/>
    </row>
    <row r="174">
      <c r="H174" s="8"/>
    </row>
    <row r="175">
      <c r="H175" s="8"/>
    </row>
    <row r="176">
      <c r="H176" s="8"/>
    </row>
    <row r="177">
      <c r="H177" s="8"/>
    </row>
    <row r="178">
      <c r="H178" s="8"/>
    </row>
    <row r="179">
      <c r="H179" s="8"/>
    </row>
    <row r="180">
      <c r="H180" s="8"/>
    </row>
    <row r="181">
      <c r="H181" s="8"/>
    </row>
    <row r="182">
      <c r="H182" s="8"/>
    </row>
    <row r="183">
      <c r="H183" s="8"/>
    </row>
    <row r="184">
      <c r="H184" s="8"/>
    </row>
    <row r="185">
      <c r="H185" s="8"/>
    </row>
    <row r="186">
      <c r="H186" s="8"/>
    </row>
    <row r="187">
      <c r="H187" s="8"/>
    </row>
    <row r="188">
      <c r="H188" s="8"/>
    </row>
    <row r="189">
      <c r="H189" s="8"/>
    </row>
    <row r="190">
      <c r="H190" s="8"/>
    </row>
    <row r="191">
      <c r="H191" s="8"/>
    </row>
    <row r="192">
      <c r="H192" s="8"/>
    </row>
    <row r="193">
      <c r="H193" s="8"/>
    </row>
    <row r="194">
      <c r="H194" s="8"/>
    </row>
    <row r="195">
      <c r="H195" s="8"/>
    </row>
    <row r="196">
      <c r="H196" s="8"/>
    </row>
    <row r="197">
      <c r="H197" s="8"/>
    </row>
    <row r="198">
      <c r="H198" s="8"/>
    </row>
    <row r="199">
      <c r="H199" s="8"/>
    </row>
    <row r="200">
      <c r="H200" s="8"/>
    </row>
    <row r="201">
      <c r="H201" s="8"/>
    </row>
    <row r="202">
      <c r="H202" s="8"/>
    </row>
    <row r="203">
      <c r="H203" s="8"/>
    </row>
    <row r="204">
      <c r="H204" s="8"/>
    </row>
    <row r="205">
      <c r="H205" s="8"/>
    </row>
    <row r="206">
      <c r="H206" s="8"/>
    </row>
    <row r="207">
      <c r="H207" s="8"/>
    </row>
    <row r="208">
      <c r="H208" s="8"/>
    </row>
    <row r="209">
      <c r="H209" s="8"/>
    </row>
    <row r="210">
      <c r="H210" s="8"/>
    </row>
    <row r="211">
      <c r="H211" s="8"/>
    </row>
    <row r="212">
      <c r="H212" s="8"/>
    </row>
    <row r="213">
      <c r="H213" s="8"/>
    </row>
    <row r="214">
      <c r="H214" s="8"/>
    </row>
    <row r="215">
      <c r="H215" s="8"/>
    </row>
    <row r="216">
      <c r="H216" s="8"/>
    </row>
    <row r="217">
      <c r="H217" s="8"/>
    </row>
    <row r="218">
      <c r="H218" s="8"/>
    </row>
    <row r="219">
      <c r="H219" s="8"/>
    </row>
    <row r="220">
      <c r="H220" s="8"/>
    </row>
    <row r="221">
      <c r="H221" s="8"/>
    </row>
    <row r="222">
      <c r="H222" s="8"/>
    </row>
    <row r="223">
      <c r="H223" s="8"/>
    </row>
    <row r="224">
      <c r="H224" s="8"/>
    </row>
    <row r="225">
      <c r="H225" s="8"/>
    </row>
    <row r="226">
      <c r="H226" s="8"/>
    </row>
    <row r="227">
      <c r="H227" s="8"/>
    </row>
    <row r="228">
      <c r="H228" s="8"/>
    </row>
    <row r="229">
      <c r="H229" s="8"/>
    </row>
    <row r="230">
      <c r="H230" s="8"/>
    </row>
    <row r="231">
      <c r="H231" s="8"/>
    </row>
    <row r="232">
      <c r="H232" s="8"/>
    </row>
    <row r="233">
      <c r="H233" s="8"/>
    </row>
    <row r="234">
      <c r="H234" s="8"/>
    </row>
    <row r="235">
      <c r="H235" s="8"/>
    </row>
    <row r="236">
      <c r="H236" s="8"/>
    </row>
    <row r="237">
      <c r="H237" s="8"/>
    </row>
    <row r="238">
      <c r="H238" s="8"/>
    </row>
    <row r="239">
      <c r="H239" s="8"/>
    </row>
    <row r="240">
      <c r="H240" s="8"/>
    </row>
    <row r="241">
      <c r="H241" s="8"/>
    </row>
    <row r="242">
      <c r="H242" s="8"/>
    </row>
    <row r="243">
      <c r="H243" s="8"/>
    </row>
    <row r="244">
      <c r="H244" s="8"/>
    </row>
    <row r="245">
      <c r="H245" s="8"/>
    </row>
    <row r="246">
      <c r="H246" s="8"/>
    </row>
    <row r="247">
      <c r="H247" s="8"/>
    </row>
    <row r="248">
      <c r="H248" s="8"/>
    </row>
    <row r="249">
      <c r="H249" s="8"/>
    </row>
    <row r="250">
      <c r="H250" s="8"/>
    </row>
    <row r="251">
      <c r="H251" s="8"/>
    </row>
    <row r="252">
      <c r="H252" s="8"/>
    </row>
    <row r="253">
      <c r="H253" s="8"/>
    </row>
    <row r="254">
      <c r="H254" s="8"/>
    </row>
    <row r="255">
      <c r="H255" s="8"/>
    </row>
    <row r="256">
      <c r="H256" s="8"/>
    </row>
    <row r="257">
      <c r="H257" s="8"/>
    </row>
    <row r="258">
      <c r="H258" s="8"/>
    </row>
    <row r="259">
      <c r="H259" s="8"/>
    </row>
    <row r="260">
      <c r="H260" s="8"/>
    </row>
    <row r="261">
      <c r="H261" s="8"/>
    </row>
    <row r="262">
      <c r="H262" s="8"/>
    </row>
    <row r="263">
      <c r="H263" s="8"/>
    </row>
    <row r="264">
      <c r="H264" s="8"/>
    </row>
    <row r="265">
      <c r="H265" s="8"/>
    </row>
    <row r="266">
      <c r="H266" s="8"/>
    </row>
    <row r="267">
      <c r="H267" s="8"/>
    </row>
    <row r="268">
      <c r="H268" s="8"/>
    </row>
    <row r="269">
      <c r="H269" s="8"/>
    </row>
    <row r="270">
      <c r="H270" s="8"/>
    </row>
    <row r="271">
      <c r="H271" s="8"/>
    </row>
    <row r="272">
      <c r="H272" s="8"/>
    </row>
    <row r="273">
      <c r="H273" s="8"/>
    </row>
    <row r="274">
      <c r="H274" s="8"/>
    </row>
    <row r="275">
      <c r="H275" s="8"/>
    </row>
    <row r="276">
      <c r="H276" s="8"/>
    </row>
    <row r="277">
      <c r="H277" s="8"/>
    </row>
    <row r="278">
      <c r="H278" s="8"/>
    </row>
    <row r="279">
      <c r="H279" s="8"/>
    </row>
    <row r="280">
      <c r="H280" s="8"/>
    </row>
    <row r="281">
      <c r="H281" s="8"/>
    </row>
    <row r="282">
      <c r="H282" s="8"/>
    </row>
    <row r="283">
      <c r="H283" s="8"/>
    </row>
    <row r="284">
      <c r="H284" s="8"/>
    </row>
    <row r="285">
      <c r="H285" s="8"/>
    </row>
    <row r="286">
      <c r="H286" s="8"/>
    </row>
    <row r="287">
      <c r="H287" s="8"/>
    </row>
    <row r="288">
      <c r="H288" s="8"/>
    </row>
    <row r="289">
      <c r="H289" s="8"/>
    </row>
    <row r="290">
      <c r="H290" s="8"/>
    </row>
    <row r="291">
      <c r="H291" s="8"/>
    </row>
    <row r="292">
      <c r="H292" s="8"/>
    </row>
    <row r="293">
      <c r="H293" s="8"/>
    </row>
    <row r="294">
      <c r="H294" s="8"/>
    </row>
    <row r="295">
      <c r="H295" s="8"/>
    </row>
    <row r="296">
      <c r="H296" s="8"/>
    </row>
    <row r="297">
      <c r="H297" s="8"/>
    </row>
    <row r="298">
      <c r="H298" s="8"/>
    </row>
    <row r="299">
      <c r="H299" s="8"/>
    </row>
    <row r="300">
      <c r="H300" s="8"/>
    </row>
    <row r="301">
      <c r="H301" s="8"/>
    </row>
    <row r="302">
      <c r="H302" s="8"/>
    </row>
    <row r="303">
      <c r="H303" s="8"/>
    </row>
    <row r="304">
      <c r="H304" s="8"/>
    </row>
    <row r="305">
      <c r="H305" s="8"/>
    </row>
    <row r="306">
      <c r="H306" s="8"/>
    </row>
    <row r="307">
      <c r="H307" s="8"/>
    </row>
    <row r="308">
      <c r="H308" s="8"/>
    </row>
    <row r="309">
      <c r="H309" s="8"/>
    </row>
    <row r="310">
      <c r="H310" s="8"/>
    </row>
    <row r="311">
      <c r="H311" s="8"/>
    </row>
    <row r="312">
      <c r="H312" s="8"/>
    </row>
    <row r="313">
      <c r="H313" s="8"/>
    </row>
    <row r="314">
      <c r="H314" s="8"/>
    </row>
    <row r="315">
      <c r="H315" s="8"/>
    </row>
    <row r="316">
      <c r="H316" s="8"/>
    </row>
    <row r="317">
      <c r="H317" s="8"/>
    </row>
    <row r="318">
      <c r="H318" s="8"/>
    </row>
    <row r="319">
      <c r="H319" s="8"/>
    </row>
    <row r="320">
      <c r="H320" s="8"/>
    </row>
    <row r="321">
      <c r="H321" s="8"/>
    </row>
    <row r="322">
      <c r="H322" s="8"/>
    </row>
    <row r="323">
      <c r="H323" s="8"/>
    </row>
    <row r="324">
      <c r="H324" s="8"/>
    </row>
    <row r="325">
      <c r="H325" s="8"/>
    </row>
    <row r="326">
      <c r="H326" s="8"/>
    </row>
    <row r="327">
      <c r="H327" s="8"/>
    </row>
    <row r="328">
      <c r="H328" s="8"/>
    </row>
    <row r="329">
      <c r="H329" s="8"/>
    </row>
    <row r="330">
      <c r="H330" s="8"/>
    </row>
    <row r="331">
      <c r="H331" s="8"/>
    </row>
    <row r="332">
      <c r="H332" s="8"/>
    </row>
    <row r="333">
      <c r="H333" s="8"/>
    </row>
    <row r="334">
      <c r="H334" s="8"/>
    </row>
    <row r="335">
      <c r="H335" s="8"/>
    </row>
    <row r="336">
      <c r="H336" s="8"/>
    </row>
    <row r="337">
      <c r="H337" s="8"/>
    </row>
    <row r="338">
      <c r="H338" s="8"/>
    </row>
    <row r="339">
      <c r="H339" s="8"/>
    </row>
    <row r="340">
      <c r="H340" s="8"/>
    </row>
    <row r="341">
      <c r="H341" s="8"/>
    </row>
    <row r="342">
      <c r="H342" s="8"/>
    </row>
    <row r="343">
      <c r="H343" s="8"/>
    </row>
    <row r="344">
      <c r="H344" s="8"/>
    </row>
    <row r="345">
      <c r="H345" s="8"/>
    </row>
    <row r="346">
      <c r="H346" s="8"/>
    </row>
    <row r="347">
      <c r="H347" s="8"/>
    </row>
    <row r="348">
      <c r="H348" s="8"/>
    </row>
    <row r="349">
      <c r="H349" s="8"/>
    </row>
    <row r="350">
      <c r="H350" s="8"/>
    </row>
    <row r="351">
      <c r="H351" s="8"/>
    </row>
    <row r="352">
      <c r="H352" s="8"/>
    </row>
    <row r="353">
      <c r="H353" s="8"/>
    </row>
    <row r="354">
      <c r="H354" s="8"/>
    </row>
    <row r="355">
      <c r="H355" s="8"/>
    </row>
    <row r="356">
      <c r="H356" s="8"/>
    </row>
    <row r="357">
      <c r="H357" s="8"/>
    </row>
    <row r="358">
      <c r="H358" s="8"/>
    </row>
    <row r="359">
      <c r="H359" s="8"/>
    </row>
    <row r="360">
      <c r="H360" s="8"/>
    </row>
    <row r="361">
      <c r="H361" s="8"/>
    </row>
    <row r="362">
      <c r="H362" s="8"/>
    </row>
    <row r="363">
      <c r="H363" s="8"/>
    </row>
    <row r="364">
      <c r="H364" s="8"/>
    </row>
    <row r="365">
      <c r="H365" s="8"/>
    </row>
    <row r="366">
      <c r="H366" s="8"/>
    </row>
    <row r="367">
      <c r="H367" s="8"/>
    </row>
    <row r="368">
      <c r="H368" s="8"/>
    </row>
    <row r="369">
      <c r="H369" s="8"/>
    </row>
    <row r="370">
      <c r="H370" s="8"/>
    </row>
    <row r="371">
      <c r="H371" s="8"/>
    </row>
    <row r="372">
      <c r="H372" s="8"/>
    </row>
    <row r="373">
      <c r="H373" s="8"/>
    </row>
    <row r="374">
      <c r="H374" s="8"/>
    </row>
    <row r="375">
      <c r="H375" s="8"/>
    </row>
    <row r="376">
      <c r="H376" s="8"/>
    </row>
    <row r="377">
      <c r="H377" s="8"/>
    </row>
    <row r="378">
      <c r="H378" s="8"/>
    </row>
    <row r="379">
      <c r="H379" s="8"/>
    </row>
    <row r="380">
      <c r="H380" s="8"/>
    </row>
    <row r="381">
      <c r="H381" s="8"/>
    </row>
    <row r="382">
      <c r="H382" s="8"/>
    </row>
    <row r="383">
      <c r="H383" s="8"/>
    </row>
    <row r="384">
      <c r="H384" s="8"/>
    </row>
    <row r="385">
      <c r="H385" s="8"/>
    </row>
    <row r="386">
      <c r="H386" s="8"/>
    </row>
    <row r="387">
      <c r="H387" s="8"/>
    </row>
    <row r="388">
      <c r="H388" s="8"/>
    </row>
    <row r="389">
      <c r="H389" s="8"/>
    </row>
    <row r="390">
      <c r="H390" s="8"/>
    </row>
    <row r="391">
      <c r="H391" s="8"/>
    </row>
    <row r="392">
      <c r="H392" s="8"/>
    </row>
    <row r="393">
      <c r="H393" s="8"/>
    </row>
    <row r="394">
      <c r="H394" s="8"/>
    </row>
    <row r="395">
      <c r="H395" s="8"/>
    </row>
    <row r="396">
      <c r="H396" s="8"/>
    </row>
    <row r="397">
      <c r="H397" s="8"/>
    </row>
    <row r="398">
      <c r="H398" s="8"/>
    </row>
    <row r="399">
      <c r="H399" s="8"/>
    </row>
    <row r="400">
      <c r="H400" s="8"/>
    </row>
    <row r="401">
      <c r="H401" s="8"/>
    </row>
    <row r="402">
      <c r="H402" s="8"/>
    </row>
    <row r="403">
      <c r="H403" s="8"/>
    </row>
    <row r="404">
      <c r="H404" s="8"/>
    </row>
    <row r="405">
      <c r="H405" s="8"/>
    </row>
    <row r="406">
      <c r="H406" s="8"/>
    </row>
    <row r="407">
      <c r="H407" s="8"/>
    </row>
    <row r="408">
      <c r="H408" s="8"/>
    </row>
    <row r="409">
      <c r="H409" s="8"/>
    </row>
    <row r="410">
      <c r="H410" s="8"/>
    </row>
    <row r="411">
      <c r="H411" s="8"/>
    </row>
    <row r="412">
      <c r="H412" s="8"/>
    </row>
    <row r="413">
      <c r="H413" s="8"/>
    </row>
    <row r="414">
      <c r="H414" s="8"/>
    </row>
    <row r="415">
      <c r="H415" s="8"/>
    </row>
    <row r="416">
      <c r="H416" s="8"/>
    </row>
    <row r="417">
      <c r="H417" s="8"/>
    </row>
    <row r="418">
      <c r="H418" s="8"/>
    </row>
    <row r="419">
      <c r="H419" s="8"/>
    </row>
    <row r="420">
      <c r="H420" s="8"/>
    </row>
    <row r="421">
      <c r="H421" s="8"/>
    </row>
    <row r="422">
      <c r="H422" s="8"/>
    </row>
    <row r="423">
      <c r="H423" s="8"/>
    </row>
    <row r="424">
      <c r="H424" s="8"/>
    </row>
    <row r="425">
      <c r="H425" s="8"/>
    </row>
    <row r="426">
      <c r="H426" s="8"/>
    </row>
    <row r="427">
      <c r="H427" s="8"/>
    </row>
    <row r="428">
      <c r="H428" s="8"/>
    </row>
    <row r="429">
      <c r="H429" s="8"/>
    </row>
    <row r="430">
      <c r="H430" s="8"/>
    </row>
    <row r="431">
      <c r="H431" s="8"/>
    </row>
    <row r="432">
      <c r="H432" s="8"/>
    </row>
    <row r="433">
      <c r="H433" s="8"/>
    </row>
    <row r="434">
      <c r="H434" s="8"/>
    </row>
    <row r="435">
      <c r="H435" s="8"/>
    </row>
    <row r="436">
      <c r="H436" s="8"/>
    </row>
    <row r="437">
      <c r="H437" s="8"/>
    </row>
    <row r="438">
      <c r="H438" s="8"/>
    </row>
    <row r="439">
      <c r="H439" s="8"/>
    </row>
    <row r="440">
      <c r="H440" s="8"/>
    </row>
    <row r="441">
      <c r="H441" s="8"/>
    </row>
    <row r="442">
      <c r="H442" s="8"/>
    </row>
    <row r="443">
      <c r="H443" s="8"/>
    </row>
    <row r="444">
      <c r="H444" s="8"/>
    </row>
    <row r="445">
      <c r="H445" s="8"/>
    </row>
    <row r="446">
      <c r="H446" s="8"/>
    </row>
    <row r="447">
      <c r="H447" s="8"/>
    </row>
    <row r="448">
      <c r="H448" s="8"/>
    </row>
    <row r="449">
      <c r="H449" s="8"/>
    </row>
    <row r="450">
      <c r="H450" s="8"/>
    </row>
    <row r="451">
      <c r="H451" s="8"/>
    </row>
    <row r="452">
      <c r="H452" s="8"/>
    </row>
    <row r="453">
      <c r="H453" s="8"/>
    </row>
    <row r="454">
      <c r="H454" s="8"/>
    </row>
    <row r="455">
      <c r="H455" s="8"/>
    </row>
    <row r="456">
      <c r="H456" s="8"/>
    </row>
    <row r="457">
      <c r="H457" s="8"/>
    </row>
    <row r="458">
      <c r="H458" s="8"/>
    </row>
    <row r="459">
      <c r="H459" s="8"/>
    </row>
    <row r="460">
      <c r="H460" s="8"/>
    </row>
    <row r="461">
      <c r="H461" s="8"/>
    </row>
    <row r="462">
      <c r="H462" s="8"/>
    </row>
    <row r="463">
      <c r="H463" s="8"/>
    </row>
    <row r="464">
      <c r="H464" s="8"/>
    </row>
    <row r="465">
      <c r="H465" s="8"/>
    </row>
    <row r="466">
      <c r="H466" s="8"/>
    </row>
    <row r="467">
      <c r="H467" s="8"/>
    </row>
    <row r="468">
      <c r="H468" s="8"/>
    </row>
    <row r="469">
      <c r="H469" s="8"/>
    </row>
    <row r="470">
      <c r="H470" s="8"/>
    </row>
    <row r="471">
      <c r="H471" s="8"/>
    </row>
    <row r="472">
      <c r="H472" s="8"/>
    </row>
    <row r="473">
      <c r="H473" s="8"/>
    </row>
    <row r="474">
      <c r="H474" s="8"/>
    </row>
    <row r="475">
      <c r="H475" s="8"/>
    </row>
    <row r="476">
      <c r="H476" s="8"/>
    </row>
    <row r="477">
      <c r="H477" s="8"/>
    </row>
    <row r="478">
      <c r="H478" s="8"/>
    </row>
    <row r="479">
      <c r="H479" s="8"/>
    </row>
    <row r="480">
      <c r="H480" s="8"/>
    </row>
    <row r="481">
      <c r="H481" s="8"/>
    </row>
    <row r="482">
      <c r="H482" s="8"/>
    </row>
    <row r="483">
      <c r="H483" s="8"/>
    </row>
    <row r="484">
      <c r="H484" s="8"/>
    </row>
    <row r="485">
      <c r="H485" s="8"/>
    </row>
    <row r="486">
      <c r="H486" s="8"/>
    </row>
    <row r="487">
      <c r="H487" s="8"/>
    </row>
    <row r="488">
      <c r="H488" s="8"/>
    </row>
    <row r="489">
      <c r="H489" s="8"/>
    </row>
    <row r="490">
      <c r="H490" s="8"/>
    </row>
    <row r="491">
      <c r="H491" s="8"/>
    </row>
    <row r="492">
      <c r="H492" s="8"/>
    </row>
    <row r="493">
      <c r="H493" s="8"/>
    </row>
    <row r="494">
      <c r="H494" s="8"/>
    </row>
    <row r="495">
      <c r="H495" s="8"/>
    </row>
    <row r="496">
      <c r="H496" s="8"/>
    </row>
    <row r="497">
      <c r="H497" s="8"/>
    </row>
    <row r="498">
      <c r="H498" s="8"/>
    </row>
    <row r="499">
      <c r="H499" s="8"/>
    </row>
    <row r="500">
      <c r="H500" s="8"/>
    </row>
    <row r="501">
      <c r="H501" s="8"/>
    </row>
    <row r="502">
      <c r="H502" s="8"/>
    </row>
    <row r="503">
      <c r="H503" s="8"/>
    </row>
    <row r="504">
      <c r="H504" s="8"/>
    </row>
    <row r="505">
      <c r="H505" s="8"/>
    </row>
    <row r="506">
      <c r="H506" s="8"/>
    </row>
    <row r="507">
      <c r="H507" s="8"/>
    </row>
    <row r="508">
      <c r="H508" s="8"/>
    </row>
    <row r="509">
      <c r="H509" s="8"/>
    </row>
    <row r="510">
      <c r="H510" s="8"/>
    </row>
    <row r="511">
      <c r="H511" s="8"/>
    </row>
    <row r="512">
      <c r="H512" s="8"/>
    </row>
    <row r="513">
      <c r="H513" s="8"/>
    </row>
    <row r="514">
      <c r="H514" s="8"/>
    </row>
    <row r="515">
      <c r="H515" s="8"/>
    </row>
    <row r="516">
      <c r="H516" s="8"/>
    </row>
    <row r="517">
      <c r="H517" s="8"/>
    </row>
    <row r="518">
      <c r="H518" s="8"/>
    </row>
    <row r="519">
      <c r="H519" s="8"/>
    </row>
    <row r="520">
      <c r="H520" s="8"/>
    </row>
    <row r="521">
      <c r="H521" s="8"/>
    </row>
    <row r="522">
      <c r="H522" s="8"/>
    </row>
    <row r="523">
      <c r="H523" s="8"/>
    </row>
    <row r="524">
      <c r="H524" s="8"/>
    </row>
    <row r="525">
      <c r="H525" s="8"/>
    </row>
    <row r="526">
      <c r="H526" s="8"/>
    </row>
    <row r="527">
      <c r="H527" s="8"/>
    </row>
    <row r="528">
      <c r="H528" s="8"/>
    </row>
    <row r="529">
      <c r="H529" s="8"/>
    </row>
    <row r="530">
      <c r="H530" s="8"/>
    </row>
    <row r="531">
      <c r="H531" s="8"/>
    </row>
    <row r="532">
      <c r="H532" s="8"/>
    </row>
    <row r="533">
      <c r="H533" s="8"/>
    </row>
    <row r="534">
      <c r="H534" s="8"/>
    </row>
    <row r="535">
      <c r="H535" s="8"/>
    </row>
    <row r="536">
      <c r="H536" s="8"/>
    </row>
    <row r="537">
      <c r="H537" s="8"/>
    </row>
    <row r="538">
      <c r="H538" s="8"/>
    </row>
    <row r="539">
      <c r="H539" s="8"/>
    </row>
    <row r="540">
      <c r="H540" s="8"/>
    </row>
    <row r="541">
      <c r="H541" s="8"/>
    </row>
    <row r="542">
      <c r="H542" s="8"/>
    </row>
    <row r="543">
      <c r="H543" s="8"/>
    </row>
    <row r="544">
      <c r="H544" s="8"/>
    </row>
    <row r="545">
      <c r="H545" s="8"/>
    </row>
    <row r="546">
      <c r="H546" s="8"/>
    </row>
    <row r="547">
      <c r="H547" s="8"/>
    </row>
    <row r="548">
      <c r="H548" s="8"/>
    </row>
    <row r="549">
      <c r="H549" s="8"/>
    </row>
    <row r="550">
      <c r="H550" s="8"/>
    </row>
    <row r="551">
      <c r="H551" s="8"/>
    </row>
    <row r="552">
      <c r="H552" s="8"/>
    </row>
    <row r="553">
      <c r="H553" s="8"/>
    </row>
    <row r="554">
      <c r="H554" s="8"/>
    </row>
    <row r="555">
      <c r="H555" s="8"/>
    </row>
    <row r="556">
      <c r="H556" s="8"/>
    </row>
    <row r="557">
      <c r="H557" s="8"/>
    </row>
    <row r="558">
      <c r="H558" s="8"/>
    </row>
    <row r="559">
      <c r="H559" s="8"/>
    </row>
    <row r="560">
      <c r="H560" s="8"/>
    </row>
    <row r="561">
      <c r="H561" s="8"/>
    </row>
    <row r="562">
      <c r="H562" s="8"/>
    </row>
    <row r="563">
      <c r="H563" s="8"/>
    </row>
    <row r="564">
      <c r="H564" s="8"/>
    </row>
    <row r="565">
      <c r="H565" s="8"/>
    </row>
    <row r="566">
      <c r="H566" s="8"/>
    </row>
    <row r="567">
      <c r="H567" s="8"/>
    </row>
    <row r="568">
      <c r="H568" s="8"/>
    </row>
    <row r="569">
      <c r="H569" s="8"/>
    </row>
    <row r="570">
      <c r="H570" s="8"/>
    </row>
    <row r="571">
      <c r="H571" s="8"/>
    </row>
    <row r="572">
      <c r="H572" s="8"/>
    </row>
    <row r="573">
      <c r="H573" s="8"/>
    </row>
    <row r="574">
      <c r="H574" s="8"/>
    </row>
    <row r="575">
      <c r="H575" s="8"/>
    </row>
    <row r="576">
      <c r="H576" s="8"/>
    </row>
    <row r="577">
      <c r="H577" s="8"/>
    </row>
    <row r="578">
      <c r="H578" s="8"/>
    </row>
    <row r="579">
      <c r="H579" s="8"/>
    </row>
    <row r="580">
      <c r="H580" s="8"/>
    </row>
    <row r="581">
      <c r="H581" s="8"/>
    </row>
    <row r="582">
      <c r="H582" s="8"/>
    </row>
    <row r="583">
      <c r="H583" s="8"/>
    </row>
    <row r="584">
      <c r="H584" s="8"/>
    </row>
    <row r="585">
      <c r="H585" s="8"/>
    </row>
    <row r="586">
      <c r="H586" s="8"/>
    </row>
    <row r="587">
      <c r="H587" s="8"/>
    </row>
    <row r="588">
      <c r="H588" s="8"/>
    </row>
    <row r="589">
      <c r="H589" s="8"/>
    </row>
    <row r="590">
      <c r="H590" s="8"/>
    </row>
    <row r="591">
      <c r="H591" s="8"/>
    </row>
    <row r="592">
      <c r="H592" s="8"/>
    </row>
    <row r="593">
      <c r="H593" s="8"/>
    </row>
    <row r="594">
      <c r="H594" s="8"/>
    </row>
    <row r="595">
      <c r="H595" s="8"/>
    </row>
    <row r="596">
      <c r="H596" s="8"/>
    </row>
    <row r="597">
      <c r="H597" s="8"/>
    </row>
    <row r="598">
      <c r="H598" s="8"/>
    </row>
    <row r="599">
      <c r="H599" s="8"/>
    </row>
    <row r="600">
      <c r="H600" s="8"/>
    </row>
    <row r="601">
      <c r="H601" s="8"/>
    </row>
    <row r="602">
      <c r="H602" s="8"/>
    </row>
    <row r="603">
      <c r="H603" s="8"/>
    </row>
    <row r="604">
      <c r="H604" s="8"/>
    </row>
    <row r="605">
      <c r="H605" s="8"/>
    </row>
    <row r="606">
      <c r="H606" s="8"/>
    </row>
    <row r="607">
      <c r="H607" s="8"/>
    </row>
    <row r="608">
      <c r="H608" s="8"/>
    </row>
    <row r="609">
      <c r="H609" s="8"/>
    </row>
    <row r="610">
      <c r="H610" s="8"/>
    </row>
    <row r="611">
      <c r="H611" s="8"/>
    </row>
    <row r="612">
      <c r="H612" s="8"/>
    </row>
    <row r="613">
      <c r="H613" s="8"/>
    </row>
    <row r="614">
      <c r="H614" s="8"/>
    </row>
    <row r="615">
      <c r="H615" s="8"/>
    </row>
    <row r="616">
      <c r="H616" s="8"/>
    </row>
    <row r="617">
      <c r="H617" s="8"/>
    </row>
    <row r="618">
      <c r="H618" s="8"/>
    </row>
    <row r="619">
      <c r="H619" s="8"/>
    </row>
    <row r="620">
      <c r="H620" s="8"/>
    </row>
    <row r="621">
      <c r="H621" s="8"/>
    </row>
    <row r="622">
      <c r="H622" s="8"/>
    </row>
    <row r="623">
      <c r="H623" s="8"/>
    </row>
    <row r="624">
      <c r="H624" s="8"/>
    </row>
    <row r="625">
      <c r="H625" s="8"/>
    </row>
    <row r="626">
      <c r="H626" s="8"/>
    </row>
    <row r="627">
      <c r="H627" s="8"/>
    </row>
    <row r="628">
      <c r="H628" s="8"/>
    </row>
    <row r="629">
      <c r="H629" s="8"/>
    </row>
    <row r="630">
      <c r="H630" s="8"/>
    </row>
    <row r="631">
      <c r="H631" s="8"/>
    </row>
    <row r="632">
      <c r="H632" s="8"/>
    </row>
    <row r="633">
      <c r="H633" s="8"/>
    </row>
    <row r="634">
      <c r="H634" s="8"/>
    </row>
    <row r="635">
      <c r="H635" s="8"/>
    </row>
    <row r="636">
      <c r="H636" s="8"/>
    </row>
    <row r="637">
      <c r="H637" s="8"/>
    </row>
    <row r="638">
      <c r="H638" s="8"/>
    </row>
    <row r="639">
      <c r="H639" s="8"/>
    </row>
    <row r="640">
      <c r="H640" s="8"/>
    </row>
    <row r="641">
      <c r="H641" s="8"/>
    </row>
    <row r="642">
      <c r="H642" s="8"/>
    </row>
    <row r="643">
      <c r="H643" s="8"/>
    </row>
    <row r="644">
      <c r="H644" s="8"/>
    </row>
    <row r="645">
      <c r="H645" s="8"/>
    </row>
    <row r="646">
      <c r="H646" s="8"/>
    </row>
    <row r="647">
      <c r="H647" s="8"/>
    </row>
    <row r="648">
      <c r="H648" s="8"/>
    </row>
    <row r="649">
      <c r="H649" s="8"/>
    </row>
    <row r="650">
      <c r="H650" s="8"/>
    </row>
    <row r="651">
      <c r="H651" s="8"/>
    </row>
    <row r="652">
      <c r="H652" s="8"/>
    </row>
    <row r="653">
      <c r="H653" s="8"/>
    </row>
    <row r="654">
      <c r="H654" s="8"/>
    </row>
    <row r="655">
      <c r="H655" s="8"/>
    </row>
    <row r="656">
      <c r="H656" s="8"/>
    </row>
    <row r="657">
      <c r="H657" s="8"/>
    </row>
    <row r="658">
      <c r="H658" s="8"/>
    </row>
    <row r="659">
      <c r="H659" s="8"/>
    </row>
    <row r="660">
      <c r="H660" s="8"/>
    </row>
    <row r="661">
      <c r="H661" s="8"/>
    </row>
    <row r="662">
      <c r="H662" s="8"/>
    </row>
    <row r="663">
      <c r="H663" s="8"/>
    </row>
    <row r="664">
      <c r="H664" s="8"/>
    </row>
    <row r="665">
      <c r="H665" s="8"/>
    </row>
    <row r="666">
      <c r="H666" s="8"/>
    </row>
    <row r="667">
      <c r="H667" s="8"/>
    </row>
    <row r="668">
      <c r="H668" s="8"/>
    </row>
    <row r="669">
      <c r="H669" s="8"/>
    </row>
    <row r="670">
      <c r="H670" s="8"/>
    </row>
    <row r="671">
      <c r="H671" s="8"/>
    </row>
    <row r="672">
      <c r="H672" s="8"/>
    </row>
    <row r="673">
      <c r="H673" s="8"/>
    </row>
    <row r="674">
      <c r="H674" s="8"/>
    </row>
    <row r="675">
      <c r="H675" s="8"/>
    </row>
    <row r="676">
      <c r="H676" s="8"/>
    </row>
    <row r="677">
      <c r="H677" s="8"/>
    </row>
    <row r="678">
      <c r="H678" s="8"/>
    </row>
    <row r="679">
      <c r="H679" s="8"/>
    </row>
    <row r="680">
      <c r="H680" s="8"/>
    </row>
    <row r="681">
      <c r="H681" s="8"/>
    </row>
    <row r="682">
      <c r="H682" s="8"/>
    </row>
    <row r="683">
      <c r="H683" s="8"/>
    </row>
    <row r="684">
      <c r="H684" s="8"/>
    </row>
    <row r="685">
      <c r="H685" s="8"/>
    </row>
    <row r="686">
      <c r="H686" s="8"/>
    </row>
    <row r="687">
      <c r="H687" s="8"/>
    </row>
    <row r="688">
      <c r="H688" s="8"/>
    </row>
    <row r="689">
      <c r="H689" s="8"/>
    </row>
    <row r="690">
      <c r="H690" s="8"/>
    </row>
    <row r="691">
      <c r="H691" s="8"/>
    </row>
    <row r="692">
      <c r="H692" s="8"/>
    </row>
    <row r="693">
      <c r="H693" s="8"/>
    </row>
    <row r="694">
      <c r="H694" s="8"/>
    </row>
    <row r="695">
      <c r="H695" s="8"/>
    </row>
    <row r="696">
      <c r="H696" s="8"/>
    </row>
    <row r="697">
      <c r="H697" s="8"/>
    </row>
    <row r="698">
      <c r="H698" s="8"/>
    </row>
    <row r="699">
      <c r="H699" s="8"/>
    </row>
    <row r="700">
      <c r="H700" s="8"/>
    </row>
    <row r="701">
      <c r="H701" s="8"/>
    </row>
    <row r="702">
      <c r="H702" s="8"/>
    </row>
    <row r="703">
      <c r="H703" s="8"/>
    </row>
    <row r="704">
      <c r="H704" s="8"/>
    </row>
    <row r="705">
      <c r="H705" s="8"/>
    </row>
    <row r="706">
      <c r="H706" s="8"/>
    </row>
    <row r="707">
      <c r="H707" s="8"/>
    </row>
    <row r="708">
      <c r="H708" s="8"/>
    </row>
    <row r="709">
      <c r="H709" s="8"/>
    </row>
    <row r="710">
      <c r="H710" s="8"/>
    </row>
    <row r="711">
      <c r="H711" s="8"/>
    </row>
    <row r="712">
      <c r="H712" s="8"/>
    </row>
    <row r="713">
      <c r="H713" s="8"/>
    </row>
    <row r="714">
      <c r="H714" s="8"/>
    </row>
    <row r="715">
      <c r="H715" s="8"/>
    </row>
    <row r="716">
      <c r="H716" s="8"/>
    </row>
    <row r="717">
      <c r="H717" s="8"/>
    </row>
    <row r="718">
      <c r="H718" s="8"/>
    </row>
    <row r="719">
      <c r="H719" s="8"/>
    </row>
    <row r="720">
      <c r="H720" s="8"/>
    </row>
    <row r="721">
      <c r="H721" s="8"/>
    </row>
    <row r="722">
      <c r="H722" s="8"/>
    </row>
    <row r="723">
      <c r="H723" s="8"/>
    </row>
    <row r="724">
      <c r="H724" s="8"/>
    </row>
    <row r="725">
      <c r="H725" s="8"/>
    </row>
    <row r="726">
      <c r="H726" s="8"/>
    </row>
    <row r="727">
      <c r="H727" s="8"/>
    </row>
    <row r="728">
      <c r="H728" s="8"/>
    </row>
    <row r="729">
      <c r="H729" s="8"/>
    </row>
    <row r="730">
      <c r="H730" s="8"/>
    </row>
    <row r="731">
      <c r="H731" s="8"/>
    </row>
    <row r="732">
      <c r="H732" s="8"/>
    </row>
    <row r="733">
      <c r="H733" s="8"/>
    </row>
    <row r="734">
      <c r="H734" s="8"/>
    </row>
    <row r="735">
      <c r="H735" s="8"/>
    </row>
    <row r="736">
      <c r="H736" s="8"/>
    </row>
    <row r="737">
      <c r="H737" s="8"/>
    </row>
    <row r="738">
      <c r="H738" s="8"/>
    </row>
    <row r="739">
      <c r="H739" s="8"/>
    </row>
    <row r="740">
      <c r="H740" s="8"/>
    </row>
    <row r="741">
      <c r="H741" s="8"/>
    </row>
    <row r="742">
      <c r="H742" s="8"/>
    </row>
    <row r="743">
      <c r="H743" s="8"/>
    </row>
    <row r="744">
      <c r="H744" s="8"/>
    </row>
    <row r="745">
      <c r="H745" s="8"/>
    </row>
    <row r="746">
      <c r="H746" s="8"/>
    </row>
    <row r="747">
      <c r="H747" s="8"/>
    </row>
    <row r="748">
      <c r="H748" s="8"/>
    </row>
    <row r="749">
      <c r="H749" s="8"/>
    </row>
    <row r="750">
      <c r="H750" s="8"/>
    </row>
    <row r="751">
      <c r="H751" s="8"/>
    </row>
    <row r="752">
      <c r="H752" s="8"/>
    </row>
    <row r="753">
      <c r="H753" s="8"/>
    </row>
    <row r="754">
      <c r="H754" s="8"/>
    </row>
    <row r="755">
      <c r="H755" s="8"/>
    </row>
    <row r="756">
      <c r="H756" s="8"/>
    </row>
    <row r="757">
      <c r="H757" s="8"/>
    </row>
    <row r="758">
      <c r="H758" s="8"/>
    </row>
    <row r="759">
      <c r="H759" s="8"/>
    </row>
    <row r="760">
      <c r="H760" s="8"/>
    </row>
    <row r="761">
      <c r="H761" s="8"/>
    </row>
    <row r="762">
      <c r="H762" s="8"/>
    </row>
    <row r="763">
      <c r="H763" s="8"/>
    </row>
    <row r="764">
      <c r="H764" s="8"/>
    </row>
    <row r="765">
      <c r="H765" s="8"/>
    </row>
    <row r="766">
      <c r="H766" s="8"/>
    </row>
    <row r="767">
      <c r="H767" s="8"/>
    </row>
    <row r="768">
      <c r="H768" s="8"/>
    </row>
    <row r="769">
      <c r="H769" s="8"/>
    </row>
    <row r="770">
      <c r="H770" s="8"/>
    </row>
    <row r="771">
      <c r="H771" s="8"/>
    </row>
    <row r="772">
      <c r="H772" s="8"/>
    </row>
    <row r="773">
      <c r="H773" s="8"/>
    </row>
    <row r="774">
      <c r="H774" s="8"/>
    </row>
    <row r="775">
      <c r="H775" s="8"/>
    </row>
    <row r="776">
      <c r="H776" s="8"/>
    </row>
    <row r="777">
      <c r="H777" s="8"/>
    </row>
    <row r="778">
      <c r="H778" s="8"/>
    </row>
    <row r="779">
      <c r="H779" s="8"/>
    </row>
    <row r="780">
      <c r="H780" s="8"/>
    </row>
    <row r="781">
      <c r="H781" s="8"/>
    </row>
    <row r="782">
      <c r="H782" s="8"/>
    </row>
    <row r="783">
      <c r="H783" s="8"/>
    </row>
    <row r="784">
      <c r="H784" s="8"/>
    </row>
    <row r="785">
      <c r="H785" s="8"/>
    </row>
    <row r="786">
      <c r="H786" s="8"/>
    </row>
    <row r="787">
      <c r="H787" s="8"/>
    </row>
    <row r="788">
      <c r="H788" s="8"/>
    </row>
    <row r="789">
      <c r="H789" s="8"/>
    </row>
    <row r="790">
      <c r="H790" s="8"/>
    </row>
    <row r="791">
      <c r="H791" s="8"/>
    </row>
    <row r="792">
      <c r="H792" s="8"/>
    </row>
    <row r="793">
      <c r="H793" s="8"/>
    </row>
    <row r="794">
      <c r="H794" s="8"/>
    </row>
    <row r="795">
      <c r="H795" s="8"/>
    </row>
    <row r="796">
      <c r="H796" s="8"/>
    </row>
    <row r="797">
      <c r="H797" s="8"/>
    </row>
    <row r="798">
      <c r="H798" s="8"/>
    </row>
    <row r="799">
      <c r="H799" s="8"/>
    </row>
    <row r="800">
      <c r="H800" s="8"/>
    </row>
    <row r="801">
      <c r="H801" s="8"/>
    </row>
    <row r="802">
      <c r="H802" s="8"/>
    </row>
    <row r="803">
      <c r="H803" s="8"/>
    </row>
    <row r="804">
      <c r="H804" s="8"/>
    </row>
    <row r="805">
      <c r="H805" s="8"/>
    </row>
    <row r="806">
      <c r="H806" s="8"/>
    </row>
    <row r="807">
      <c r="H807" s="8"/>
    </row>
    <row r="808">
      <c r="H808" s="8"/>
    </row>
    <row r="809">
      <c r="H809" s="8"/>
    </row>
    <row r="810">
      <c r="H810" s="8"/>
    </row>
    <row r="811">
      <c r="H811" s="8"/>
    </row>
    <row r="812">
      <c r="H812" s="8"/>
    </row>
    <row r="813">
      <c r="H813" s="8"/>
    </row>
    <row r="814">
      <c r="H814" s="8"/>
    </row>
    <row r="815">
      <c r="H815" s="8"/>
    </row>
    <row r="816">
      <c r="H816" s="8"/>
    </row>
    <row r="817">
      <c r="H817" s="8"/>
    </row>
    <row r="818">
      <c r="H818" s="8"/>
    </row>
    <row r="819">
      <c r="H819" s="8"/>
    </row>
    <row r="820">
      <c r="H820" s="8"/>
    </row>
    <row r="821">
      <c r="H821" s="8"/>
    </row>
    <row r="822">
      <c r="H822" s="8"/>
    </row>
    <row r="823">
      <c r="H823" s="8"/>
    </row>
    <row r="824">
      <c r="H824" s="8"/>
    </row>
    <row r="825">
      <c r="H825" s="8"/>
    </row>
    <row r="826">
      <c r="H826" s="8"/>
    </row>
    <row r="827">
      <c r="H827" s="8"/>
    </row>
    <row r="828">
      <c r="H828" s="8"/>
    </row>
    <row r="829">
      <c r="H829" s="8"/>
    </row>
    <row r="830">
      <c r="H830" s="8"/>
    </row>
    <row r="831">
      <c r="H831" s="8"/>
    </row>
    <row r="832">
      <c r="H832" s="8"/>
    </row>
    <row r="833">
      <c r="H833" s="8"/>
    </row>
    <row r="834">
      <c r="H834" s="8"/>
    </row>
    <row r="835">
      <c r="H835" s="8"/>
    </row>
    <row r="836">
      <c r="H836" s="8"/>
    </row>
    <row r="837">
      <c r="H837" s="8"/>
    </row>
    <row r="838">
      <c r="H838" s="8"/>
    </row>
    <row r="839">
      <c r="H839" s="8"/>
    </row>
    <row r="840">
      <c r="H840" s="8"/>
    </row>
    <row r="841">
      <c r="H841" s="8"/>
    </row>
    <row r="842">
      <c r="H842" s="8"/>
    </row>
    <row r="843">
      <c r="H843" s="8"/>
    </row>
    <row r="844">
      <c r="H844" s="8"/>
    </row>
    <row r="845">
      <c r="H845" s="8"/>
    </row>
    <row r="846">
      <c r="H846" s="8"/>
    </row>
    <row r="847">
      <c r="H847" s="8"/>
    </row>
    <row r="848">
      <c r="H848" s="8"/>
    </row>
    <row r="849">
      <c r="H849" s="8"/>
    </row>
    <row r="850">
      <c r="H850" s="8"/>
    </row>
    <row r="851">
      <c r="H851" s="8"/>
    </row>
    <row r="852">
      <c r="H852" s="8"/>
    </row>
    <row r="853">
      <c r="H853" s="8"/>
    </row>
    <row r="854">
      <c r="H854" s="8"/>
    </row>
    <row r="855">
      <c r="H855" s="8"/>
    </row>
    <row r="856">
      <c r="H856" s="8"/>
    </row>
    <row r="857">
      <c r="H857" s="8"/>
    </row>
    <row r="858">
      <c r="H858" s="8"/>
    </row>
    <row r="859">
      <c r="H859" s="8"/>
    </row>
    <row r="860">
      <c r="H860" s="8"/>
    </row>
    <row r="861">
      <c r="H861" s="8"/>
    </row>
    <row r="862">
      <c r="H862" s="8"/>
    </row>
    <row r="863">
      <c r="H863" s="8"/>
    </row>
    <row r="864">
      <c r="H864" s="8"/>
    </row>
    <row r="865">
      <c r="H865" s="8"/>
    </row>
    <row r="866">
      <c r="H866" s="8"/>
    </row>
    <row r="867">
      <c r="H867" s="8"/>
    </row>
    <row r="868">
      <c r="H868" s="8"/>
    </row>
    <row r="869">
      <c r="H869" s="8"/>
    </row>
    <row r="870">
      <c r="H870" s="8"/>
    </row>
    <row r="871">
      <c r="H871" s="8"/>
    </row>
    <row r="872">
      <c r="H872" s="8"/>
    </row>
    <row r="873">
      <c r="H873" s="8"/>
    </row>
    <row r="874">
      <c r="H874" s="8"/>
    </row>
    <row r="875">
      <c r="H875" s="8"/>
    </row>
    <row r="876">
      <c r="H876" s="8"/>
    </row>
    <row r="877">
      <c r="H877" s="8"/>
    </row>
    <row r="878">
      <c r="H878" s="8"/>
    </row>
    <row r="879">
      <c r="H879" s="8"/>
    </row>
    <row r="880">
      <c r="H880" s="8"/>
    </row>
    <row r="881">
      <c r="H881" s="8"/>
    </row>
    <row r="882">
      <c r="H882" s="8"/>
    </row>
    <row r="883">
      <c r="H883" s="8"/>
    </row>
    <row r="884">
      <c r="H884" s="8"/>
    </row>
    <row r="885">
      <c r="H885" s="8"/>
    </row>
    <row r="886">
      <c r="H886" s="8"/>
    </row>
    <row r="887">
      <c r="H887" s="8"/>
    </row>
    <row r="888">
      <c r="H888" s="8"/>
    </row>
    <row r="889">
      <c r="H889" s="8"/>
    </row>
    <row r="890">
      <c r="H890" s="8"/>
    </row>
    <row r="891">
      <c r="H891" s="8"/>
    </row>
    <row r="892">
      <c r="H892" s="8"/>
    </row>
    <row r="893">
      <c r="H893" s="8"/>
    </row>
    <row r="894">
      <c r="H894" s="8"/>
    </row>
    <row r="895">
      <c r="H895" s="8"/>
    </row>
    <row r="896">
      <c r="H896" s="8"/>
    </row>
    <row r="897">
      <c r="H897" s="8"/>
    </row>
    <row r="898">
      <c r="H898" s="8"/>
    </row>
    <row r="899">
      <c r="H899" s="8"/>
    </row>
    <row r="900">
      <c r="H900" s="8"/>
    </row>
    <row r="901">
      <c r="H901" s="8"/>
    </row>
    <row r="902">
      <c r="H902" s="8"/>
    </row>
    <row r="903">
      <c r="H903" s="8"/>
    </row>
    <row r="904">
      <c r="H904" s="8"/>
    </row>
    <row r="905">
      <c r="H905" s="8"/>
    </row>
    <row r="906">
      <c r="H906" s="8"/>
    </row>
    <row r="907">
      <c r="H907" s="8"/>
    </row>
    <row r="908">
      <c r="H908" s="8"/>
    </row>
    <row r="909">
      <c r="H909" s="8"/>
    </row>
    <row r="910">
      <c r="H910" s="8"/>
    </row>
    <row r="911">
      <c r="H911" s="8"/>
    </row>
    <row r="912">
      <c r="H912" s="8"/>
    </row>
    <row r="913">
      <c r="H913" s="8"/>
    </row>
    <row r="914">
      <c r="H914" s="8"/>
    </row>
    <row r="915">
      <c r="H915" s="8"/>
    </row>
    <row r="916">
      <c r="H916" s="8"/>
    </row>
    <row r="917">
      <c r="H917" s="8"/>
    </row>
    <row r="918">
      <c r="H918" s="8"/>
    </row>
    <row r="919">
      <c r="H919" s="8"/>
    </row>
    <row r="920">
      <c r="H920" s="8"/>
    </row>
    <row r="921">
      <c r="H921" s="8"/>
    </row>
    <row r="922">
      <c r="H922" s="8"/>
    </row>
    <row r="923">
      <c r="H923" s="8"/>
    </row>
    <row r="924">
      <c r="H924" s="8"/>
    </row>
    <row r="925">
      <c r="H925" s="8"/>
    </row>
    <row r="926">
      <c r="H926" s="8"/>
    </row>
    <row r="927">
      <c r="H927" s="8"/>
    </row>
    <row r="928">
      <c r="H928" s="8"/>
    </row>
    <row r="929">
      <c r="H929" s="8"/>
    </row>
    <row r="930">
      <c r="H930" s="8"/>
    </row>
    <row r="931">
      <c r="H931" s="8"/>
    </row>
    <row r="932">
      <c r="H932" s="8"/>
    </row>
    <row r="933">
      <c r="H933" s="8"/>
    </row>
    <row r="934">
      <c r="H934" s="8"/>
    </row>
    <row r="935">
      <c r="H935" s="8"/>
    </row>
    <row r="936">
      <c r="H936" s="8"/>
    </row>
    <row r="937">
      <c r="H937" s="8"/>
    </row>
    <row r="938">
      <c r="H938" s="8"/>
    </row>
    <row r="939">
      <c r="H939" s="8"/>
    </row>
    <row r="940">
      <c r="H940" s="8"/>
    </row>
    <row r="941">
      <c r="H941" s="8"/>
    </row>
    <row r="942">
      <c r="H942" s="8"/>
    </row>
    <row r="943">
      <c r="H943" s="8"/>
    </row>
    <row r="944">
      <c r="H944" s="8"/>
    </row>
    <row r="945">
      <c r="H945" s="8"/>
    </row>
    <row r="946">
      <c r="H946" s="8"/>
    </row>
    <row r="947">
      <c r="H947" s="8"/>
    </row>
    <row r="948">
      <c r="H948" s="8"/>
    </row>
    <row r="949">
      <c r="H949" s="8"/>
    </row>
    <row r="950">
      <c r="H950" s="8"/>
    </row>
    <row r="951">
      <c r="H951" s="8"/>
    </row>
    <row r="952">
      <c r="H952" s="8"/>
    </row>
    <row r="953">
      <c r="H953" s="8"/>
    </row>
    <row r="954">
      <c r="H954" s="8"/>
    </row>
    <row r="955">
      <c r="H955" s="8"/>
    </row>
    <row r="956">
      <c r="H956" s="8"/>
    </row>
    <row r="957">
      <c r="H957" s="8"/>
    </row>
    <row r="958">
      <c r="H958" s="8"/>
    </row>
    <row r="959">
      <c r="H959" s="8"/>
    </row>
    <row r="960">
      <c r="H960" s="8"/>
    </row>
    <row r="961">
      <c r="H961" s="8"/>
    </row>
    <row r="962">
      <c r="H962" s="8"/>
    </row>
    <row r="963">
      <c r="H963" s="8"/>
    </row>
    <row r="964">
      <c r="H964" s="8"/>
    </row>
    <row r="965">
      <c r="H965" s="8"/>
    </row>
    <row r="966">
      <c r="H966" s="8"/>
    </row>
    <row r="967">
      <c r="H967" s="8"/>
    </row>
    <row r="968">
      <c r="H968" s="8"/>
    </row>
    <row r="969">
      <c r="H969" s="8"/>
    </row>
    <row r="970">
      <c r="H970" s="8"/>
    </row>
    <row r="971">
      <c r="H971" s="8"/>
    </row>
    <row r="972">
      <c r="H972" s="8"/>
    </row>
    <row r="973">
      <c r="H973" s="8"/>
    </row>
    <row r="974">
      <c r="H974" s="8"/>
    </row>
    <row r="975">
      <c r="H975" s="8"/>
    </row>
    <row r="976">
      <c r="H976" s="8"/>
    </row>
    <row r="977">
      <c r="H977" s="8"/>
    </row>
    <row r="978">
      <c r="H978" s="8"/>
    </row>
    <row r="979">
      <c r="H979" s="8"/>
    </row>
    <row r="980">
      <c r="H980" s="8"/>
    </row>
    <row r="981">
      <c r="H981" s="8"/>
    </row>
    <row r="982">
      <c r="H982" s="8"/>
    </row>
    <row r="983">
      <c r="H983" s="8"/>
    </row>
    <row r="984">
      <c r="H984" s="8"/>
    </row>
    <row r="985">
      <c r="H985" s="8"/>
    </row>
    <row r="986">
      <c r="H986" s="8"/>
    </row>
    <row r="987">
      <c r="H987" s="8"/>
    </row>
    <row r="988">
      <c r="H988" s="8"/>
    </row>
    <row r="989">
      <c r="H989" s="8"/>
    </row>
    <row r="990">
      <c r="H990" s="8"/>
    </row>
    <row r="991">
      <c r="H991" s="8"/>
    </row>
    <row r="992">
      <c r="H992" s="8"/>
    </row>
    <row r="993">
      <c r="H993" s="8"/>
    </row>
    <row r="994">
      <c r="H994" s="8"/>
    </row>
    <row r="995">
      <c r="H995" s="8"/>
    </row>
    <row r="996">
      <c r="H996" s="8"/>
    </row>
    <row r="997">
      <c r="H997" s="8"/>
    </row>
    <row r="998">
      <c r="H998" s="8"/>
    </row>
    <row r="999">
      <c r="H999" s="8"/>
    </row>
    <row r="1000">
      <c r="H1000" s="8"/>
    </row>
  </sheetData>
  <drawing r:id="rId1"/>
</worksheet>
</file>