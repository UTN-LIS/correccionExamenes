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2-71PreguntaConEjemplos_204" sheetId="1" r:id="rId5"/>
  </sheets>
  <definedNames/>
  <calcPr/>
</workbook>
</file>

<file path=xl/sharedStrings.xml><?xml version="1.0" encoding="utf-8"?>
<sst xmlns="http://schemas.openxmlformats.org/spreadsheetml/2006/main" count="226" uniqueCount="115">
  <si>
    <t>step</t>
  </si>
  <si>
    <t>entrada</t>
  </si>
  <si>
    <t>contexto</t>
  </si>
  <si>
    <t>salida</t>
  </si>
  <si>
    <t>esperado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</si>
  <si>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</si>
  <si>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</si>
  <si>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</si>
  <si>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</si>
  <si>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</si>
  <si>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</si>
  <si>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</si>
  <si>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</si>
  <si>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</si>
  <si>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intenta explicar cómo se utilizan las aserciones en los tests, pero la explicación es confusa y no está bien fundamentada. Menciona que las aserciones se usan para ejecutar los tests ya implementados, lo cual es parcialmente correcto, pero no se explica claramente cómo esto funciona. La idea de que "se añade un test, se implementa y al usar aserciones, se ejecuta" no es precisa y no refleja bien el propósito de las aserciones.
Se debería explicar que las aserciones son herramientas dentro de los tests para verificar propiedades específicas del código bajo prueba, asegurándose de que estas propiedades sean verdaderas durante la ejecución del test. Por ejemplo, se puede mencionar que se pueden comprobar que ciertos métodos devuelven los valores esperados, que un objeto no es nulo, o que ciertas condiciones booleanas son verdaderas. Además, se debe subrayar la importancia de las aserciones para detectar errores en el código y asegurar que el software funcione correctamente, contribuyendo a una mayor calidad del producto final. 
Por estas razones, la nota es de 4, ya que hay algunos elementos correctos pero falta una explicación más detallada y precisa del uso y la importancia de las aserciones en el contexto de los tests.</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</si>
  <si>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</si>
  <si>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para evitar excepciones y errores, lo cual es un aspecto correcto. Sin embargo, la explicación es bastante superficial y falta información crucial sobre cómo se utilizan las aserciones en los tests y por qué son importantes. 
La respuesta no explica que las aserciones se utilizan para verificar que el código funcione según lo esperado, ni proporciona ejemplos de cómo se implementan (como `assertTrue`, `assertNull`, etc.). Además, no se menciona que las aserciones son útiles para detectar errores temprano en el ciclo de desarrollo, lo que contribuye a mejorar la calidad del software.
Para mejorar esta respuesta, sería necesario añadir detalles sobre el uso específico de las aserciones en tests, incluyendo ejemplos prácticos y explicaciones sobre su relevancia en la verificación del comportamiento del software.</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</si>
  <si>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</si>
  <si>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</si>
  <si>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</si>
  <si>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</si>
  <si>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</si>
  <si>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que las aserciones en los tests son importantes para confirmar que los tests están bien desarrollados y cubren muchos errores potenciales. Sin embargo, esta explicación es bastante general y no proporciona detalles sobre cómo se utilizan las aserciones en los tests ni qué tipo de verificaciones realizan.
Se debe mejorar al especificar cómo se utilizan las aserciones, como parte de los tests unitarios para verificar que los métodos devuelven los valores esperados, que no devuelven null, o que lanzan las excepciones correctas. También sería útil mencionar cómo las aserciones ayudan a garantizar que el código se comporta como se espera y facilitan el diagnóstico de errores al proporcionar mensajes de error claros.
Además, la respuesta podría beneficiarse de ejemplos prácticos o de una referencia a patrones de uso comunes de las aserciones en pruebas de software.</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</si>
  <si>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</si>
  <si>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explicar el propósito de las aserciones y cómo se utilizan en los tests, destacando que sirven para validar si los test son correctos. Sin embargo, la explicación es bastante simplista y carece de detalles técnicos. Menciona que las aserciones te ayudan a saber si los test son correctos, pero no proporciona información sobre cómo se usan específicamente dentro de los tests (por ejemplo, comparando valores esperados vs. valores recibidos) ni por qué son importantes para verificar el comportamiento del software. Además, no se especifica claramente que las aserciones deben ser usadas para asegurar que el código se comporta según lo esperado. La respuesta tiene algunos puntos correctos pero falta profundidad y claridad técnica.
Recomendaciones: Incluir ejemplos de cómo se utilizan aserciones (como assertTrue, assertFalse, assertEquals), explicar su importancia en la detección de errores y en la verificación del comportamiento del software, y mencionar que son parte fundamental de las metodologías de desarrollo guiado por pruebas.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</si>
  <si>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</si>
  <si>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 **Conceptos correctos mencionados**: La respuesta reconoce que las aserciones tienen que ver con la verificación del correcto funcionamiento de un test (es decir, si falla el test, devolverá `false`), aunque la explicación es confusa y no está clara.
- **Errores detectados**: 
  - La descripción de las aserciones es imprecisa y no se explica cómo se utilizan.
  - Falta la especificación de que las aserciones se usan para verificar el comportamiento esperado del código.
  - No se mencionan ejemplos concretos de cómo se utilizan las aserciones en pruebas de software.
  - Se confunden con otras formas de validación de datos, como comparar arrays, lo cual no es relevante en este contexto.
- **Conceptos importantes que faltan**:
  - Una definición clara de lo que son las aserciones.
  - Cómo se utilizan dentro de los tests para verificar el correcto funcionamiento de los métodos codificados.
  - Ejemplos de cómo se utilizan aserciones para verificar diferentes condiciones, como la igualdad de valores, la verificación de valores nulos, etc.
  - El propósito de las aserciones en el desarrollo guiado por pruebas.
La respuesta es parcialmente correcta en que reconoce que las aserciones tienen que ver con la verificación de los tests, pero falta una explicación detallada y precisa sobre cómo se utilizan y su importancia en el contexto de las pruebas de software.</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</si>
  <si>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</si>
  <si>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contiene elementos correctos sobre la naturaleza de las aserciones y su uso en tests unitarios. Sin embargo, hay varios errores y carencias:
1. **Precisión Conceptual**: El estudiante confunde las aserciones con validaciones generales, cuando las aserciones son específicamente herramientas para probar que el código funciona como se espera durante el desarrollo de tests.
2. **Completitud de la Respuesta**: Falta una descripción detallada de cómo se utilizan las aserciones en los tests y sus beneficios. La mención de diferentes tipos de aserciones (como @AssertTrue(), @AssertFalse(), @AssertSum()) es inexacta y confusa, ya que estos son nombres propios de anotaciones específicas en frameworks de pruebas como JUnit, pero no son tipos genéricos de aserciones.
3. **Uso Correcto de la Terminología**: El uso de términos como "validaciones" y "complemento de test unitarios" es precario y no precisa. Es importante distinguir entre aserciones y validaciones, y explicar cómo se integran en el proceso de desarrollo de pruebas.
4. **Claridad de la Explicación**: La explicación es fragmentaria y no proporciona una visión clara del propósito de las aserciones en el contexto de la programación de pruebas. Falta una explicación de cómo las aserciones ayudan a detectar errores y a asegurar que el código funcione correctamente.
Para mejorar, el estudiante debería proporcionar una definición más precisa de las aserciones, explicar cómo se utilizan en los tests, y mencionar sus beneficios en términos de garantizar la calidad del código.</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</si>
  <si>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</si>
  <si>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en cuanto a la funcionalidad y uso de las aserciones en los tests. Menciona correctamente que se utilizan en la fase "Assert" del ciclo AAA (Arrange, Act, Assert) y proporciona ejemplos de cómo se pueden usar, como `assertEquals` para comprobar igualdad y `assertTrue` y `assertFalse` para verificar condiciones booleanas. 
Sin embargo, hay algunos aspectos que podrían mejorar para obtener una puntuación más alta:
- Aunque se menciona que son importantes para mantener la integridad de los datos, sería beneficioso aclarar cómo específicamente contribuyen a evitar inconsistencias.
- La respuesta podría haber sido más detallada sobre el contexto en el que se utilizan las aserciones y su importancia en la detección de errores tempranos y en la mejora de la calidad del código.
A pesar de estos pequeños detalles, la respuesta es clara y técnicamente correcta, por lo que merece una calificación de 7.</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</si>
  <si>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</si>
  <si>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reconoce parcialmente el propósito de las aserciones, señalando que se utilizan para validar si un test ha pasado o no. Sin embargo, hay varios errores y falta información crucial:
1. **Conceptualización Inexacta**: La respuesta confunde las aserciones con el proceso de declarar variables y ejecutar acciones en un test. Las aserciones no se usan después de "arrange" y "act", sino que forman parte integral del bloque de "assert" en un framework de pruebas como JUnit.
2. **Uso Incorrecto de la Terminología**: La frase "despues de haber declarado las variables con arrange y ejecutarlas con act" no es precisa. "Arrange" y "Act" son partes del patrón de diseño "Arrange-Act-Assert" (AAA), pero "assert" es donde se colocan las aserciones.
3. **Falta de Detalles Específicos**: La respuesta no proporciona ejemplos concretos de cómo se utilizan las aserciones, ni explica por qué son importantes. No se menciona que las aserciones verifiquen que el resultado del código coincida con lo esperado, o que ayuden a localizar errores específicos.
4. **Complejidad y Claridad**: La explicación es bastante básica y no ofrece una comprensión profunda del concepto. Falta una explicación más detallada sobre cómo las aserciones contribuyen al desarrollo guiado por pruebas.
A pesar de que se intenta describir el propósito general de las aserciones, la falta de precisión y detalles específicos disminuye significativamente la calidad de la respuesta.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</si>
  <si>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</si>
  <si>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contiene elementos correctos, como la idea de que las aserciones miden si el resultado obtenido coincide con el esperado y que su fracaso provoca que el test falle (el test pasa a estar en rojo). Sin embargo, hay varios aspectos que faltan para una explicación más precisa y completa:
- Falta especificar claramente que las aserciones se usan dentro del código de los tests, no fuera de ellos.
- La explicación podría ser más detallada sobre cómo se utilizan exactamente las aserciones para comprobar diferentes condiciones.
- Falta mencionar que las aserciones permiten verificar condiciones booleanas y diferentes tipos de aserciones.
- La respuesta no explica el papel crucial de las aserciones en la detección de errores y en la validación del comportamiento del software.
- No se incluyen ejemplos concretos de cómo se implementan las aserciones.
A pesar de estos puntos faltantes, la idea principal es correcta y se entiende que las aserciones tienen que ver con la verificación de resultados en los tests. Sin embargo, la explicación es bastante básica y carece de profundidad técnica.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</si>
  <si>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</si>
  <si>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reconoce parcialmente el propósito de las aserciones, aunque de manera imprecisa. Menciona que las aserciones comprueban si una afirmación es correcta, pero esta descripción es demasiado general y no se refiere específicamente a cómo se usan en tests. 
La idea de que las aserciones son "validaciones" que permiten calificar el código es parcialmente correcta, pero no se entiende claramente cómo estas validaciones se aplican en el contexto de los tests.
Además, la parte final de la respuesta sobre que si no hay validación previa, el test no se basará en ningún parámetro, es incorrecta. Las aserciones no son necesarias para que un test funcione, sino que son herramientas adicionales que ayudan a verificar que el código funcione como se espera.
Se necesita una explicación más detallada sobre cómo se utilizan las aserciones en tests (por ejemplo, con `assertTrue`, `assertEquals`, etc.) y por qué son importantes para asegurar que el código funcione correctamente, y no solo para calificar el código en sí.
Por estas razones, la nota es 4, ya que hay algunos elementos correctos, pero la explicación es incompleta y hay varios errores conceptuales.</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</si>
  <si>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</si>
  <si>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5
Justificación: La respuesta reconoce correctamente que las aserciones se utilizan para comprobar si una condición es verdadera y proporciona un ejemplo concreto utilizando `AssertTrue`. Sin embargo, la explicación es bastante general y no profundiza en la importancia de las aserciones en el contexto de los tests ni en cómo se utilizan para verificar el comportamiento del código.
Se menciona que las aserciones optimizan la verificación de los tests, pero esta afirmación es demasiado genérica y no explica cómo exactamente esto se logra. Además, aunque se menciona la importancia de las aserciones, la respuesta no explora sus usos más específicos, como verificar que el resultado de una función es el esperado, comprobar que no hay valores nulos, o validar condiciones booleanas.
La respuesta carece de detalles sobre el uso de diferentes tipos de aserciones y cómo estas contribuyen a la detección de errores y al mantenimiento del código. Por lo tanto, aunque se identifica correctamente la función básica de las aserciones, la explicación es insuficiente para obtener una calificación más alta.</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</si>
  <si>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</si>
  <si>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reconoce que las aserciones se usan en los tests para validar y comparar objetos o valores, y menciona que si una aserción falla, el test también fallará. Esto es un punto correcto y relevante.
Sin embargo, la explicación es bastante breve y no se profundiza en los detalles necesarios para una comprensión completa. Falta información sobre cómo exactamente se utilizan las aserciones dentro de los tests, por ejemplo, cómo se compara el valor esperado con el valor real. También falta una mención a la importancia de las aserciones en verificar que el código se comporta según lo esperado, lo cual es crucial para la comprensión del concepto.
Además, la última frase "esto nos ayuda a la hora de resolver errores en el código o ver como es el flujo del programa" es un poco vaga y no precisa cómo las aserciones ayudan específicamente en estos aspectos. 
Por estas razones, la nota es 5, ya que hay elementos correctos pero la respuesta carece de detalle y precisión.</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</si>
  <si>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</si>
  <si>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contiene elementos correctos sobre el uso de aserciones en pruebas de software y su importancia. Se menciona correctamente que las aserciones permiten especificar el tipo de prueba que se desea realizar, dando como ejemplo `assertEqual` para comparar valores esperados con los obtenidos. Además, se indica que existen múltiples tipos de aserciones que permiten evaluar diferentes tipos de datos, incluyendo valores NULL o arrays.
Sin embargo, hay algunos aspectos que podrían mejorar:
1. **Precisión Conceptual**: La respuesta no explica claramente qué son las aserciones y cómo se utilizan exactamente dentro de los tests. Falta una definición más precisa de lo que son las aserciones y cómo se integran en el proceso de testing.
2. **Complejidad de la Respuesta**: La explicación es algo confusa. Por ejemplo, "las aserciones en los test es un apartado fundamental" es un enunciado genérico que no aporta mucha información útil. Sería mejor si se proporcionaran ejemplos más concretos de cómo se utilizan las aserciones.
3. **Uso de Terminología**: Se utiliza correctamente la terminología técnica, como `assertEqual`, pero sería beneficioso proporcionar un ejemplo más detallado o una explicación más clara de cómo estas aserciones se utilizan en la práctica.
4. **Claridad de la Explicación**: La explicación es un poco vaga en algunos puntos. Por ejemplo, "Existe múltiples tipos de assertion" es demasiado genérico. Sería mejor especificar algunos ejemplos de aserciones comunes y sus usos.
A pesar de estos aspectos que podrían mejorar, la respuesta tiene un nivel de precisión y comprensión aceptable, por lo que merece una calificación de 7.</t>
  </si>
  <si>
    <t>Respuesta: Los assert sirven para comprobar lo que devuelve o hacen las funciones, son unos de los pilares para poder hacer los test en el TDD.</t>
  </si>
  <si>
    <t>Evaluación: Nota: 4
Justificación: La respuesta reconoce correctamente que las aserciones se utilizan para verificar lo que devuelven o realizan las funciones y menciona que forman parte de los pilares para realizar pruebas en el desarrollo dirigido por pruebas (TDD). Sin embargo, la explicación es bastante general y no proporciona detalles sobre cómo se utilizan exactamente dentro de los tests o qué tipo de comprobaciones se pueden realizar. Además, no se mencionan los beneficios o la importancia específica de las aserciones en este contexto. Por estas razones, la respuesta no es completa y precisa, por lo que no merece una calificación mayor.</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</si>
  <si>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</si>
  <si>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se utilizan para comparar resultados y establecer un resultado esperado contra uno obtenido, lo cual es una idea correcta. Sin embargo, la explicación es bastante limitada y no se extiende sobre cómo se implementan en los tests ni cuáles son sus beneficios específicos. Además, no se menciona explícitamente que el objetivo principal de las aserciones es verificar que el comportamiento del código sea correcto, lo cual es un aspecto crucial de su importancia.
La respuesta podría mejorar al incluir ejemplos de cómo se implementan las aserciones (por ejemplo, usando assertTrue, assertFalse, assertEquals), y destacar la importancia de que estas aserciones permiten automatizar la verificación del comportamiento correcto del código, lo que facilita el proceso de depuración y mejora la calidad del software.</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</si>
  <si>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</si>
  <si>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 **Conceptos Correctos:** La respuesta menciona que las aserciones se utilizan para asegurar que el código se ejecute de manera ordenada y continua, y que esto es importante para garantizar la estabilidad y cobertura del código.
- **Errores Detectados:** 
  - Hay confusiones sobre la función exacta de las aserciones. Las aserciones no garantizan que el código se ejecute de manera ordenada y continua, sino que se utilizan específicamente para verificar condiciones en tiempo de ejecución.
  - El uso de palabras como "asgurarnos" y "seguro" no son técnicamente precisas y no transmiten el significado correcto.
  - La referencia a "implementación y test estar bien" es imprecisa y no es relevante al contexto de las aserciones.
  - La frase "y nos aseguramos de que los diferentes tests van a irse ejecutando" es redundante y no aporta información útil.
- **Conceptos Falten:** 
  - No se menciona explícitamente que las aserciones se usan dentro de los tests para verificar el correcto funcionamiento del código.
  - No se proporcionan ejemplos concretos de cómo se utilizan las aserciones (por ejemplo, `assertTrue`, `assertNull`, etc.).
  - No se explica el propósito de las aserciones en términos de verificar que el comportamiento real del código coincida con lo esperado.
  - Falta la idea de que las aserciones ayudan a detectar errores y a mejorar la calidad del código.
La respuesta intenta abordar el tema, pero carece de precisión técnica y falta la profundización necesaria para una explicación completa y correcta.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</si>
  <si>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</si>
  <si>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5
Justificación: La respuesta intenta abordar el tema de las aserciones en los tests, pero presenta varios errores y falta información crucial.
- **Conceptos Correctos**: Menciona que las aserciones se usan para validar soluciones concretas y que son útiles para confirmar que una función devuelva un valor específico (ejemplo: True). Esto muestra un entendimiento básico de cómo se utilizan las aserciones.
- **Errores Detectados**:
  - Confunde "aserciones" con "tests". Las aserciones son partes de los tests, no son tests en sí mismos.
  - Falta una explicación clara sobre cómo se implementan las aserciones dentro de los tests y qué tipo de validaciones realizan (por ejemplo, comparar valores, comprobar condiciones, etc.).
  - No se explica por qué son importantes en términos de seguridad y confiabilidad del código.
- **Conceptos Faltantes**:
  - Falta una definición clara de lo que son las aserciones.
  - No se mencionan ejemplos concretos de cómo se utilizan las aserciones en diferentes situaciones (comparaciones, comprobaciones de nulidad, excepciones, etc.).
  - No se explica el valor añadido que proporcionan en términos de detección de errores y mejora de la calidad del código.
  - Falta la idea de que las aserciones se utilizan para verificar que el comportamiento real del código coincida con lo esperado.
A pesar de intentar abordar el tema, la respuesta carece de claridad y profundidad necesarias para obtener una calificación más alta.</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</si>
  <si>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</si>
  <si>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6
Justificación: La respuesta contiene elementos correctos sobre el uso de aserciones en pruebas y su importancia, pero presenta algunas confusiones y falta detalle.
Conceptos correctos:
- Menciona que las aserciones se usan para comprobar entradas inválidas y excepciones, aunque esto se refiere más a validaciones en lugar de pruebas unitarias.
- Indica que los asserts se utilizan en el patrón AAA (Arrange-Act-Assert), que es relevante para entender su posición en el proceso de prueba.
Errores y falta de detalle:
- Confunde aserciones con validaciones de entrada, como la excepción de dividir por cero, lo cual no está relacionado directamente con las aserciones en pruebas unitarias.
- Falta una explicación clara de cómo se usan las aserciones específicamente en pruebas unitarias y qué tipo de comprobaciones realizan (por ejemplo, comparaciones de valores esperados vs. valores obtenidos).
- No se menciona el propósito principal de las aserciones en pruebas, que es verificar que el comportamiento del código coincide con lo esperado.
Para mejorar, la respuesta debería enfocarse en explicar cómo se usan las aserciones en pruebas unitarias, proporcionar ejemplos de cómo se comparan valores esperados con valores obtenidos, y destacar su importancia en la detección de errores y verificación del comportamiento correcto del software.</t>
  </si>
  <si>
    <t>Respuesta: Las podemos usar en diferentes modos:
* Para clases.
* Para integraciones.
* Para tets.</t>
  </si>
  <si>
    <t>Evaluación: Nota: 3
Justificación: La respuesta comienza bien al reconocer que las aserciones se pueden utilizar en pruebas, pero luego se desvía de la dirección correcta al mencionar "clases" y "integraciones", que no están relacionadas con el uso de aserciones en pruebas unitarias.
- **Conceptos correctos mencionados**: La respuesta reconoce que las aserciones se usan en pruebas, aunque de manera inexacta.
- **Errores detectados**: Hay varios errores importantes:
  - El uso de "clases" y "integraciones" en lugar de "pruebas" o "test".
  - Falta de detalles sobre cómo se utilizan las aserciones específicamente en pruebas.
- **Conceptos importantes que faltan**:
  - La definición precisa de lo que son las aserciones.
  - Cómo se implementan y se usan dentro de los tests (por ejemplo, `assertTrue`, `assertNull`, etc.).
  - La importancia de las aserciones para verificar que el código funcione correctamente y cumpla con las expectativas.
  - Un ejemplo de uso práctico de aserciones en un test.
Para mejorar, la respuesta debería proporcionar una definición clara de las aserciones y explicar cómo se utilizan en pruebas de software, incluyendo ejemplos concretos y la importancia de estas herramientas para garantizar la calidad del software.</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</si>
  <si>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</si>
  <si>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7
Justificación: La respuesta proporciona una explicación general sobre lo que son las aserciones y cómo se utilizan en el contexto de los tests. Menciona correctamente que las aserciones se emplean para verificar que el código funciona como se espera y proporciona un ejemplo práctico utilizando `assertEquals` para comprobar una operación matemática. Sin embargo, la explicación puede ser más detallada y completa.
Los aspectos correctos incluyen:
- Definición de las aserciones.
- Uso en pruebas de software.
- Ejemplo concreto de uso (`assertEquals`).
Los errores y áreas de mejora son:
- Falta de información sobre cómo se implementan las aserciones en el código.
- No se mencionan otros tipos de aserciones que pueden utilizarse (por ejemplo, `assertTrue`, `assertNull`, etc.).
- La respuesta no explota completamente el concepto de que las aserciones ayudan a detectar errores y asegurar la calidad del código.
Para mejorar, la respuesta podría incluir más detalles sobre cómo se implementan las aserciones en el código, mencionar otros tipos de aserciones y explicar mejor el papel de las aserciones en la calidad del software.</t>
  </si>
  <si>
    <t>Respuesta: Se utilizan en los tests para comprobar trozos pequeños de codigo, y tienen importancia ya que validan el código, aportando seguridad al software.</t>
  </si>
  <si>
    <t>Evaluación: Nota: 4
Justificación: La respuesta reconoce que las aserciones se utilizan en pruebas para verificar partes del código, lo cual es correcto. Sin embargo, la explicación es bastante superficial y carece de detalles importantes. 
Los conceptos correctamente mencionados incluyen:
- Que las aserciones se usan en pruebas.
- Que tienen una función de validación del código.
Los errores detectados son:
- Falta de especificación sobre cómo se utilizan exactamente las aserciones dentro de los tests (por ejemplo, qué tipo de comprobaciones se realizan).
- Falta de información sobre la importancia de las aserciones en el contexto de asegurar que el código se comporta según lo esperado.
Conceptos importantes que faltan:
- Ejemplos de aserciones (como assertTrue, assertEquals, assertNull, etc.).
- Explicación de cómo las aserciones ayudan a verificar que el código funcione correctamente.
- Mención de que permiten detectar errores temprano en el ciclo de desarrollo.
Por estas razones, la respuesta no es completa ni detallada lo suficiente para merecer una mayor calificación.</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</si>
  <si>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</si>
  <si>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contiene algunos elementos correctos sobre el uso de aserciones en tests, como que se utilizan para comprobar partes específicas del código y que son útiles para verificar valores. Sin embargo, la explicación es bastante incompleta y hay varios errores conceptuales.
Los errores incluyen:
- El uso impreciso de "trozos de código" y la falta de especificación sobre cómo se utilizan exactamente las aserciones.
- La frase "Estos son importantes ya que comprueban de manera eficiente un valor" es incorrecta, ya que las aserciones no solo comprueban un valor, sino que validan el comportamiento del código.
- La explicación sobre assertNull() es parcialmente correcta, pero falta contexto y detalles adicionales.
Conceptos importantes que faltan:
- La explicación de qué son las aserciones y su propósito principal en el desarrollo de software.
- Ejemplos adicionales de aserciones, como assertTrue(), assertFalse(), assertEquals().
- La importancia de las aserciones para garantizar que el código funcione como se espera en diferentes situaciones.
- La relación entre las aserciones y las pruebas unitarias.
A pesar de estos errores y falta de detalles, la respuesta muestra algún entendimiento básico del tema, por lo que se le otorga una puntuación moderada.</t>
  </si>
  <si>
    <t>Respuesta: assert.equals sirve para introducir valores en los parámetros a la hora de hacer tests</t>
  </si>
  <si>
    <t>Evaluación: Nota: 3
Justificación: La respuesta comienza de manera incorrecta al mencionar "assert.equals", lo cual no es el nombre correcto de la aserción utilizada para comparar dos valores en Java. La aserción correcta sería `assertEquals`. Además, aunque indica que se utiliza para introducir valores en los parámetros de los tests, no explica cómo se utilizan ni por qué son importantes. Falta una descripción detallada sobre qué son las aserciones, cómo se aplican en los tests y cuál es su importancia para verificar que el código se comporta según lo esperado. La respuesta carece de profundidad y precisión, por lo que no logra transmitir la información necesaria.</t>
  </si>
  <si>
    <t>Respuesta: .</t>
  </si>
  <si>
    <t>Evaluación: Nota: 4
Justificación: La respuesta comienza con una idea correcta, pero queda incompleta y presenta algunos errores conceptuales.
La respuesta menciona correctamente que las aserciones se pueden usar en los tests para validar y comparar objetos o valores, lo cual es correcto. Sin embargo, no se proporciona una explicación detallada sobre cómo se utilizan en los tests, y falta información crucial sobre el propósito de las aserciones en el contexto de la verificación del comportamiento del software.
Además, hay un error en la estructura de la respuesta, ya que la oración empieza con un punto final, lo que hace que la respuesta sea incoherente.
Para mejorar esta respuesta, sería necesario incluir información sobre cómo se implementan las aserciones en el código (por ejemplo, usando `assertThat` en JUnit), cómo se usan diferentes tipos de aserciones (como `assertEquals`, `assertTrue`, etc.), y por qué son importantes (por ejemplo, para detectar errores temprano, mejorar la calidad del código, y facilitar la comprensión del comportamiento esperado).
Por estas razones, la nota es 4 debido a que contiene una idea correcta, pero carece de detalles necesarios y tiene errores en la estructura y la presentación.</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</si>
  <si>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</si>
  <si>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correctamente que las aserciones se utilizan para comparar resultados obtenidos con resultados esperados, lo cual es un aspecto crucial del uso de aserciones en pruebas de software. Sin embargo, la explicación es bastante general y no proporciona detalles sobre cómo exactamente se implementan estas aserciones en el código durante el proceso de prueba.
Además, aunque menciona que las aserciones se usan "en la parte final de los test", esta información es insuficiente para entender completamente el flujo y el propósito de las aserciones en el contexto de los tests. Es importante destacar que las aserciones suelen ser parte integral del proceso de escritura de tests, no solo del final.
La respuesta carece de ejemplos concretos de cómo se escriben y utilizan las aserciones, así como de la importancia de estas en el proceso de detección de errores y aseguramiento de la calidad del software. Por estas razones, la calificación es 5, ya que la respuesta contiene un elemento correcto (la función de las aserciones en la comparación de resultados), pero falta información crucial para que sea una respuesta completa y precisa.</t>
  </si>
  <si>
    <t>Respuesta: Las aserciones sirven para evaluar concretamente un valor esperado del test ya sea en una comparación de valores, de referencias, booleanas, etc...</t>
  </si>
  <si>
    <t>Evaluación:
Nota: 4
Justificación: 
La respuesta identifica correctamente que las aserciones se utilizan para evaluar un valor esperado en un test, lo cual es un punto positivo. Además, menciona algunas de las formas en que se pueden utilizar, como comparaciones de valores, referencias y booleanas. Sin embargo, la explicación es bastante breve y genérica, carece de profundidad técnica y no se detalla cómo estas aserciones contribuyen a la verificación del correcto funcionamiento del código. La respuesta no explica el concepto de "comparación de referencias" de manera precisa y falta información sobre cómo las aserciones ayudan a detectar errores específicos o a verificar que el comportamiento del código coincide con lo esperado. 
Para mejorar, la respuesta debería incluir ejemplos concretos de uso (como `assertTrue`, `assertEquals`, etc.) y explicar cómo las aserciones facilitan la depuración y la verificación del software.</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</si>
  <si>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</si>
  <si>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4
Justificación: La respuesta comienza con un elemento correcto al mencionar que existen diferentes tipos de aserciones, aunque solo menciona uno (AssertionEquals). Sin embargo, la descripción de AssertionEquals es inexacta, ya que AssertionEquals no es un nombre estándar en Java; el nombre correcto sería `assertEquals`. 
Además, la explicación sobre la importancia de elegir el tipo de aserción correcta es parcialmente correcta, pero se centra demasiado en cómo esto puede cambiar el resultado de los tests, lo cual no es precisamente el propósito de las aserciones. La aserción se utiliza para verificar que el resultado obtenido sea igual al esperado, no para cambiar el resultado del test.
La respuesta carece de información sobre cómo se utilizan las aserciones en los tests, por qué son importantes y proporciona un ejemplo concreto de uso, como la comparación de dos valores. 
A pesar de los errores, hay elementos correctos en la respuesta, pero falta una explicación más detallada y precisa de los conceptos relacionados con las aserciones en pruebas de software.</t>
  </si>
  <si>
    <t>Respuesta: Las aserciones son verificaciones de las validaciones de entrada. Un ejemplo podría ser assertionNotNull(actual) / assertionNull(actual) que nos sirve para conocer si el valor de entrada (actual) es nulo o no.</t>
  </si>
  <si>
    <t>{'response': 'respuesta no obtenida'}</t>
  </si>
  <si>
    <t>Respuesta: Las aserciones se utilizan para estructurar y validar la forma en al que los tests se realizan. Esto hace que sean mas fiables y que tenga mayor cobertura.</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</si>
  <si>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</si>
  <si>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Respuesta: La asserciones en los test son declaraciones dentro de los test que validan el código, es decir es uno de los elemento más importantes de los test ya que son las líneas del código del test que validan o invalidan un test.</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</si>
  <si>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</si>
  <si>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</si>
  <si>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</si>
  <si>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Respuesta: Los assertions se pueden utilizar para los test como una declaración para verificar una condición y si la condición es falsa, el test fallará. Es importante por que ayuda a minimizar el código de los tests.</t>
  </si>
  <si>
    <t>Respuesta: Las aserciones son importantes ya que validad los resultados de los tests, al fin y al cabo son los encargados de decir si un test pasa o no. Se utilizan al final del test</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</si>
  <si>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</si>
  <si>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</si>
  <si>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Respuesta: Son importantes porque se pueden usar para distintas situaciones, ya sea para ver si funcionan, para ver si son iguales, para eliminar o añadir mas.</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</si>
  <si>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</si>
  <si>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</si>
  <si>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</si>
  <si>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</si>
  <si>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</si>
  <si>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</si>
  <si>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</si>
  <si>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Respuesta: Las aserciones en los test sirven para que el codigo no influya en los datos, es decir, para que el codigo no pueda cambiar o eliminar cualquier tipo de dato que estamos verificando con los tests</t>
  </si>
  <si>
    <t>Respuesta: Se pueden utilizar por ejemplo cuando un campo no puede ser nulo, poniendo @NOTNULL para evitar campos que no se rellenen y sean obligatorios, saltando el error correspondiente para solucionarlo.</t>
  </si>
  <si>
    <t>Respuesta: Las aserciones se pueden utilizar en los tests para comparar valores, datos o resultados. Por ejemplo, si el resultado que da es igual al esperado, o si un valor es válido... Son muy importantes para tener tests completos y cubrir la mayor parte del código</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</si>
  <si>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</si>
  <si>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Respuesta: Las aserciones son comprobadores de datos que devueven valores de tipo bool (verdadero o falso) en los tests. Su importancia esta en que al utilizar las aserciones, ayudan a el desarrollo de codigo limpio y seguro.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</si>
  <si>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</si>
  <si>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</si>
  <si>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</si>
  <si>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</si>
  <si>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Respuesta: Tendríamos diferentes aserciones,
Asssert.Equals() -&gt; asegura que el valor de entrada y el valor esperado es igual.
No me acuerdo de mas asserts ahora mismo ;(
Los asserts son el motor básico del test y lo que asegura que lo que estamos probando esta bien.</t>
  </si>
  <si>
    <t>Respuesta: No lo se :(</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</si>
  <si>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</si>
  <si>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Respuesta: Las aserciones de los test sirven para comprobar que el programa funciona de la manera esperada por el programador. Es una verificación del programa que funciona correctamente.</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</si>
  <si>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</si>
  <si>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</si>
  <si>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</si>
  <si>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Respuesta: Son importantes porque permiten un mayor control a la hora de hacer el testing, y permite el uso de una mayor cantidad de datos, permitiendo que el test sea más viable al cubrir mayor cantidad de datos .</t>
  </si>
  <si>
    <t>Respuesta: No
se
la
respuesta</t>
  </si>
  <si>
    <t>Respuesta: NO SE</t>
  </si>
  <si>
    <t>Respuesta: Con la libreria Jakarta puedes usar aserciones en los test de forma sencilla ya que te añade las funciones como por ejemplo assertequals, son importantes ya que te permiten agilizar y cubrir mejor ciertas cosas a testear.</t>
  </si>
  <si>
    <t>Respuesta: Las aserciones se pueden utilizar para comprobar las salidas de los test en función de las entradas. Esto es muy importante para comprobar si la salida tiene sentido teniendo en cuenta las entradas del test.</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</si>
  <si>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</si>
  <si>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</si>
  <si>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Respuesta: digo lo mismo que en la anterior pregunta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</si>
</sst>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4">
    <font>
      <sz val="10.0"/>
      <color rgb="FF000000"/>
      <name val="Arial"/>
      <scheme val="minor"/>
    </font>
    <font>
      <color theme="1"/>
      <name val="Arial"/>
      <scheme val="minor"/>
    </font>
    <font>
      <color theme="1"/>
      <name val="Arial"/>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3" xfId="0" applyAlignment="1" applyFont="1" applyNumberFormat="1">
      <alignment readingOrder="0"/>
    </xf>
    <xf borderId="0" fillId="0" fontId="2" numFmtId="0" xfId="0" applyAlignment="1" applyFont="1">
      <alignment horizontal="right" vertical="bottom"/>
    </xf>
    <xf borderId="0" fillId="0" fontId="2" numFmtId="4" xfId="0" applyAlignment="1" applyFont="1" applyNumberFormat="1">
      <alignment horizontal="right" vertical="bottom"/>
    </xf>
    <xf borderId="0" fillId="0" fontId="2" numFmtId="4" xfId="0" applyAlignment="1" applyFont="1" applyNumberFormat="1">
      <alignmen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3"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G1" s="2"/>
      <c r="H1" s="2" t="s">
        <v>5</v>
      </c>
      <c r="I1" s="2" t="s">
        <v>6</v>
      </c>
      <c r="J1" s="2"/>
      <c r="K1" s="2"/>
      <c r="L1" s="2"/>
      <c r="M1" s="3" t="s">
        <v>7</v>
      </c>
      <c r="N1" s="3" t="s">
        <v>8</v>
      </c>
      <c r="O1" s="3" t="s">
        <v>9</v>
      </c>
      <c r="P1" s="3" t="s">
        <v>10</v>
      </c>
      <c r="Q1" s="4">
        <v>1.0</v>
      </c>
      <c r="R1" s="4">
        <v>2.0</v>
      </c>
      <c r="S1" s="4">
        <v>3.0</v>
      </c>
      <c r="T1" s="4">
        <v>4.0</v>
      </c>
      <c r="U1" s="4">
        <v>5.0</v>
      </c>
      <c r="V1" s="4">
        <v>-1.0</v>
      </c>
      <c r="W1" s="4">
        <v>-2.0</v>
      </c>
      <c r="X1" s="4">
        <v>-3.0</v>
      </c>
      <c r="Y1" s="4">
        <v>-4.0</v>
      </c>
      <c r="Z1" s="4">
        <v>-5.0</v>
      </c>
      <c r="AA1" s="3" t="s">
        <v>11</v>
      </c>
    </row>
    <row r="2">
      <c r="A2" s="1">
        <v>0.0</v>
      </c>
      <c r="B2" s="1" t="s">
        <v>12</v>
      </c>
      <c r="C2" s="1" t="s">
        <v>13</v>
      </c>
      <c r="D2" s="1" t="s">
        <v>14</v>
      </c>
      <c r="E2" s="1">
        <v>4.0</v>
      </c>
      <c r="F2" s="5">
        <v>231.512308120727</v>
      </c>
      <c r="G2" s="6">
        <f t="shared" ref="G2:G28" si="2">--MID(D2, FIND("Nota:", D2) + 6, 1)</f>
        <v>4</v>
      </c>
      <c r="H2" s="6">
        <f t="shared" ref="H2:H28" si="3">ABS(I2)</f>
        <v>0</v>
      </c>
      <c r="I2" s="7">
        <f t="shared" ref="I2:I28" si="4">E2-G2</f>
        <v>0</v>
      </c>
      <c r="J2" s="8"/>
      <c r="K2" s="2"/>
      <c r="L2" s="2"/>
      <c r="M2" s="4">
        <f>MAX(H1:H90)</f>
        <v>4</v>
      </c>
      <c r="N2" s="9">
        <f t="shared" ref="N2:O2" si="1">AVERAGE(H1:H90)</f>
        <v>1.518518519</v>
      </c>
      <c r="O2" s="9">
        <f t="shared" si="1"/>
        <v>0.4814814815</v>
      </c>
      <c r="P2" s="10">
        <f>COUNTIF(I2:I101, 0) / COUNT(I2:I101)
</f>
        <v>0.1481481481</v>
      </c>
      <c r="Q2" s="11">
        <f>COUNTIF(I2:I72, 1) / COUNT(I2:I72)</f>
        <v>0.3333333333</v>
      </c>
      <c r="R2" s="12">
        <f>COUNTIF(I2:I72, 2) / COUNT(I2:I72)</f>
        <v>0.2222222222</v>
      </c>
      <c r="S2" s="12">
        <f>COUNTIF(I2:I72, 3) / COUNT(I2:I72)</f>
        <v>0.07407407407</v>
      </c>
      <c r="T2" s="12">
        <f>COUNTIF(I2:I72, 4) / COUNT(I2:I72)</f>
        <v>0</v>
      </c>
      <c r="U2" s="12">
        <f>COUNTIF(I2:I72, 5) / COUNT(I2:I72)</f>
        <v>0</v>
      </c>
      <c r="V2" s="12">
        <f>COUNTIF(I2:I72, -1) / COUNT(I2:I72)</f>
        <v>0.03703703704</v>
      </c>
      <c r="W2" s="12">
        <f>COUNTIF(I2:I72, -2) / COUNT(I2:I72)</f>
        <v>0.1111111111</v>
      </c>
      <c r="X2" s="12">
        <f>COUNTIF(I2:I72, -3) / COUNT(I2:I72)</f>
        <v>0.03703703704</v>
      </c>
      <c r="Y2" s="12">
        <f>COUNTIF(H2:H72, -4) / COUNT(H2:H72)</f>
        <v>0</v>
      </c>
      <c r="Z2" s="12">
        <f>COUNTIF(I2:I72, -5) / COUNT(I2:I72)</f>
        <v>0</v>
      </c>
      <c r="AA2" s="12">
        <f>COUNTIF(H:H, "&lt;=1") / COUNT(H:H)</f>
        <v>0.5185185185</v>
      </c>
    </row>
    <row r="3">
      <c r="A3" s="1">
        <v>1.0</v>
      </c>
      <c r="B3" s="1" t="s">
        <v>15</v>
      </c>
      <c r="C3" s="1" t="s">
        <v>13</v>
      </c>
      <c r="D3" s="1" t="s">
        <v>16</v>
      </c>
      <c r="E3" s="1">
        <v>2.0</v>
      </c>
      <c r="F3" s="5">
        <v>149.353250741958</v>
      </c>
      <c r="G3" s="6">
        <f t="shared" si="2"/>
        <v>4</v>
      </c>
      <c r="H3" s="6">
        <f t="shared" si="3"/>
        <v>2</v>
      </c>
      <c r="I3" s="7">
        <f t="shared" si="4"/>
        <v>-2</v>
      </c>
      <c r="J3" s="8"/>
      <c r="K3" s="2"/>
      <c r="L3" s="2"/>
      <c r="M3" s="13" t="s">
        <v>17</v>
      </c>
      <c r="N3" s="13" t="s">
        <v>18</v>
      </c>
      <c r="O3" s="14" t="s">
        <v>19</v>
      </c>
      <c r="P3" s="14" t="s">
        <v>20</v>
      </c>
      <c r="Q3" s="15">
        <f>SUM(Q2:T2)</f>
        <v>0.6296296296</v>
      </c>
      <c r="R3" s="16">
        <f>SUM(V2:X2)</f>
        <v>0.1851851852</v>
      </c>
      <c r="S3" s="2"/>
      <c r="T3" s="2"/>
      <c r="U3" s="2"/>
      <c r="V3" s="2"/>
      <c r="W3" s="2"/>
      <c r="X3" s="2"/>
      <c r="Y3" s="2"/>
      <c r="Z3" s="2"/>
      <c r="AA3" s="2"/>
    </row>
    <row r="4">
      <c r="A4" s="1">
        <v>2.0</v>
      </c>
      <c r="B4" s="1" t="s">
        <v>21</v>
      </c>
      <c r="C4" s="1" t="s">
        <v>13</v>
      </c>
      <c r="D4" s="1" t="s">
        <v>22</v>
      </c>
      <c r="E4" s="1">
        <v>5.0</v>
      </c>
      <c r="F4" s="5">
        <v>154.695502519607</v>
      </c>
      <c r="G4" s="6">
        <f t="shared" si="2"/>
        <v>4</v>
      </c>
      <c r="H4" s="6">
        <f t="shared" si="3"/>
        <v>1</v>
      </c>
      <c r="I4" s="7">
        <f t="shared" si="4"/>
        <v>1</v>
      </c>
    </row>
    <row r="5">
      <c r="A5" s="1">
        <v>3.0</v>
      </c>
      <c r="B5" s="1" t="s">
        <v>23</v>
      </c>
      <c r="C5" s="1" t="s">
        <v>13</v>
      </c>
      <c r="D5" s="1" t="s">
        <v>24</v>
      </c>
      <c r="E5" s="1">
        <v>4.0</v>
      </c>
      <c r="F5" s="5">
        <v>178.66934800148</v>
      </c>
      <c r="G5" s="6">
        <f t="shared" si="2"/>
        <v>5</v>
      </c>
      <c r="H5" s="6">
        <f t="shared" si="3"/>
        <v>1</v>
      </c>
      <c r="I5" s="7">
        <f t="shared" si="4"/>
        <v>-1</v>
      </c>
    </row>
    <row r="6">
      <c r="A6" s="1">
        <v>4.0</v>
      </c>
      <c r="B6" s="1" t="s">
        <v>25</v>
      </c>
      <c r="C6" s="1" t="s">
        <v>13</v>
      </c>
      <c r="D6" s="1" t="s">
        <v>26</v>
      </c>
      <c r="E6" s="1">
        <v>6.0</v>
      </c>
      <c r="F6" s="5">
        <v>250.516449928283</v>
      </c>
      <c r="G6" s="6">
        <f t="shared" si="2"/>
        <v>4</v>
      </c>
      <c r="H6" s="6">
        <f t="shared" si="3"/>
        <v>2</v>
      </c>
      <c r="I6" s="7">
        <f t="shared" si="4"/>
        <v>2</v>
      </c>
    </row>
    <row r="7">
      <c r="A7" s="1">
        <v>5.0</v>
      </c>
      <c r="B7" s="1" t="s">
        <v>27</v>
      </c>
      <c r="C7" s="1" t="s">
        <v>13</v>
      </c>
      <c r="D7" s="1" t="s">
        <v>28</v>
      </c>
      <c r="E7" s="1">
        <v>6.0</v>
      </c>
      <c r="F7" s="5">
        <v>271.675412416458</v>
      </c>
      <c r="G7" s="6">
        <f t="shared" si="2"/>
        <v>5</v>
      </c>
      <c r="H7" s="6">
        <f t="shared" si="3"/>
        <v>1</v>
      </c>
      <c r="I7" s="7">
        <f t="shared" si="4"/>
        <v>1</v>
      </c>
    </row>
    <row r="8">
      <c r="A8" s="1">
        <v>6.0</v>
      </c>
      <c r="B8" s="1" t="s">
        <v>29</v>
      </c>
      <c r="C8" s="1" t="s">
        <v>13</v>
      </c>
      <c r="D8" s="1" t="s">
        <v>30</v>
      </c>
      <c r="E8" s="1">
        <v>7.0</v>
      </c>
      <c r="F8" s="5">
        <v>169.378648757934</v>
      </c>
      <c r="G8" s="6">
        <f t="shared" si="2"/>
        <v>7</v>
      </c>
      <c r="H8" s="6">
        <f t="shared" si="3"/>
        <v>0</v>
      </c>
      <c r="I8" s="7">
        <f t="shared" si="4"/>
        <v>0</v>
      </c>
    </row>
    <row r="9">
      <c r="A9" s="1">
        <v>7.0</v>
      </c>
      <c r="B9" s="1" t="s">
        <v>31</v>
      </c>
      <c r="C9" s="1" t="s">
        <v>13</v>
      </c>
      <c r="D9" s="1" t="s">
        <v>32</v>
      </c>
      <c r="E9" s="1">
        <v>5.0</v>
      </c>
      <c r="F9" s="5">
        <v>263.189378976821</v>
      </c>
      <c r="G9" s="6">
        <f t="shared" si="2"/>
        <v>4</v>
      </c>
      <c r="H9" s="6">
        <f t="shared" si="3"/>
        <v>1</v>
      </c>
      <c r="I9" s="7">
        <f t="shared" si="4"/>
        <v>1</v>
      </c>
    </row>
    <row r="10">
      <c r="A10" s="1">
        <v>8.0</v>
      </c>
      <c r="B10" s="1" t="s">
        <v>33</v>
      </c>
      <c r="C10" s="1" t="s">
        <v>13</v>
      </c>
      <c r="D10" s="1" t="s">
        <v>34</v>
      </c>
      <c r="E10" s="1">
        <v>7.0</v>
      </c>
      <c r="F10" s="5">
        <v>194.610918045043</v>
      </c>
      <c r="G10" s="6">
        <f t="shared" si="2"/>
        <v>5</v>
      </c>
      <c r="H10" s="6">
        <f t="shared" si="3"/>
        <v>2</v>
      </c>
      <c r="I10" s="7">
        <f t="shared" si="4"/>
        <v>2</v>
      </c>
    </row>
    <row r="11">
      <c r="A11" s="1">
        <v>9.0</v>
      </c>
      <c r="B11" s="1" t="s">
        <v>35</v>
      </c>
      <c r="C11" s="1" t="s">
        <v>13</v>
      </c>
      <c r="D11" s="1" t="s">
        <v>36</v>
      </c>
      <c r="E11" s="1">
        <v>6.0</v>
      </c>
      <c r="F11" s="5">
        <v>206.739235401153</v>
      </c>
      <c r="G11" s="6">
        <f t="shared" si="2"/>
        <v>4</v>
      </c>
      <c r="H11" s="6">
        <f t="shared" si="3"/>
        <v>2</v>
      </c>
      <c r="I11" s="7">
        <f t="shared" si="4"/>
        <v>2</v>
      </c>
    </row>
    <row r="12">
      <c r="A12" s="1">
        <v>10.0</v>
      </c>
      <c r="B12" s="1" t="s">
        <v>37</v>
      </c>
      <c r="C12" s="1" t="s">
        <v>13</v>
      </c>
      <c r="D12" s="1" t="s">
        <v>38</v>
      </c>
      <c r="E12" s="1">
        <v>6.0</v>
      </c>
      <c r="F12" s="5">
        <v>181.959731340408</v>
      </c>
      <c r="G12" s="6">
        <f t="shared" si="2"/>
        <v>5</v>
      </c>
      <c r="H12" s="6">
        <f t="shared" si="3"/>
        <v>1</v>
      </c>
      <c r="I12" s="7">
        <f t="shared" si="4"/>
        <v>1</v>
      </c>
    </row>
    <row r="13">
      <c r="A13" s="1">
        <v>11.0</v>
      </c>
      <c r="B13" s="1" t="s">
        <v>39</v>
      </c>
      <c r="C13" s="1" t="s">
        <v>13</v>
      </c>
      <c r="D13" s="1" t="s">
        <v>40</v>
      </c>
      <c r="E13" s="1">
        <v>6.0</v>
      </c>
      <c r="F13" s="5">
        <v>175.422120332717</v>
      </c>
      <c r="G13" s="6">
        <f t="shared" si="2"/>
        <v>5</v>
      </c>
      <c r="H13" s="6">
        <f t="shared" si="3"/>
        <v>1</v>
      </c>
      <c r="I13" s="7">
        <f t="shared" si="4"/>
        <v>1</v>
      </c>
    </row>
    <row r="14">
      <c r="A14" s="1">
        <v>12.0</v>
      </c>
      <c r="B14" s="1" t="s">
        <v>41</v>
      </c>
      <c r="C14" s="1" t="s">
        <v>13</v>
      </c>
      <c r="D14" s="1" t="s">
        <v>42</v>
      </c>
      <c r="E14" s="1">
        <v>8.0</v>
      </c>
      <c r="F14" s="5">
        <v>290.906566143035</v>
      </c>
      <c r="G14" s="6">
        <f t="shared" si="2"/>
        <v>7</v>
      </c>
      <c r="H14" s="6">
        <f t="shared" si="3"/>
        <v>1</v>
      </c>
      <c r="I14" s="7">
        <f t="shared" si="4"/>
        <v>1</v>
      </c>
    </row>
    <row r="15">
      <c r="A15" s="1">
        <v>13.0</v>
      </c>
      <c r="B15" s="1" t="s">
        <v>43</v>
      </c>
      <c r="C15" s="1" t="s">
        <v>13</v>
      </c>
      <c r="D15" s="1" t="s">
        <v>44</v>
      </c>
      <c r="E15" s="1">
        <v>5.0</v>
      </c>
      <c r="F15" s="5">
        <v>110.753563642501</v>
      </c>
      <c r="G15" s="6">
        <f t="shared" si="2"/>
        <v>4</v>
      </c>
      <c r="H15" s="6">
        <f t="shared" si="3"/>
        <v>1</v>
      </c>
      <c r="I15" s="7">
        <f t="shared" si="4"/>
        <v>1</v>
      </c>
    </row>
    <row r="16">
      <c r="A16" s="1">
        <v>14.0</v>
      </c>
      <c r="B16" s="1" t="s">
        <v>45</v>
      </c>
      <c r="C16" s="1" t="s">
        <v>13</v>
      </c>
      <c r="D16" s="1" t="s">
        <v>46</v>
      </c>
      <c r="E16" s="1">
        <v>7.0</v>
      </c>
      <c r="F16" s="5">
        <v>146.575416564941</v>
      </c>
      <c r="G16" s="6">
        <f t="shared" si="2"/>
        <v>5</v>
      </c>
      <c r="H16" s="6">
        <f t="shared" si="3"/>
        <v>2</v>
      </c>
      <c r="I16" s="7">
        <f t="shared" si="4"/>
        <v>2</v>
      </c>
    </row>
    <row r="17">
      <c r="A17" s="1">
        <v>15.0</v>
      </c>
      <c r="B17" s="1" t="s">
        <v>47</v>
      </c>
      <c r="C17" s="1" t="s">
        <v>13</v>
      </c>
      <c r="D17" s="1" t="s">
        <v>48</v>
      </c>
      <c r="E17" s="1">
        <v>2.0</v>
      </c>
      <c r="F17" s="5">
        <v>277.866176366806</v>
      </c>
      <c r="G17" s="6">
        <f t="shared" si="2"/>
        <v>4</v>
      </c>
      <c r="H17" s="6">
        <f t="shared" si="3"/>
        <v>2</v>
      </c>
      <c r="I17" s="7">
        <f t="shared" si="4"/>
        <v>-2</v>
      </c>
    </row>
    <row r="18">
      <c r="A18" s="1">
        <v>16.0</v>
      </c>
      <c r="B18" s="1" t="s">
        <v>49</v>
      </c>
      <c r="C18" s="1" t="s">
        <v>13</v>
      </c>
      <c r="D18" s="1" t="s">
        <v>50</v>
      </c>
      <c r="E18" s="1">
        <v>7.0</v>
      </c>
      <c r="F18" s="5">
        <v>266.996989250183</v>
      </c>
      <c r="G18" s="6">
        <f t="shared" si="2"/>
        <v>5</v>
      </c>
      <c r="H18" s="6">
        <f t="shared" si="3"/>
        <v>2</v>
      </c>
      <c r="I18" s="7">
        <f t="shared" si="4"/>
        <v>2</v>
      </c>
    </row>
    <row r="19">
      <c r="A19" s="1">
        <v>17.0</v>
      </c>
      <c r="B19" s="1" t="s">
        <v>51</v>
      </c>
      <c r="C19" s="1" t="s">
        <v>13</v>
      </c>
      <c r="D19" s="1" t="s">
        <v>52</v>
      </c>
      <c r="E19" s="1">
        <v>7.0</v>
      </c>
      <c r="F19" s="5">
        <v>228.532328367233</v>
      </c>
      <c r="G19" s="6">
        <f t="shared" si="2"/>
        <v>6</v>
      </c>
      <c r="H19" s="6">
        <f t="shared" si="3"/>
        <v>1</v>
      </c>
      <c r="I19" s="7">
        <f t="shared" si="4"/>
        <v>1</v>
      </c>
    </row>
    <row r="20">
      <c r="A20" s="1">
        <v>18.0</v>
      </c>
      <c r="B20" s="1" t="s">
        <v>53</v>
      </c>
      <c r="C20" s="1" t="s">
        <v>13</v>
      </c>
      <c r="D20" s="1" t="s">
        <v>54</v>
      </c>
      <c r="E20" s="1">
        <v>0.0</v>
      </c>
      <c r="F20" s="5">
        <v>226.674964189529</v>
      </c>
      <c r="G20" s="6">
        <f t="shared" si="2"/>
        <v>3</v>
      </c>
      <c r="H20" s="6">
        <f t="shared" si="3"/>
        <v>3</v>
      </c>
      <c r="I20" s="7">
        <f t="shared" si="4"/>
        <v>-3</v>
      </c>
    </row>
    <row r="21">
      <c r="A21" s="1">
        <v>19.0</v>
      </c>
      <c r="B21" s="1" t="s">
        <v>55</v>
      </c>
      <c r="C21" s="1" t="s">
        <v>13</v>
      </c>
      <c r="D21" s="1" t="s">
        <v>56</v>
      </c>
      <c r="E21" s="1">
        <v>8.0</v>
      </c>
      <c r="F21" s="5">
        <v>195.702623605728</v>
      </c>
      <c r="G21" s="6">
        <f t="shared" si="2"/>
        <v>7</v>
      </c>
      <c r="H21" s="6">
        <f t="shared" si="3"/>
        <v>1</v>
      </c>
      <c r="I21" s="7">
        <f t="shared" si="4"/>
        <v>1</v>
      </c>
    </row>
    <row r="22">
      <c r="A22" s="1">
        <v>20.0</v>
      </c>
      <c r="B22" s="1" t="s">
        <v>57</v>
      </c>
      <c r="C22" s="1" t="s">
        <v>13</v>
      </c>
      <c r="D22" s="1" t="s">
        <v>58</v>
      </c>
      <c r="E22" s="1">
        <v>4.0</v>
      </c>
      <c r="F22" s="5">
        <v>183.24456834793</v>
      </c>
      <c r="G22" s="6">
        <f t="shared" si="2"/>
        <v>4</v>
      </c>
      <c r="H22" s="6">
        <f t="shared" si="3"/>
        <v>0</v>
      </c>
      <c r="I22" s="7">
        <f t="shared" si="4"/>
        <v>0</v>
      </c>
    </row>
    <row r="23">
      <c r="A23" s="1">
        <v>21.0</v>
      </c>
      <c r="B23" s="1" t="s">
        <v>59</v>
      </c>
      <c r="C23" s="1" t="s">
        <v>13</v>
      </c>
      <c r="D23" s="1" t="s">
        <v>60</v>
      </c>
      <c r="E23" s="1">
        <v>7.0</v>
      </c>
      <c r="F23" s="5">
        <v>212.350003957748</v>
      </c>
      <c r="G23" s="6">
        <f t="shared" si="2"/>
        <v>4</v>
      </c>
      <c r="H23" s="6">
        <f t="shared" si="3"/>
        <v>3</v>
      </c>
      <c r="I23" s="7">
        <f t="shared" si="4"/>
        <v>3</v>
      </c>
    </row>
    <row r="24">
      <c r="A24" s="1">
        <v>22.0</v>
      </c>
      <c r="B24" s="1" t="s">
        <v>61</v>
      </c>
      <c r="C24" s="1" t="s">
        <v>13</v>
      </c>
      <c r="D24" s="1" t="s">
        <v>62</v>
      </c>
      <c r="E24" s="1">
        <v>1.0</v>
      </c>
      <c r="F24" s="5">
        <v>119.184385776519</v>
      </c>
      <c r="G24" s="6">
        <f t="shared" si="2"/>
        <v>3</v>
      </c>
      <c r="H24" s="6">
        <f t="shared" si="3"/>
        <v>2</v>
      </c>
      <c r="I24" s="7">
        <f t="shared" si="4"/>
        <v>-2</v>
      </c>
    </row>
    <row r="25">
      <c r="A25" s="1">
        <v>23.0</v>
      </c>
      <c r="B25" s="1" t="s">
        <v>63</v>
      </c>
      <c r="C25" s="1" t="s">
        <v>13</v>
      </c>
      <c r="D25" s="1" t="s">
        <v>64</v>
      </c>
      <c r="E25" s="1">
        <v>0.0</v>
      </c>
      <c r="F25" s="5">
        <v>200.183676481246</v>
      </c>
      <c r="G25" s="6">
        <f t="shared" si="2"/>
        <v>4</v>
      </c>
      <c r="H25" s="6">
        <f t="shared" si="3"/>
        <v>4</v>
      </c>
      <c r="I25" s="7">
        <f t="shared" si="4"/>
        <v>-4</v>
      </c>
    </row>
    <row r="26">
      <c r="A26" s="1">
        <v>24.0</v>
      </c>
      <c r="B26" s="1" t="s">
        <v>65</v>
      </c>
      <c r="C26" s="1" t="s">
        <v>13</v>
      </c>
      <c r="D26" s="1" t="s">
        <v>66</v>
      </c>
      <c r="E26" s="1">
        <v>7.0</v>
      </c>
      <c r="F26" s="5">
        <v>189.7500603199</v>
      </c>
      <c r="G26" s="6">
        <f t="shared" si="2"/>
        <v>5</v>
      </c>
      <c r="H26" s="6">
        <f t="shared" si="3"/>
        <v>2</v>
      </c>
      <c r="I26" s="7">
        <f t="shared" si="4"/>
        <v>2</v>
      </c>
    </row>
    <row r="27">
      <c r="A27" s="1">
        <v>25.0</v>
      </c>
      <c r="B27" s="1" t="s">
        <v>67</v>
      </c>
      <c r="C27" s="1" t="s">
        <v>13</v>
      </c>
      <c r="D27" s="1" t="s">
        <v>68</v>
      </c>
      <c r="E27" s="1">
        <v>7.0</v>
      </c>
      <c r="F27" s="5">
        <v>154.015409946441</v>
      </c>
      <c r="G27" s="6">
        <f t="shared" si="2"/>
        <v>4</v>
      </c>
      <c r="H27" s="6">
        <f t="shared" si="3"/>
        <v>3</v>
      </c>
      <c r="I27" s="7">
        <f t="shared" si="4"/>
        <v>3</v>
      </c>
    </row>
    <row r="28">
      <c r="A28" s="1">
        <v>26.0</v>
      </c>
      <c r="B28" s="1" t="s">
        <v>69</v>
      </c>
      <c r="C28" s="1" t="s">
        <v>13</v>
      </c>
      <c r="D28" s="1" t="s">
        <v>70</v>
      </c>
      <c r="E28" s="1">
        <v>4.0</v>
      </c>
      <c r="F28" s="5">
        <v>180.745090484619</v>
      </c>
      <c r="G28" s="6">
        <f t="shared" si="2"/>
        <v>4</v>
      </c>
      <c r="H28" s="6">
        <f t="shared" si="3"/>
        <v>0</v>
      </c>
      <c r="I28" s="7">
        <f t="shared" si="4"/>
        <v>0</v>
      </c>
    </row>
    <row r="29">
      <c r="A29" s="1">
        <v>27.0</v>
      </c>
      <c r="B29" s="1" t="s">
        <v>71</v>
      </c>
      <c r="C29" s="1" t="s">
        <v>13</v>
      </c>
      <c r="D29" s="1" t="s">
        <v>72</v>
      </c>
      <c r="E29" s="1">
        <v>4.0</v>
      </c>
      <c r="F29" s="5">
        <v>2734.14970564842</v>
      </c>
    </row>
    <row r="30">
      <c r="A30" s="1">
        <v>28.0</v>
      </c>
      <c r="B30" s="1" t="s">
        <v>73</v>
      </c>
      <c r="C30" s="1" t="s">
        <v>13</v>
      </c>
      <c r="D30" s="1" t="s">
        <v>72</v>
      </c>
      <c r="E30" s="1">
        <v>3.0</v>
      </c>
      <c r="F30" s="5">
        <v>0.372251272201538</v>
      </c>
    </row>
    <row r="31">
      <c r="A31" s="1">
        <v>29.0</v>
      </c>
      <c r="B31" s="1" t="s">
        <v>74</v>
      </c>
      <c r="C31" s="1" t="s">
        <v>13</v>
      </c>
      <c r="D31" s="1" t="s">
        <v>72</v>
      </c>
      <c r="E31" s="1">
        <v>9.0</v>
      </c>
      <c r="F31" s="5">
        <v>0.343827009201049</v>
      </c>
    </row>
    <row r="32">
      <c r="A32" s="1">
        <v>30.0</v>
      </c>
      <c r="B32" s="1" t="s">
        <v>75</v>
      </c>
      <c r="C32" s="1" t="s">
        <v>13</v>
      </c>
      <c r="D32" s="1" t="s">
        <v>72</v>
      </c>
      <c r="E32" s="1">
        <v>8.0</v>
      </c>
      <c r="F32" s="5">
        <v>0.357475996017456</v>
      </c>
    </row>
    <row r="33">
      <c r="A33" s="1">
        <v>31.0</v>
      </c>
      <c r="B33" s="1" t="s">
        <v>76</v>
      </c>
      <c r="C33" s="1" t="s">
        <v>13</v>
      </c>
      <c r="D33" s="1" t="s">
        <v>72</v>
      </c>
      <c r="E33" s="1">
        <v>8.0</v>
      </c>
      <c r="F33" s="5">
        <v>0.337830066680908</v>
      </c>
    </row>
    <row r="34">
      <c r="A34" s="1">
        <v>32.0</v>
      </c>
      <c r="B34" s="1" t="s">
        <v>77</v>
      </c>
      <c r="C34" s="1" t="s">
        <v>13</v>
      </c>
      <c r="D34" s="1" t="s">
        <v>72</v>
      </c>
      <c r="E34" s="1">
        <v>9.0</v>
      </c>
      <c r="F34" s="5">
        <v>0.343235731124877</v>
      </c>
    </row>
    <row r="35">
      <c r="A35" s="1">
        <v>33.0</v>
      </c>
      <c r="B35" s="1" t="s">
        <v>78</v>
      </c>
      <c r="C35" s="1" t="s">
        <v>13</v>
      </c>
      <c r="D35" s="1" t="s">
        <v>72</v>
      </c>
      <c r="E35" s="1">
        <v>7.0</v>
      </c>
      <c r="F35" s="5">
        <v>8440.27804946899</v>
      </c>
    </row>
    <row r="36">
      <c r="A36" s="1">
        <v>34.0</v>
      </c>
      <c r="B36" s="1" t="s">
        <v>79</v>
      </c>
      <c r="C36" s="1" t="s">
        <v>13</v>
      </c>
      <c r="D36" s="1" t="s">
        <v>72</v>
      </c>
      <c r="E36" s="1">
        <v>6.0</v>
      </c>
      <c r="F36" s="5">
        <v>0.406713008880615</v>
      </c>
    </row>
    <row r="37">
      <c r="A37" s="1">
        <v>35.0</v>
      </c>
      <c r="B37" s="1" t="s">
        <v>80</v>
      </c>
      <c r="C37" s="1" t="s">
        <v>13</v>
      </c>
      <c r="D37" s="1" t="s">
        <v>72</v>
      </c>
      <c r="E37" s="1">
        <v>6.0</v>
      </c>
      <c r="F37" s="5">
        <v>0.336180210113525</v>
      </c>
    </row>
    <row r="38">
      <c r="A38" s="1">
        <v>36.0</v>
      </c>
      <c r="B38" s="1" t="s">
        <v>81</v>
      </c>
      <c r="C38" s="1" t="s">
        <v>13</v>
      </c>
      <c r="D38" s="1" t="s">
        <v>72</v>
      </c>
      <c r="E38" s="1">
        <v>8.0</v>
      </c>
      <c r="F38" s="5">
        <v>0.317777156829834</v>
      </c>
    </row>
    <row r="39">
      <c r="A39" s="1">
        <v>37.0</v>
      </c>
      <c r="B39" s="1" t="s">
        <v>82</v>
      </c>
      <c r="C39" s="1" t="s">
        <v>13</v>
      </c>
      <c r="D39" s="1" t="s">
        <v>72</v>
      </c>
      <c r="E39" s="1">
        <v>8.0</v>
      </c>
      <c r="F39" s="5">
        <v>0.329461574554443</v>
      </c>
    </row>
    <row r="40">
      <c r="A40" s="1">
        <v>38.0</v>
      </c>
      <c r="B40" s="1" t="s">
        <v>83</v>
      </c>
      <c r="C40" s="1" t="s">
        <v>13</v>
      </c>
      <c r="D40" s="1" t="s">
        <v>72</v>
      </c>
      <c r="E40" s="1">
        <v>1.0</v>
      </c>
      <c r="F40" s="5">
        <v>0.322872638702392</v>
      </c>
    </row>
    <row r="41">
      <c r="A41" s="1">
        <v>39.0</v>
      </c>
      <c r="B41" s="1" t="s">
        <v>84</v>
      </c>
      <c r="C41" s="1" t="s">
        <v>13</v>
      </c>
      <c r="D41" s="1" t="s">
        <v>72</v>
      </c>
      <c r="E41" s="1">
        <v>8.0</v>
      </c>
      <c r="F41" s="5">
        <v>0.329477071762084</v>
      </c>
    </row>
    <row r="42">
      <c r="A42" s="1">
        <v>40.0</v>
      </c>
      <c r="B42" s="1" t="s">
        <v>85</v>
      </c>
      <c r="C42" s="1" t="s">
        <v>13</v>
      </c>
      <c r="D42" s="1" t="s">
        <v>72</v>
      </c>
      <c r="E42" s="1">
        <v>7.0</v>
      </c>
      <c r="F42" s="5">
        <v>0.326686859130859</v>
      </c>
    </row>
    <row r="43">
      <c r="A43" s="1">
        <v>41.0</v>
      </c>
      <c r="B43" s="1" t="s">
        <v>86</v>
      </c>
      <c r="C43" s="1" t="s">
        <v>13</v>
      </c>
      <c r="D43" s="1" t="s">
        <v>72</v>
      </c>
      <c r="E43" s="1">
        <v>6.0</v>
      </c>
      <c r="F43" s="5">
        <v>0.346789598464965</v>
      </c>
    </row>
    <row r="44">
      <c r="A44" s="1">
        <v>42.0</v>
      </c>
      <c r="B44" s="1" t="s">
        <v>87</v>
      </c>
      <c r="C44" s="1" t="s">
        <v>13</v>
      </c>
      <c r="D44" s="1" t="s">
        <v>72</v>
      </c>
      <c r="E44" s="1">
        <v>9.0</v>
      </c>
      <c r="F44" s="5">
        <v>0.362053871154785</v>
      </c>
    </row>
    <row r="45">
      <c r="A45" s="1">
        <v>43.0</v>
      </c>
      <c r="B45" s="1" t="s">
        <v>88</v>
      </c>
      <c r="C45" s="1" t="s">
        <v>13</v>
      </c>
      <c r="D45" s="1" t="s">
        <v>72</v>
      </c>
      <c r="E45" s="1">
        <v>3.0</v>
      </c>
      <c r="F45" s="5">
        <v>0.325713157653808</v>
      </c>
    </row>
    <row r="46">
      <c r="A46" s="1">
        <v>44.0</v>
      </c>
      <c r="B46" s="1" t="s">
        <v>89</v>
      </c>
      <c r="C46" s="1" t="s">
        <v>13</v>
      </c>
      <c r="D46" s="1" t="s">
        <v>72</v>
      </c>
      <c r="E46" s="1">
        <v>8.0</v>
      </c>
      <c r="F46" s="5">
        <v>0.333094358444213</v>
      </c>
    </row>
    <row r="47">
      <c r="A47" s="1">
        <v>45.0</v>
      </c>
      <c r="B47" s="1" t="s">
        <v>90</v>
      </c>
      <c r="C47" s="1" t="s">
        <v>13</v>
      </c>
      <c r="D47" s="1" t="s">
        <v>72</v>
      </c>
      <c r="E47" s="1">
        <v>3.0</v>
      </c>
      <c r="F47" s="5">
        <v>0.330669641494751</v>
      </c>
    </row>
    <row r="48">
      <c r="A48" s="1">
        <v>46.0</v>
      </c>
      <c r="B48" s="1" t="s">
        <v>91</v>
      </c>
      <c r="C48" s="1" t="s">
        <v>13</v>
      </c>
      <c r="D48" s="1" t="s">
        <v>72</v>
      </c>
      <c r="E48" s="1">
        <v>2.0</v>
      </c>
      <c r="F48" s="5">
        <v>0.328371524810791</v>
      </c>
    </row>
    <row r="49">
      <c r="A49" s="1">
        <v>47.0</v>
      </c>
      <c r="B49" s="1" t="s">
        <v>92</v>
      </c>
      <c r="C49" s="1" t="s">
        <v>13</v>
      </c>
      <c r="D49" s="1" t="s">
        <v>72</v>
      </c>
      <c r="E49" s="1">
        <v>2.0</v>
      </c>
      <c r="F49" s="5">
        <v>0.336204051971435</v>
      </c>
    </row>
    <row r="50">
      <c r="A50" s="1">
        <v>48.0</v>
      </c>
      <c r="B50" s="1" t="s">
        <v>93</v>
      </c>
      <c r="C50" s="1" t="s">
        <v>13</v>
      </c>
      <c r="D50" s="1" t="s">
        <v>72</v>
      </c>
      <c r="E50" s="1">
        <v>8.0</v>
      </c>
      <c r="F50" s="5">
        <v>0.332319498062133</v>
      </c>
    </row>
    <row r="51">
      <c r="A51" s="1">
        <v>49.0</v>
      </c>
      <c r="B51" s="1" t="s">
        <v>94</v>
      </c>
      <c r="C51" s="1" t="s">
        <v>13</v>
      </c>
      <c r="D51" s="1" t="s">
        <v>72</v>
      </c>
      <c r="E51" s="1">
        <v>8.0</v>
      </c>
      <c r="F51" s="5">
        <v>0.340171575546264</v>
      </c>
    </row>
    <row r="52">
      <c r="A52" s="1">
        <v>50.0</v>
      </c>
      <c r="B52" s="1" t="s">
        <v>95</v>
      </c>
      <c r="C52" s="1" t="s">
        <v>13</v>
      </c>
      <c r="D52" s="1" t="s">
        <v>72</v>
      </c>
      <c r="E52" s="1">
        <v>4.0</v>
      </c>
      <c r="F52" s="5">
        <v>0.348253488540649</v>
      </c>
    </row>
    <row r="53">
      <c r="A53" s="1">
        <v>51.0</v>
      </c>
      <c r="B53" s="1" t="s">
        <v>96</v>
      </c>
      <c r="C53" s="1" t="s">
        <v>13</v>
      </c>
      <c r="D53" s="1" t="s">
        <v>72</v>
      </c>
      <c r="E53" s="1">
        <v>7.0</v>
      </c>
      <c r="F53" s="5">
        <v>0.335060358047485</v>
      </c>
    </row>
    <row r="54">
      <c r="A54" s="1">
        <v>52.0</v>
      </c>
      <c r="B54" s="1" t="s">
        <v>97</v>
      </c>
      <c r="C54" s="1" t="s">
        <v>13</v>
      </c>
      <c r="D54" s="1" t="s">
        <v>72</v>
      </c>
      <c r="E54" s="1">
        <v>5.0</v>
      </c>
      <c r="F54" s="5">
        <v>0.339682340621948</v>
      </c>
    </row>
    <row r="55">
      <c r="A55" s="1">
        <v>53.0</v>
      </c>
      <c r="B55" s="1" t="s">
        <v>98</v>
      </c>
      <c r="C55" s="1" t="s">
        <v>13</v>
      </c>
      <c r="D55" s="1" t="s">
        <v>72</v>
      </c>
      <c r="E55" s="1">
        <v>5.0</v>
      </c>
      <c r="F55" s="5">
        <v>0.330705642700195</v>
      </c>
    </row>
    <row r="56">
      <c r="A56" s="1">
        <v>54.0</v>
      </c>
      <c r="B56" s="1" t="s">
        <v>99</v>
      </c>
      <c r="C56" s="1" t="s">
        <v>13</v>
      </c>
      <c r="D56" s="1" t="s">
        <v>72</v>
      </c>
      <c r="E56" s="1">
        <v>9.0</v>
      </c>
      <c r="F56" s="5">
        <v>0.327366113662719</v>
      </c>
    </row>
    <row r="57">
      <c r="A57" s="1">
        <v>55.0</v>
      </c>
      <c r="B57" s="1" t="s">
        <v>100</v>
      </c>
      <c r="C57" s="1" t="s">
        <v>13</v>
      </c>
      <c r="D57" s="1" t="s">
        <v>72</v>
      </c>
      <c r="E57" s="1">
        <v>4.0</v>
      </c>
      <c r="F57" s="5">
        <v>0.340172529220581</v>
      </c>
    </row>
    <row r="58">
      <c r="A58" s="1">
        <v>56.0</v>
      </c>
      <c r="B58" s="1" t="s">
        <v>101</v>
      </c>
      <c r="C58" s="1" t="s">
        <v>13</v>
      </c>
      <c r="D58" s="1" t="s">
        <v>72</v>
      </c>
      <c r="E58" s="1">
        <v>0.0</v>
      </c>
      <c r="F58" s="5">
        <v>0.353681087493896</v>
      </c>
    </row>
    <row r="59">
      <c r="A59" s="1">
        <v>57.0</v>
      </c>
      <c r="B59" s="1" t="s">
        <v>102</v>
      </c>
      <c r="C59" s="1" t="s">
        <v>13</v>
      </c>
      <c r="D59" s="1" t="s">
        <v>72</v>
      </c>
      <c r="E59" s="1">
        <v>2.0</v>
      </c>
      <c r="F59" s="5">
        <v>0.336467981338501</v>
      </c>
    </row>
    <row r="60">
      <c r="A60" s="1">
        <v>58.0</v>
      </c>
      <c r="B60" s="1" t="s">
        <v>103</v>
      </c>
      <c r="C60" s="1" t="s">
        <v>13</v>
      </c>
      <c r="D60" s="1" t="s">
        <v>72</v>
      </c>
      <c r="E60" s="1">
        <v>3.0</v>
      </c>
      <c r="F60" s="5">
        <v>0.332057952880859</v>
      </c>
    </row>
    <row r="61">
      <c r="A61" s="1">
        <v>59.0</v>
      </c>
      <c r="B61" s="1" t="s">
        <v>104</v>
      </c>
      <c r="C61" s="1" t="s">
        <v>13</v>
      </c>
      <c r="D61" s="1" t="s">
        <v>72</v>
      </c>
      <c r="E61" s="1">
        <v>1.0</v>
      </c>
      <c r="F61" s="5">
        <v>0.331715106964111</v>
      </c>
    </row>
    <row r="62">
      <c r="A62" s="1">
        <v>60.0</v>
      </c>
      <c r="B62" s="1" t="s">
        <v>105</v>
      </c>
      <c r="C62" s="1" t="s">
        <v>13</v>
      </c>
      <c r="D62" s="1" t="s">
        <v>72</v>
      </c>
      <c r="E62" s="1">
        <v>9.0</v>
      </c>
      <c r="F62" s="5">
        <v>0.334510564804077</v>
      </c>
    </row>
    <row r="63">
      <c r="A63" s="1">
        <v>61.0</v>
      </c>
      <c r="B63" s="1" t="s">
        <v>106</v>
      </c>
      <c r="C63" s="1" t="s">
        <v>13</v>
      </c>
      <c r="D63" s="1" t="s">
        <v>72</v>
      </c>
      <c r="E63" s="1">
        <v>3.0</v>
      </c>
      <c r="F63" s="5">
        <v>0.338037490844726</v>
      </c>
    </row>
    <row r="64">
      <c r="A64" s="1">
        <v>62.0</v>
      </c>
      <c r="B64" s="1" t="s">
        <v>107</v>
      </c>
      <c r="C64" s="1" t="s">
        <v>13</v>
      </c>
      <c r="D64" s="1" t="s">
        <v>72</v>
      </c>
      <c r="E64" s="1">
        <v>2.0</v>
      </c>
      <c r="F64" s="5">
        <v>0.328338623046875</v>
      </c>
    </row>
    <row r="65">
      <c r="A65" s="1">
        <v>63.0</v>
      </c>
      <c r="B65" s="1" t="s">
        <v>108</v>
      </c>
      <c r="C65" s="1" t="s">
        <v>13</v>
      </c>
      <c r="D65" s="1" t="s">
        <v>72</v>
      </c>
      <c r="E65" s="1">
        <v>0.0</v>
      </c>
      <c r="F65" s="5">
        <v>0.327739715576171</v>
      </c>
    </row>
    <row r="66">
      <c r="A66" s="1">
        <v>64.0</v>
      </c>
      <c r="B66" s="1" t="s">
        <v>109</v>
      </c>
      <c r="C66" s="1" t="s">
        <v>13</v>
      </c>
      <c r="D66" s="1" t="s">
        <v>72</v>
      </c>
      <c r="E66" s="1">
        <v>0.0</v>
      </c>
      <c r="F66" s="5">
        <v>0.330279111862182</v>
      </c>
    </row>
    <row r="67">
      <c r="A67" s="1">
        <v>65.0</v>
      </c>
      <c r="B67" s="1" t="s">
        <v>110</v>
      </c>
      <c r="C67" s="1" t="s">
        <v>13</v>
      </c>
      <c r="D67" s="1" t="s">
        <v>72</v>
      </c>
      <c r="E67" s="1">
        <v>4.0</v>
      </c>
      <c r="F67" s="5">
        <v>0.334444999694824</v>
      </c>
    </row>
    <row r="68">
      <c r="A68" s="1">
        <v>66.0</v>
      </c>
      <c r="B68" s="1" t="s">
        <v>111</v>
      </c>
      <c r="C68" s="1" t="s">
        <v>13</v>
      </c>
      <c r="D68" s="1" t="s">
        <v>72</v>
      </c>
      <c r="E68" s="1">
        <v>6.0</v>
      </c>
      <c r="F68" s="5">
        <v>0.324090003967285</v>
      </c>
    </row>
    <row r="69">
      <c r="A69" s="1">
        <v>67.0</v>
      </c>
      <c r="B69" s="1" t="s">
        <v>112</v>
      </c>
      <c r="C69" s="1" t="s">
        <v>13</v>
      </c>
      <c r="D69" s="1" t="s">
        <v>72</v>
      </c>
      <c r="E69" s="1">
        <v>8.0</v>
      </c>
      <c r="F69" s="5">
        <v>0.335978031158447</v>
      </c>
    </row>
    <row r="70">
      <c r="A70" s="1">
        <v>68.0</v>
      </c>
      <c r="B70" s="1" t="s">
        <v>113</v>
      </c>
      <c r="C70" s="1" t="s">
        <v>13</v>
      </c>
      <c r="D70" s="1" t="s">
        <v>72</v>
      </c>
      <c r="E70" s="1">
        <v>5.0</v>
      </c>
      <c r="F70" s="5">
        <v>0.316496849060058</v>
      </c>
    </row>
    <row r="71">
      <c r="A71" s="1">
        <v>69.0</v>
      </c>
      <c r="B71" s="1" t="s">
        <v>114</v>
      </c>
      <c r="C71" s="1" t="s">
        <v>13</v>
      </c>
      <c r="D71" s="1" t="s">
        <v>72</v>
      </c>
      <c r="E71" s="1">
        <v>0.0</v>
      </c>
      <c r="F71" s="5">
        <v>0.323380947113037</v>
      </c>
    </row>
  </sheetData>
  <drawing r:id="rId1"/>
</worksheet>
</file>