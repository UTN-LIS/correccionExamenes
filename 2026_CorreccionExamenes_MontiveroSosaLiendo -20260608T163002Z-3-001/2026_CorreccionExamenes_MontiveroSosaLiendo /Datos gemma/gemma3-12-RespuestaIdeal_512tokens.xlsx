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RespuestaIdeal_512tok" sheetId="1" r:id="rId5"/>
  </sheets>
  <definedNames/>
  <calcPr/>
</workbook>
</file>

<file path=xl/sharedStrings.xml><?xml version="1.0" encoding="utf-8"?>
<sst xmlns="http://schemas.openxmlformats.org/spreadsheetml/2006/main" count="242" uniqueCount="123">
  <si>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</si>
  <si>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</si>
  <si>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</si>
  <si>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</si>
  <si>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</si>
  <si>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</si>
  <si>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</si>
  <si>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</si>
  <si>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</si>
  <si>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</si>
  <si>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</si>
  <si>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</si>
  <si>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</si>
  <si>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</si>
  <si>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</si>
  <si>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'Pregunta: Describe cómo se pueden utilizar las aserciones en los tests y por qué son importantes.',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</si>
  <si>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Okay, voy a evaluar la respuesta proporcionada sobre las aserciones en los test. A continuación, encontrarás mi análisis y calificación, seguido de una justificación detallada.
**Calificación: 6/10**
**Análisis:**
* **Precisión Conceptual:** La respuesta capta la idea general de las aserciones como un componente para verificar el funcionamiento de un test, lo cual es correcto. Sin embargo, la explicación es algo superficial y podría ser más precisa.
* **Completitud:** La respuesta es breve y no explora la profundidad del propósito de las aserciones. Falta explicar *qué* exactamente se está comprobando con las aserciones, y por qué son cruciales para garantizar la calidad del software.
* **Uso Correcto de la Terminología:** El uso de la terminología es aceptable, aunque podría mejorarse. La palabra "asegurar" se utiliza en lugar de "validar" en el primer ejemplo.
* **Claridad de la Explicación:** La explicación es comprensible, pero el uso de la repetición ("se ejecuta... se comprueba...") la hace un poco redundante y menos elegante. La analogía del ejemplo es correcta pero no suficientemente desarrollada para ilustrar completamente el concepto.
**Justificación Detallada:**
**Puntos a favor:**
* **Concepto Fundamental Correcto:** La respuesta identifica correctamente que las aserciones están relacionadas con la ejecución de tests y su validación.  Entiende que las aserciones son un paso posterior a la implementación del test.
* **Ejemplo Ilustrativo:** El ejemplo (añadir un test, implementarlo, usar aserciones, ejecutar) proporciona un contexto básico para entender cómo se utiliza una aserción en el ciclo de vida de un test.
**Puntos en contra (y áreas de mejora):**
* **Falta de Profundidad en la Definición:** La respuesta no define *qué* son las aserciones.  Debería explicar que las aserciones son expresiones booleanas que evalúan si un resultado esperado coincide con el resultado real del código bajo prueba.  No solo se trata de "ejecutar" y "comprobar", sino de *verificar una condición específica*.
* **Ausencia del Concepto de "Resultado Esperado":** La respuesta no menciona explícitamente el concepto de "resultado esperado".  Las aserciones se utilizan para comparar</t>
  </si>
  <si>
    <t>Respuesta: Las aserciones en el contexto del software, son muy relevantes para cubrir el codigo y evitar excepciones y errores que provocarian si no son revisados con este metodo asertivo.</t>
  </si>
  <si>
    <t xml:space="preserve">## Corrección de la Respuesta del Estudiante: "Las aserciones en el contexto del software, son muy relevantes para cubrir el codigo y evitar excepciones y errores que provocarian si no son revisados con este metodo asertivo."
**Calificación:** 4/10
**Justificación:**
La respuesta demuestra un entendimiento *parcial* del concepto de aserciones, pero carece de precisión y profundidad.  Analicemos los puntos fuertes y débiles:
* **Conceptos Correctamente Mencionados:** La respuesta identifica correctamente que las aserciones están relacionadas con la detección de errores y excepciones en el código.  Esta es una conexión fundamental.
* **Errores Detectados:**
    * **Vaguedad y Generalización:** La frase "cubrir el código" es imprecisa.  Las aserciones no "cubren" el código en el sentido tradicional de pruebas unitarias.  Se utilizan para verificar condiciones específicas *durante* la ejecución.
    * **Imprecisión en la relación con excepciones:**  Si bien las aserciones *pueden* ayudar a detectar condiciones que llevan a excepciones, no son un sustituto de un manejo adecuado de excepciones.  El manejo de excepciones usa `try-catch` (u otros mecanismos similares) para manejar la situación de manera controlada. Las aserciones, si fallan, generalmente terminan el programa.
    * **Terminología Incorrecta:**  El uso repetido de "metodo asertivo" es confuso y no es la terminología estándar. Se usa "aserción" o "verificación" para referirse al proceso de evaluar la condición.
    * **Falta de Explicación sobre el Propósito Principal:** La respuesta no explica el propósito *principal* de las aserciones: **verificar condiciones *durante el desarrollo y depuración* para detectar errores lógicos en el código.**  Las aserciones están destinadas a ser removidas o desactivadas en la versión de producción de un programa.
* **Conceptos Importantes que Faltan:**
    * **Propósito de Depuración:** La respuesta no menciona que las aserciones son una herramienta poderosa para depurar código.
    * **Comportamiento en Tiempo de Ejecución:** No se explica que una aserción que falla causa una interrupción en la ejecución del programa (normalmente, un error de aserción).
    </t>
  </si>
  <si>
    <t>Respuesta: Las aserciones en los test son importantes ya que son los que nos dan la confirmación de que los tests están bien hechos y desarrollados y consiguen abarcar todas o la mayoria de los posibles errores de neustros test y codigo de proyecto.</t>
  </si>
  <si>
    <t>Okay, vamos a analizar esta respuesta como un profesor experto en evaluación académica.
**Respuesta del Estudiante:** "Las aserciones en los test son importantes ya que son los que nos dan la confirmación de que los tests están bien hechos y desarrollados y consiguen abarcar todas o la mayoria de los posibles errores de neustros test y codigo de proyecto."
**Calificación: 4 / 10**
**Justificación:**
* **Conceptos Correctamente Mencionados:** La respuesta identifica correctamente que las aserciones (o "tests" como los llama el estudiante) son importantes para validar el trabajo realizado. Intenta articular la idea de que los tests ayudan a asegurar la calidad del código.
* **Errores Detectados:**
    * **Terminología Imprecisa:**  El estudiante mezcla terminología. "Aserciones" son un *tipo* de prueba (o test), pero no son el mismo sinónimo de "tests" en general.  Usar "test" y "codigo de proyecto" repetidamente sin una distinción clara confunde.
    * **Claridad de la Explicación:** La redacción es confusa y poco precisa. La frase "nos dan la confirmación de que los tests están bien hechos" es circular y no explica *cómo* las aserciones brindan esa confirmación.
    * **Completitud:** La respuesta carece de profundidad. No menciona *qué* tipo de errores ayudan a detectar las aserciones. No se explica el propósito principal de una aserción (verificar una condición específica y abortar la ejecución si esa condición es falsa). Tampoco se menciona la relación con el principio de "Test-Driven Development" (TDD).
    * **Errores Gramaticales/Ortográficos:**  "Neustros" es un error ortográfico.  Aunque esto no es el foco principal de la evaluación, impacta en la claridad general.
* **Conceptos Importantes Faltantes:**
    * **Definición de Aserción:** No se da una definición clara de lo que es una aserción.  Una aserción es una declaración que se evalúa como verdadera o falsa durante la ejecución del programa. Si la aserción es falsa, se genera una excepción o error.
    * **Propósito Específico de las Aserciones:**  Más allá de "confirmar que los tests están bien hechos",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</si>
  <si>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</si>
  <si>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 Corrección de la Respuesta sobre Aserciones en Testing
**Calificación:** 6/10
**Justificación:**
La respuesta demuestra una comprensión básica del *propósito* de las aserciones en testing, pero carece de precisión y profundidad.
**Puntos Fuertes (Correctamente Mencionados):**
*   **Función General:** El estudiante identifica correctamente que las aserciones se utilizan para verificar el comportamiento del código y, en esencia, determinar si una funcionalidad es correcta o no. La analogía con un "validador" es comprensible.
*   **Relación con la Cobertura:** Se menciona correctamente la relación entre la cobertura de un test (ej. 90%) y la necesidad de verificar que los fragmentos de código cubiertos *funcionen* como se espera, y es aquí donde entran las aserciones.
**Errores y Conceptos Faltantes:**
*   **Mecanismo Específico:** La respuesta no explica *cómo* las aserciones logran este propósito. No se menciona que las aserciones comparan un valor esperado con un valor real y lanzan una excepción (error) si no coinciden.  La respuesta es demasiado descriptiva y no explica el *mecanismo* técnico.
*   **Tipos de Aserciones:** No se abordan los diferentes tipos de aserciones que existen (igualdad, desigualdad, pertenencia, etc.).
*   **Impacto de una Aserción Fallida:** No se menciona explícitamente que una aserción fallida indica un error en el código que está siendo probado, y que esto ayuda al desarrollador a identificar y corregir el problema.  Esto es crucial para entender la utilidad de las aserciones.
*   **Terminología:** Aunque el lenguaje es comprensible, el uso de frases como "la mayoria se estan utilizando" es informal y puede mejorarse. Se podría usar una redacción más precisa como "la mayoría del código está siendo probado".
*   **Ejemplo Concreto:** La respuesta carece de un ejemplo concreto de una aserción en acción. Un ejemplo simple (e.g., `assert x == 5`) habría sido muy útil para ilustrar el concepto.
**En resumen:** La respuesta es un punto de partida aceptable, pero necesita ser más precisa, técnica y completa para demostrar una comprensión sólida de las aserciones en testing</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</si>
  <si>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</si>
  <si>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 Corrección de la Respuesta del Estudiante: Aserciones en Programación
**Calificación: 4/10**
**Análisis:**
La respuesta del estudiante demuestra una comprensión muy básica, pero incompleta y confusa, del concepto de aserciones en programación.
*   **Precisión Conceptual:** La definición inicial ("si el test funciona correctamente o si dicho test no funciona correctamente y te devuelve un false") es inexacta y difusa. Una aserción no es simplemente un test que devuelve "false". Su propósito principal es **verificar una condición que se espera que sea verdadera en un punto específico del código**. Si la condición es falsa, la aserción detiene la ejecución del programa (o lanza una excepción, dependiendo del lenguaje) y proporciona información sobre el error. La idea de un "false" es una consecuencia del fallo de la aserción, no su definición.
*   **Completitud:** La respuesta menciona algunos usos prácticos de las aserciones (evitar duplicados, comparar arrays), pero no explica el motivo subyacente ni la función principal. Falta la explicación de que las aserciones se usan principalmente para **depuración y detección temprana de errores lógicos**.  No se menciona el rol crucial de las aserciones en el desarrollo de software robusto y en las pruebas unitarias.
*   **Terminología:** El uso de la frase "valor por valor" es impreciso. La comparación de arrays es un tema relacionado, pero no es el núcleo del concepto de aserción.
*   **Claridad:** La explicación es confusa y carece de precisión. La estructura gramatical y la redacción dificultan la comprensión.
**Justificación de la Calificación:**
Se otorga un 4/10 porque el estudiante reconoce que las aserciones tienen alguna utilidad, mencionando ejemplos como la detección de duplicados y la comparación de arrays. Sin embargo, la definición inicial es errónea y la explicación general es demasiado vaga e imprecisa para demostrar una comprensión adecuada del concepto de aserción en programación.  La respuesta carece de la explicación fundamental sobre la detección temprana de errores y su papel en la depuración y las pruebas unitarias.
**Conceptos Correctamente Mencionados:**
*   El estudiante reconoce que las aserciones están relacionadas con la verificación de condiciones.
*   Menciona algunos usos prácticos (aunque de forma imprec</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</si>
  <si>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</si>
  <si>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**Calificación:** 7/10
**Justificación:**
La respuesta demuestra una comprensión básica del concepto de assertions, pero carece de profundidad y precisión en algunos aspectos. A continuación, se detalla el análisis:
**Puntos Positivos:**
* **Definición Principal Correcta:** La definición de "assertions" como validaciones que se ejecutan bajo una condición es acertada y captura la esencia del concepto.
* **Relación con Test Unitarios/TDD:**  El reconocimiento de su uso como complemento de pruebas unitarias y TDD es correcto y relevante.
* **Mención de Tipos de Assertions:** La mención de algunos ejemplos de assertions (@AssertTrue(), @AssertFalse(), @AssertSum()) es un buen indicativo de conocimiento práctico.
* **Beneficio Principal Correcto:** La afirmación sobre la importancia de las assertions para crear código completo y sin errores, al permitir manejar valores erróneos o nulos, es válida.
**Puntos a Mejorar / Errores:**
* **Exclusividad de la Condición:** La frase "validaciones que funcionan única y exclusivamente cuando se cumple una condición" es un poco restrictiva y potencialmente engañosa.  Las assertions no *solo* funcionan cuando se cumple una condición;  su función principal es *verificar* si una condición específica se cumple.  Fallan cuando la condición **no** se cumple, pero también pueden tener validaciones implícitas que se ejecutan independientemente de una condición explícita.
* **Falta de Profundidad en la Explicación:** La respuesta carece de una explicación más profunda sobre *qué* se está validando con las assertions.  Se menciona que ayudan a manejar valores erróneos, pero no se explica cómo las assertions contribuyen a esto concretamente.  Falta una idea de que las assertions se usan para verificar que el estado del sistema es el esperado después de una acción.
* **Terminología:**  Si bien menciona tipos de assertions, no explica *qué* significan realmente esas funciones (@AssertTrue verifica si un valor es verdadero, @AssertFalse si es falso, @AssertSum compara si la suma de dos valores es igual a un valor dado, etc.).  Este conocimiento ayuda a comprender la aplicabilidad de cada assertion.
* **Ausencia de Contexto:** No se menciona el papel de las assertions en frameworks de pruebas concret</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</si>
  <si>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</si>
  <si>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Corrección de la Respuesta del Estudiante
**Calificación:** 7.5 / 10
**Justificación:**
La respuesta es bastante buena, pero podría ser mejor para alcanzar una calificación más alta.  Aquí desglosamos el análisis:
* **Puntos Fuertes:**
    * **Concepto Principal Correcto:** La respuesta identifica correctamente el propósito de las aserciones: validar entradas o resultados en un test.
    * **Arquitectura AAA:** Menciona la arquitectura AAA (Arrange, Act, Assert), lo cual es importante para entender el contexto de las aserciones.
    * **Ejemplos de Aserciones:**  Proporciona ejemplos concretos de métodos de aserción comunes como `assertEquals`, `assertTrue` y `assertFalse`.  Esto demuestra que el estudiante tiene una comprensión práctica de su uso.
    * **Importancia Destacada:** Reconoce la importancia de las aserciones para la integridad de los datos y evitar inconsistencias, lo que demuestra una comprensión del valor de las pruebas.
* **Debilidades/Omitidos:**
    * **Profundidad de la Explicación de "Validar":** La explicación de "validar las entradas" es un poco superficial.  Podría haber entrado en más detalles sobre *qué tipo* de validaciones se hacen con aserciones.  Por ejemplo, verificar tipos de datos, rangos de valores, formatos específicos, etc.
    * **Propósito Más Amplio:** Si bien menciona la validación de entradas, no aborda el uso de las aserciones para verificar el *resultado* de una función o método después de ejecutarlo (el 'Act' de AAA).  Se enfoca demasiado en el `Assert` como una verificación de la entrada.
    * **Falta de Terminología Adicional:**  No se menciona el concepto de "fallos" (failures) o "errores" (errors) asociados a las aserciones fallidas.  Aunque no es crucial, sería un detalle que demostraría una comprensión más completa.
    * **Contexto de Pruebas Unitarias:** No explicita que las aserciones son una parte fundamental de las pruebas unitarias, que son la base para garantizar la calidad del software.
**Ejemplo de Corrección Real (Comparación):**
Una respuesta más completa podría haber dicho algo como:
"Las aserciones son declaraciones en el código de</t>
  </si>
  <si>
    <t>Respuesta: las aserciones permiten validar que el test haya pasado o no despues de haber declarado las variables con arrange y ejecutarlas con act, y assert valida que el test haya sido pasado con éxito, que es lo que buscamos</t>
  </si>
  <si>
    <t>Okay, perfecto. Analicemos la respuesta del estudiante y asignemos una calificación.
**Respuesta del Estudiante:** "las aserciones permiten validar que el test haya pasado o no despues de haber declarado las variables con arrange y ejecutarlas con act, y assert valida que el test haya sido pasado con éxito, que es lo que buscamos"
**Calificación:** 6/10
**Justificación:**
* **Conceptos Correctamente Mencionados:** El estudiante identifica correctamente la relación fundamental entre las aserciones (assertions) y las pruebas (tests).  Menciona la utilidad de las aserciones para validar resultados y, de forma general, reconoce la importancia de verificar que la prueba ha sido pasada con éxito. El uso de "arrange" y "act" (aunque no los explica en detalle) indica algún conocimiento de la estructura básica de una prueba unitaria.
* **Errores Detectados y Conceptos Faltantes:**  La respuesta carece de precisión y profundidad conceptual.  Los errores principales son:
    * **Confusión en el Papel de 'assert':**  La afirmación "assert valida que el test haya sido pasado con éxito" es imprecisa. `assert` no *valida* que la prueba ha sido superada; es la *instrucción* que realiza la verificación y lanza una excepción si la condición es falsa. La clave está en que `assert` *es* parte de la aserción, no una entidad separada que valida el resultado.
    * **Falta de Explicación de 'arrange' y 'act':**  Mencionar 'arrange' y 'act' sin explicar su función es superficial. 'Arrange' se refiere a la configuración inicial (preparación de los datos, mocks, etc.) y 'act' se refiere a la ejecución del código que se está probando.  La respuesta no describe estas fases.
    * **Ausencia de la Idea de Condición:** Una aserción es una expresión booleana que se evalúa. La respuesta no menciona este aspecto crucial.  No explica que la aserción compara el resultado real con el resultado esperado.
    * **No se menciona el propósito de las pruebas unitarias:**  La respuesta se centra en la validación pero no explica por qué se hacen las pruebas en primer lugar (detectar errores tempranamente, asegurar la calidad del código, etc.)
* **Claridad de la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</si>
  <si>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</si>
  <si>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Okay, voy a analizar y calificar esta respuesta sobre "assertions" (aserción o aserciones).
**Calificación: 5/10**
**Justificación:**
La respuesta demuestra una comprensión **parcial** del concepto de assertions. Aquí está el desglose:
*   **Conceptos Correctamente Mencionados:**
    *   La respuesta identifica correctamente que las assertions están relacionadas con la medición de resultados.
    *   Menciona la idea de un resultado esperado.
    *   Reconoce que un fallo en la assertion genera un error.
    *   Asocia correctamente los colores verde y rojo con el resultado de la prueba (éxito/fracaso).
    *   Comprende que la función principal es indicar si una prueba pasa o falla.
*   **Errores Detectados:**
    *   **Definición Incompleta/Incorrecta:** La frase "Las aserciones o assertions es la instrucción que mide..." es imprecisa.  Una assertion no es simplemente una "instrucción". Es una expresión que verifica una condición.  Es un mecanismo para *probar* que una condición es verdadera.
    *   **Falta de Profundidad:** No se explica *qué* se está probando. ¿Qué tipo de resultados se están midiendo? ¿Por qué son importantes? La respuesta se centra solo en el resultado final (verde/rojo) sin profundizar en el proceso de verificación.
    *   **Ausencia de Terminología Clave:**  No se menciona la palabra "condición" ni el concepto de "valor de retorno" o "valor esperado". Estos son elementos clave para entender el propósito de una assertion.
    *   **Falta de Contexto:**  La respuesta no menciona el contexto en el que se usan las assertions (ej. pruebas unitarias, desarrollo de software).
*   **Conceptos Importantes que Faltan:**
    *   **La Condición Verificable:**  El elemento central de una assertion es una condición (una expresión booleana que evalúa a verdadero o falso).
    *   **Comparación con un Valor Esperado:**  Una assertion generalmente compara un valor real (obtenido del código que se está probando) con un valor esperado.
    *   **Propósito de las Assertions en Pruebas:** La importancia de las assertions para garantizar la calidad del código y la detección temprana de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</si>
  <si>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</si>
  <si>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analicemos esta respuesta sobre aserciones y la calificaremos, comparándola con lo que esperaría de un estudiante que entiende el concepto.
**Calificación: 4 / 10**
**Justificación:**
La respuesta demuestra una comprensión *muy* básica del concepto de aserciones, pero carece de la profundidad y precisión necesarias para obtener una calificación más alta. Aquí desglosamos los puntos fuertes, débiles y lo que falta:
* **Puntos Fuertes:**
    * **Reconocimiento de la función básica:** El estudiante identifica correctamente que las aserciones están relacionadas con la verificación de la corrección de una afirmación.  Esto es un punto de partida positivo.
    * **Mención de usos diversos:** Señalar que se usan en clases, métodos y ramas (aunque la terminología es imprecisa, ver abajo) indica una comprensión de que las aserciones se pueden aplicar en diferentes contextos del código.
    * **Comprensión de la importancia para el testing:** El estudiante comprende (aunque de manera algo confusa) que las aserciones son importantes porque proporcionan una base para la evaluación del código.
* **Debilidades y Errores:**
    * **Definición imprecisa:** La definición "validaciones que comprueban si una afirmacion es correcta, y al contrario" es vaga.  Una aserción no es *simplemente* comprobar si una afirmación es correcta; es más bien una declaración que el programador considera que debe ser *siempre* verdadera en un punto dado del código. Es una *expresión* que evalúa una condición y lanza un error si esa condición es falsa. El "y al contrario" es confuso.
    * **Terminología incorrecta/imprecisa:** El uso de "clases, métodos y ramas" es confuso.  En el contexto de aserciones, se refiere más bien a funciones/métodos donde se realizan las aserciones, o bloques de código dentro de un método. "Rama" no es un término estándar aquí.
    * **Explicación de la importancia del testing superficial:**  La explicación de por qué las aserciones son importantes en el testing ("si no hay una validacion previa, el test no se va a basar en ningun parametro...") es una simplificación excesiva y no captura la esencia.  Las aserciones *son* los parámetros que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</si>
  <si>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</si>
  <si>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 Corrección de la Respuesta sobre Aserciones en Tests
**Calificación: 6/10**
**Análisis:**
La respuesta demuestra un entendimiento básico del propósito de las aserciones en pruebas (tests), pero carece de profundidad y precisión en algunos aspectos clave.
**Puntos Fuertes:**
*   **Identificación del propósito general:** La respuesta correctamente identifica que las aserciones sirven para verificar si una condición es verdadera.
*   **Mención de un tipo de aserción:** Se menciona `AssertTrue`, lo que indica un cierto familiaridad con tipos de aserciones.
*   **Reconocimiento de la eficiencia:** Se menciona correctamente que las aserciones optimizan el desarrollo de pruebas y simplifican la verificación.
**Debilidades y Errores:**
*   **Falta de profundidad en la explicación:** La respuesta es demasiado superficial. No explica *por qué* es eficiente o *cómo* las aserciones ayudan a verificar, más allá de una afirmación genérica.
*   **Terminología limitada:**  Se limita a `AssertTrue` y no menciona otros tipos de aserciones importantes (ej. `AssertEquals`, `AssertFalse`, `AssertIsNone`, `AssertRaises`). La falta de mención de la variedad de aserciones indica una comprensión incompleta.
*   **Ausencia de conceptos clave:**  No se menciona la importancia de las aserciones para reportar fallos de manera clara y concisa. Tampoco se explica qué sucede cuando una aserción falla (ej. detener la ejecución del test y mostrar un mensaje de error).
*   **Claridad mejorable:** Aunque comprensible, la redacción es un poco vaga.  Podría ser más precisa y enfocada.
**Justificación de la Calificación:**
La respuesta identifica correctamente el propósito general y menciona un tipo de aserción, lo que merece una calificación superior a la media. Sin embargo, la falta de detalle, la terminología limitada y la ausencia de conceptos clave importantes impiden que alcance una calificación más alta. Para mejorar, el estudiante debería investigar y explicar con mayor profundidad el funcionamiento y los diferentes tipos de aserciones, así como la importancia de sus mensajes de error.
**Ejemplo de Corrección Real (para referencia):**
"Las aserciones son un componente esencial de las pruebas automatizadas. Su función principal es verificar si una condición específica se cumple o</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</si>
  <si>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</si>
  <si>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entiendo. Analizaré la respuesta del estudiante sobre "assertions" en pruebas de software, comparándola con un estándar y proporcionando una calificación justificada.
**Respuesta del estudiante:** "Las assertion se pueden usar en los test para validar y comparar objetos o valores. Esto es importante en los test ya que si una assertion falla, la validación va a ser falsa por lo que el test va a fallar. Esto nos ayuda a la hora de resolver errores en el codigo o ver como es el flujo del programa."
**Ejemplo de Corrección Real (para comparación):** "Las assertions, también conocidas como aserciones, son sentencias en el código que permiten verificar si una condición particular es verdadera durante la ejecución del programa. Se utilizan principalmente en pruebas unitarias para validar que el estado del programa en un punto dado cumple con las expectativas. Una assertion funciona evaluando una expresión booleana; si la expresión es falsa, la assertion falla, lo que normalmente resulta en la terminación del programa o la detención de la prueba.  Las assertions son cruciales para detectar errores lógicos temprano en el desarrollo, ya que permiten verificar precondiciones, postcondiciones y invariantes del programa. Su propósito *no* es el manejo de errores en producción, sino la detección de fallas durante el desarrollo y las pruebas."
**Calificación:** **6/10**
**Justificación:**
* **Conceptos Correctamente Mencionados (3 puntos):**
    * **Propósito básico:** El estudiante identifica correctamente que las assertions se utilizan en las pruebas para validar y comparar objetos o valores.  Esta es la idea fundamental.
    * **Falla = Test Fallido:**  Entiende la relación directa entre una assertion fallida y el fallo del test. Esto es crucial.
    * **Ayuda en la depuración:** Reconoce que las assertions ayudan a resolver errores en el código y a entender el flujo del programa.
* **Errores Detectados (2 puntos):**
    * **Ortografía:** La escritura de "assertion" con "assercion" es un error recurrente. Aunque comprensible, afecta la profesionalidad.
    * **Terminología Incompleta:**  Aunque menciona "validar", no usa el término "verificación" que es más preciso en este contexto. La "validación" tiene un significado más amplio.
    * **Confusión "Validación falsa"**: La frase "la valid</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</si>
  <si>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</si>
  <si>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Okay, voy a evaluar esta respuesta y proporcionarte una calificación y justificación detallada, basándome en mi experiencia como profesor de evaluación académica en el ámbito de la programación y las pruebas (testing).
**Calificación:** 7/10
**Justificación:**
* **Conceptos Correctamente Mencionados (Puntos Fuertes):**
    * **Importancia de las aserciones:** La respuesta identifica correctamente que las aserciones son fundamentales en las pruebas (tests). Esto demuestra una comprensión básica de su rol.
    * **Ejemplo de `asserEqual`:** Menciona `asserEqual` como ejemplo, lo que indica familiaridad con un tipo común de aserción.
    * **Variedad de tipos de aserciones:** Reconoce que existen múltiples tipos de aserciones y que estas se adaptan a diferentes tipos de variables y escenarios (enteros, NULL, Array).
    * **Objetivo principal:** La respuesta entiende que las aserciones permiten verificar si los datos recibidos son los esperados, un concepto clave en el testing.
* **Errores Detectados (Puntos Débiles):**
    * **Terminología Imprecisa:** Aunque menciona `asserEqual`, el uso de "asser" (en lugar de "assertion") es un error menor pero demuestra falta de precisión en la terminología.  Esto es importante en un contexto técnico.
    * **Profundidad Limitada:**  La respuesta es algo superficial.  No se discuten *por qué* las aserciones son clave para una "mejor especificación" de la prueba.  No explica el beneficio de tener pruebas bien especificadas (e.g., detección temprana de errores, documentación del comportamiento esperado).
    * **Falta de Detalle sobre Tipos de Aserciones:** Aunque menciona que existen diferentes tipos, no proporciona ejemplos concretos más allá de `asserEqual`. Mencionar, por ejemplo, `assertTrue`, `assertFalse`, `assertNotEquals`, `assertContains`, etc., habría enriquecido la respuesta.
    * **Contexto del Testing:** La respuesta podría ser más clara al situar las aserciones dentro del contexto general del testing. Podría mencionar brevemente que las aserciones son la base de las pruebas unitarias, de integración, etc.
* **Conceptos Importantes que Faltan:**
    * **El Propósito Fundamental del Testing:** Una buena respuesta debería enfatizar que el</t>
  </si>
  <si>
    <t>Respuesta: Los assert sirven para comprobar lo que devuelve o hacen las funciones, son unos de los pilares para poder hacer los test en el TDD.</t>
  </si>
  <si>
    <t>## Corrección de la Respuesta del Estudiante
**Respuesta del Estudiante:** Los assert sirven para comprobar lo que devuelve o hacen las funciones, son unos de los pilares para poder hacer los test en el TDD.
**Calificación:** 7/10
**Justificación:**
* **Conceptos Correctamente Mencionados:** La respuesta identifica correctamente el propósito principal de los `assert`: verificar el comportamiento de las funciones, comparando con el valor esperado. También establece la relación crucial de los `assert` con el Test-Driven Development (TDD), reconociéndolos como un pilar fundamental.
* **Errores Detectados:** La explicación es un poco superficial. No se profundiza en *cómo* funcionan los `assert` ni en los tipos de comprobaciones que permiten realizar. Simplemente se menciona que "comprueban lo que devuelve o hacen las funciones."
* **Conceptos Importantes que Faltan:**
    * **Mecanismo de Funcionamiento:** Sería valioso explicar brevemente que `assert` evalúa una condición, y si esta es falsa, lanza una excepción o error, deteniendo la ejecución del test.  Mencionar que usualmente se compara un valor actual con un valor esperado.
    * **Tipos de Assertions:** Existe una variedad de tipos de assertions (e.g., igualdad, desigualdad, mayor que, menor que, comprobación de tipo, etc.). Mencionar algunos ejemplos ilustraría una comprensión más profunda.
    * **Contexto en TDD:**  Aunque se menciona TDD, no se explica la importancia de los `assert` en el ciclo TDD (Red-Green-Refactor).  Se podría mencionar que ayudan a definir el comportamiento deseado antes de escribir el código.
**En resumen:** La respuesta demuestra un conocimiento básico de los `assert` y su papel en TDD, pero carece de profundidad y especificidad.  Una explicación más detallada sobre cómo funcionan y los tipos de comprobaciones que permiten realizar, junto con una mayor contextualización en el proceso TDD, elevarían significativamente la calificación.
&lt;end_of_turn&gt;</t>
  </si>
  <si>
    <t>Respuesta: Las aserciones en los tests sirven para comparar un resultado, en estas se introduce un resultado esperado y un resultado actual, esto es importante para comparar resultados y mejorar el codigo o los tests en base a esto.</t>
  </si>
  <si>
    <t>## Corrección de la Respuesta: "Las aserciones en los tests sirven para comparar un resultado, en estas se introduce un resultado esperado y un resultado actual, esto es importante para comparar resultados y mejorar el codigo o los tests en base a esto."
**Calificación: 6/10**
**Justificación:**
Esta respuesta demuestra una comprensión básica del concepto de aserciones en pruebas, pero carece de profundidad y precisión. A continuación, un desglose:
**Puntos Fuertes (Conceptos Correctamente Mencionados):**
*   **Comparación de Resultados:** La respuesta identifica correctamente que las aserciones se utilizan para comparar resultados.
*   **Resultado Esperado vs. Actual:**  Se menciona la idea de introducir un resultado esperado y un resultado actual, que es fundamental para el funcionamiento de una aserción.
*   **Mejora del Código/Tests:** La respuesta intuye que las aserciones sirven para mejorar el código o las pruebas basándose en los resultados de la comparación.
**Errores Detectados y Conceptos Faltantes:**
*   **Falta de Definición Formal:** La respuesta no define qué es una aserción en términos de una condición lógica que se verifica. No explica que una aserción es una *declaración* que se evalúa como verdadera o falsa.
*   **Propósito Principal:** Si bien menciona la mejora, no explica el propósito principal de las aserciones: *verificar que el código se comporta como se espera*.  Las aserciones son un mecanismo para detectar errores en el código de forma temprana y evitar que estos lleguen a producción.
*   **Tipos de Aserciones:** No se menciona la existencia de diferentes tipos de aserciones (e.g., igualdad, desigualdad, pertenencia, etc.), ni cómo se usan para verificar diferentes aspectos del código.
*   **Contexto de las Pruebas:** La respuesta se centra demasiado en la "comparación de resultados" sin mencionar que esto ocurre *dentro de un contexto de pruebas*.  Las aserciones son una parte integral de las pruebas unitarias, de integración o de sistema.
*   **Claridad de la Explicación:**  La redacción es un poco vaga y repetitiva ("comparar resultados" se dice varias veces).
**En resumen:** La respuesta demuestra un conocimiento superficial del tema.  Necesita ser más precisa en la definición, explicar el propósito principal</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</si>
  <si>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</si>
  <si>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 Corrección de la Respuesta del Estudiante sobre Aserciones en Testing
**Calificación: 6/10**
**Análisis:**
La respuesta demuestra una comprensión básica del propósito de las aserciones en el testing, pero carece de precisión y profundidad conceptual.  Además, la redacción es confusa en algunos puntos y la terminología utilizada no es la más adecuada.
**Aspectos Positivos (lo que el estudiante acertó):**
*   **Menciona el orden de ejecución:** El estudiante reconoce que las aserciones ayudan a asegurar que los tests se ejecuten de forma ordenada y continua, lo cual es una idea correcta.
*   **Comprende la importancia del testing:** Se entiende la necesidad de verificar el código y la importancia de la cobertura.
*   **Asociación con la cobertura:** El estudiante intenta relacionar las aserciones con la cobertura de los tests, aunque la explicación es vaga.
**Aspectos Negativos (errores y omisiones):**
*   **Definición incompleta de "aserción":** La respuesta no define *qué es* una aserción.  Debería explicar que una aserción es una instrucción que verifica si una condición es verdadera o falsa.  La falta de esta definición es un error significativo.
*   **Explicación confusa de la causa del error:** La frase "como ha continuado del principio de error" es poco clara y dificulta entender el razonamiento. No se explica correctamente cómo las aserciones ayudan a *detectar* errores durante la ejecución, ni cómo un error en un test puede detener la ejecución y evitar que los tests posteriores se ejecuten con datos incorrectos.
*   **Falta de ejemplos concretos:** La respuesta es muy general y abstracta. No se proporciona ningún ejemplo de cómo se usaría una aserción en un test.
*   **Terminología imprecisa:**  El uso de "coberura" (en lugar de "cobertura") es un error ortográfico. La expresión "dar una coberura que se va a mantener ademas de ser estable" es confusa y podría reformularse de manera más precisa.  Se esperaría una mejor precisión al hablar de "estabilidad" en el contexto de las pruebas.
*   **No menciona los beneficios clave:** La respuesta no menciona los principales beneficios de usar aserciones, como la detección temprana de errores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</si>
  <si>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</si>
  <si>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 Corrección de la Respuesta del Estudiante
**Calificación: 6.5 / 10**
**Justificación:**
La respuesta demuestra una comprensión básica de las aserciones y su propósito, pero carece de profundidad y precisión.
**Puntos Fuertes:**
*   **Concepto Central Correcto:** El estudiante identifica correctamente que las aserciones se utilizan para validar resultados de funciones.  La idea de que sirven para "confirmar que cuando una función reciba x valor/es tenga que dar como solucion y" es un buen punto de partida.
*   **Importancia Reconocida:** Se menciona correctamente que las aserciones ayudan a confirmar que los tests se ejecuten en una unidad de código.
**Errores y Deficiencias:**
*   **Terminología Imprecisa:** El uso de "tests" como sinónimo de aserciones es incorrecto. Las aserciones son un componente *dentro* de los tests.  Confundir los dos conceptos es un error importante.
*   **Explicación Incompleta:** La respuesta no explica *cómo* funcionan las aserciones. Se menciona que confirman que una función devuelve `True`, pero no se explica que las aserciones evalúan una condición y lanzan un error si la condición es falsa.  Esta es la esencia de las aserciones y su ausencia debilita la respuesta.
*   **Falta de Especificidad:**  El ejemplo proporcionado ("que al meter un valor x en una función, esta devuelve True") es demasiado genérico y no ilustra el verdadero poder de las aserciones.  Un ejemplo más concreto, donde se verifica un resultado *específico* esperado, sería mucho más efectivo.  Por ejemplo: "Aserción: assert mi_funcion(2) == 4"
*   **No se Abordan Beneficios Clave:** La respuesta no menciona beneficios importantes como la detección temprana de errores, la depuración más fácil y la documentación implícita del código.
**Conceptos Importantes Faltantes:**
*   **Cómo funciona la evaluación de una condición:** Una aserción no solo verifica un resultado, sino que evalúa una *condición*. Si la condición es `False`, se lanza una excepción.
*   **Uso de `assert` en la práctica:** El estudiante debería haber incluido un ejemplo de código que muestre cómo se utiliza la palabra clave `assert</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</si>
  <si>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</si>
  <si>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Okay, voy a analizar la respuesta proporcionada sobre aserciones, comparándola con lo que esperaría de un estudiante en un curso de programación o pruebas de software. Luego asignaré una calificación y justificaré mi elección.
**Análisis de la Respuesta:**
La respuesta tiene algunos aspectos positivos, pero también presenta algunas deficiencias significativas.
* **Aspectos Positivos:**
    * **Concepto Central Correcto:** La respuesta identifica correctamente que las aserciones involucran una comparación entre un valor esperado y un valor real. Esta es la esencia fundamental de una aserción.
    * **Relación con Test Unitarios:**  La conexión con los test unitarios es correcta. La respuesta reconoce que las aserciones son la columna vertebral de los test unitarios.
    * **Propósito de los Test Unitarios (Mención):**  Se menciona el propósito de los test unitarios: verificar el correcto flujo de datos y eliminar irregularidades.
    * **Robustez del Programa:** La idea de que las aserciones contribuyen a la robustez del programa es válida.
* **Aspectos Negativos / Deficiencias:**
    * **Explicación Superficial:** La explicación es bastante superficial. No profundiza en *cómo* las aserciones hacen esto. No se menciona la sintaxis básica o el comportamiento cuando una aserción falla.
    * **Terminología Incompleta:**  Aunque menciona "flujo de datos", falta mencionar el término "valor actual" o "valor observado" para completar la comparación.  Solo mencionar "valor introducido" es ambiguo.
    * **Falta de Mecanismo de Fallo:** No se describe lo que sucede cuando una aserción falla. El estudiante debería mencionar que una aserción fallida detiene la ejecución del test y reporta un error. Esta es una característica crucial.
    * **Falta de Ejemplos:**  La respuesta carece por completo de ejemplos. Incluso un ejemplo sencillo (aunque en pseudocódigo) de una aserción mejoraría significativamente la comprensión.
    * **Lenguaje un poco torpe:**  Frases como "comprobar el corrector funcionamiento" son imprecisas y sugieren una falta de dominio de la terminología.
**Ejemplo de Corrección Real (Para Comparación):**
"Una aserción es una declaración que se evalúa como verdadera o falsa durante la ejecución de un</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</si>
  <si>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</si>
  <si>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 Corrección de la Respuesta del Estudiante
**Calificación:** 7/10
**Justificación:**
La respuesta demuestra una comprensión básica del concepto de `asserts` y su utilidad en la programación, lo que justifica una calificación decente. Sin embargo, hay espacio para mejorar significativamente en varios aspectos, incluyendo la distinción entre `asserts` y `excepciones`, la explicación del propósito de `asserts` y la precisión en la descripción del patrón AAA.
**Análisis Detallado:**
* **Conceptos Correctamente Mencionados:**
    * **`Asserts` para entradas inválidas:** La respuesta identifica correctamente uno de los usos principales de los `asserts`.
    * **`Asserts` y excepciones:**  Se menciona la relación, aunque no se explica correctamente (ver "Errores Detectados").
    * **Ejemplo de división por cero:** El ejemplo es relevante y ilustra un escenario donde un `assert` podría ser útil.
    * **Robustez del software:**  Se reconoce que los `asserts` contribuyen a la robustez del software.
    * **Patrón AAA (arrange-act-assert):** Se menciona correctamente la estructura, aunque la explicación es superficial.
* **Errores Detectados:**
    * **Confusión entre `Asserts` y Excepciones:** El error más significativo es la mezcla entre `asserts` y excepciones. Los `asserts` están diseñados para detectar errores de programación en tiempo de desarrollo, mientras que las excepciones son mecanismos para manejar errores en tiempo de ejecución (errores inesperados en el ambiente de producción).  Se deberían diferenciar claramente sus propósitos.  Usar `asserts` para controlar entradas inválidas es generalmente incorrecto;  deberían usarse validaciones y control de entradas antes de llegar al punto de un `assert`.
    * **Superficialidad en la Explicación del Patrón AAA:**  Si bien se menciona el patrón AAA, la explicación es muy breve y no detalla adecuadamente el propósito de cada fase. El `arrange` debería enfocar en la configuración inicial, el `act` en la ejecución de la lógica a probar y el `assert` en la verificación de que el resultado sea el esperado.  Es crucial enfatizar que el patrón AAA es una herramienta para **pruebas unitarias**, y la respuesta no lo deja claro.
    * **Falta de Profundidad en la</t>
  </si>
  <si>
    <t>Respuesta: Las podemos usar en diferentes modos:
* Para clases.
* Para integraciones.
* Para tets.</t>
  </si>
  <si>
    <t>Okay, vamos a evaluar esta respuesta como si fuera de un estudiante.
**Calificación:** 4 / 10
**Justificación:**
Esta respuesta demuestra una comprensión *muy básica* del tema sobre el que se pregunta (asumo que se refiere al uso de alguna herramienta o tecnología educativa).  Aquí está mi análisis detallado:
* **Puntos Positivos (Conceptos Correctamente Mencionados):**
    * La respuesta identifica correctamente que la herramienta/tecnología tiene múltiples usos ("podemos usarlas en diferentes modos").  Esto indica una comprensión básica de la versatilidad de estas herramientas.
    * Los ejemplos proporcionados ("clases", "integraciones", "tests") sugieren que el estudiante ha considerado algunas áreas de aplicación.
* **Errores y Omisiones (Conceptos Faltantes):**
    * **Falta de Especificidad:** La respuesta es extremadamente vaga.  No menciona *qué* herramientas o tecnologías se están discutiendo.  Sin contexto, la respuesta es difícil de evaluar completamente.
    * **Profundidad Limitada:** Los ejemplos son superficiales y no explican *cómo* se utilizan estas herramientas en cada contexto.  Por ejemplo, "¿Cómo se usan en clases? ¿Para la presentación de contenido, la discusión, la colaboración?"  "¿Qué tipo de integraciones?"  "¿Qué tipo de tests?" La falta de detalles debilita la respuesta.
    * **Terminología Incorrecta/Incompleta:** El uso de "tests" es correcto, pero podría ser más preciso con términos como "evaluaciones," "pruebas," o "assessment" dependiendo del contexto. Falta el uso de términos clave que demuestren una comprensión más profunda del tema.
    * **Claridad:** La estructura con viñetas es correcta, pero la falta de desarrollo en cada punto dificulta la comprensión del razonamiento del estudiante.
* **En resumen:** La respuesta es un punto de partida, pero carece de la profundidad, la precisión y la claridad necesarias para una buena calificación.  Es como decir "se puede usar la tecnología para enseñar, integrar y evaluar". Es cierto, pero no demuestra una comprensión real de *cómo* y *por qué*.
**Para mejorar la respuesta, el estudiante necesitaría:**
* Identificar específicamente la herramienta o tecnología.
* Explicar en detalle cómo se utiliza en cada modo/contexto proporcionado (clases, integraciones,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</si>
  <si>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</si>
  <si>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Corrección y Evaluación de la Respuesta sobre Aserciones
**Calificación:** 8/10
**Justificación:**
Esta respuesta es **buena, pero no excelente**. Demuestra una comprensión sólida del concepto de aserciones, pero podría ser más completa y precisa.
**Puntos Fuertes (Conceptos Correctamente Mencionados):**
* **Definición correcta:** La respuesta define correctamente las aserciones como declaraciones que verifican si una condición se cumple o no.
* **Contexto de Testing:**  Comprende y explica correctamente el papel de las aserciones en el contexto de testing de software.
* **Ejemplo Ilustrativo:** El ejemplo de `assertEquals` (aunque no se menciona explícitamente como un método específico de una librería de testing) ilustra adecuadamente el uso de aserciones en la práctica.
* **Importancia:** Resalta la importancia de las aserciones para verificar el comportamiento esperado del código fuente.
**Errores Detectados y Conceptos Faltantes:**
* **Falta de Profundidad en la Explicación:** Si bien la definición es correcta, podría profundizarse en el *por qué* son importantes las aserciones.  Por ejemplo, mencionar que ayudan a detectar errores temprano en el ciclo de desarrollo, facilitando la depuración y el mantenimiento del código.
* **Especificidad del `assertEquals`:**  El ejemplo menciona `assertEquals`, pero no indica que es un método de una librería de testing específica (JUnit, TestNG, etc.).  Esto le resta algo de precisión técnica. Sería mejor mencionar que es un tipo de aserción común o, idealmente, nombrar una librería popular.
* **Tipos de Aserciones:** La respuesta se centra en la verificación de resultados, pero no menciona que existen diferentes tipos de aserciones para verificar diferentes condiciones (e.g., igualdad, desigualdad, pertenencia, nullidad, etc.).  La diversidad de tipos de aserciones es un punto importante.
* **Manejo de Errores:** No aborda el tema del manejo de errores cuando una aserción falla. ¿Qué sucede cuando una aserción no se cumple?  La respuesta podría mencionar que las fallas en las aserciones interrumpen la ejecución del test e indican la presencia de un bug.
**Ejemplo de Corrección Real (para comparación):**
"En programación, una *aserción*</t>
  </si>
  <si>
    <t>Respuesta: Se utilizan en los tests para comprobar trozos pequeños de codigo, y tienen importancia ya que validan el código, aportando seguridad al software.</t>
  </si>
  <si>
    <t>## Corrección de la respuesta: "Se utilizan en los tests para comprobar trozos pequeños de codigo, y tienen importancia ya que validan el código, aportando seguridad al software."
**Calificación:** 6/10
**Justificación:**
Esta respuesta demuestra una comprensión básica del concepto de pruebas unitarias, pero adolece de precisión y completitud.
**Puntos fuertes (conceptos correctamente mencionados):**
*   **"Se utilizan en los tests para comprobar trozos pequeños de código":**  Reconoce la idea fundamental de que las pruebas unitarias se centran en componentes individuales o "trozos" de código.
*   **"Tienen importancia ya que validan el código":**  Entiende que el propósito principal es la validación del código.
*   **"Aportando seguridad al software":** Reconoce un beneficio importante de las pruebas, aunque la conexión no se explica con suficiente detalle.
**Errores/Deficiencias:**
*   **Terminología:** "Tests" es un término informal.  Debería utilizarse "pruebas unitarias" o "pruebas de unidades" de forma consistente.  El uso de "codigo" en lugar de "código" también es un error ortográfico que resta profesionalismo.
*   **Falta de explicación de "validar":**  La respuesta menciona la validación, pero no explica *cómo* las pruebas unitarias validan el código. No se habla de la comparación con resultados esperados, ni de la creación de casos de prueba.
*   **Falta de profundidad en la "seguridad":** La afirmación sobre la seguridad es vaga.  Se podría explicar cómo las pruebas unitarias ayudan a prevenir errores que podrían comprometer la seguridad del software, por ejemplo, detectando vulnerabilidades o asegurando que el código se comporta de manera predecible en situaciones críticas.
*   **Ausencia de ejemplos:** No hay ningún ejemplo de cómo se escriben las pruebas unitarias o qué tipo de código se suele probar con ellas.  Esto limita la comprensión del estudiante.
*   **Falta de contexto:** No se menciona el ciclo de vida del desarrollo del software y el lugar que ocupan las pruebas unitarias en él (normalmente en las primeras etapas).
**Conceptos importantes que faltan:**
*   **Casos de prueba:** La idea de diseñar casos de prueba específicos para cubrir diferentes escenarios y entradas.
*</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</si>
  <si>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</si>
  <si>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Corrección de la Respuesta del Estudiante sobre Aserciones en Tests
**Calificación: 6/10**
**Análisis:**
La respuesta demuestra un entendimiento básico de las aserciones, pero carece de profundidad y precisión en varios aspectos cruciales.
**Puntos Fuertes:**
* **Concepto Fundamental:** El estudiante reconoce que las aserciones se utilizan en tests para verificar fragmentos de código específicos, como métodos o clases. Esto demuestra una comprensión inicial de su propósito.
* **Eficiencia:** Menciona correctamente que las aserciones son una forma eficiente de verificar valores.
* **Ejemplo:** Se proporciona un ejemplo concreto de una aserción (`assertNull()`) y su función (verificar si un valor es nulo).  La explicación de que un test que pasa ("verde") indicaría que el valor es nulo es correcta en el contexto.
**Errores y Conceptos Faltantes:**
* **Alcance Limitado:** La respuesta se enfoca excesivamente en la verificación de valores como "Null". Las aserciones son mucho más amplias y pueden verificar condiciones más complejas, relaciones entre valores, tipos de datos, etc.  No se menciona la versatilidad de las aserciones.
* **Propósito Principal:** Si bien menciona que las aserciones son importantes, no explica *por qué* son importantes en el contexto del testing. La respuesta carece de una explicación clara de cómo las aserciones ayudan a garantizar la calidad del código y la detección temprana de errores. El énfasis está en la eficiencia, pero no en la validación de la lógica del programa.
* **Tipos de Aserciones:** Solo se menciona `assertNull()`.  No se exploran otros tipos de aserciones comunes como `assertTrue()`, `assertFalse()`, `assertEquals()`, `assertNotEquals()`, etc. Esto limita la comprensión del estudiante sobre las diversas posibilidades de verificación.
* **Manejo de Fallos:** No se menciona qué sucede cuando una aserción falla (el test falla, se lanza una excepción, etc.).  Este es un aspecto fundamental para entender la utilidad de las aserciones en el ciclo de desarrollo.
* **Contexto de Testing:** Aunque se menciona el contexto de testing, no se explican conceptos relacionados como el testing unitario, la integración de las aserciones en un framework de testing (JUnit, pytest, etc.) o el concepto</t>
  </si>
  <si>
    <t>Respuesta: assert.equals sirve para introducir valores en los parámetros a la hora de hacer tests</t>
  </si>
  <si>
    <t>Okay, vamos a analizar y corregir esta respuesta, siguiendo el rol de profesor experto en evaluación académica.
**Respuesta del estudiante:** "assert.equals sirve para introducir valores en los parámetros a la hora de hacer tests"
**Calificación:** 4/10
**Justificación Detallada:**
* **Precisión Conceptual (3/5):** La respuesta toca tangencialmente el tema de las aserciones en testing, lo cual indica un conocimiento mínimo del concepto. Reconoce que `assert.equals` está relacionado con tests. Sin embargo, la afirmación es significativamente imprecisa. `assert.equals` no se utiliza para "introducir valores en los parámetros". Su función principal es **verificar la igualdad** entre dos valores, no asignarles valores.
* **Completitud (2/5):**  La respuesta es extremadamente incompleta. No menciona la función central de `assert.equals` (comparación de igualdad), ni el contexto en el que se utiliza (dentro de una prueba unitaria para verificar si un resultado esperado coincide con un resultado real). Tampoco menciona que `assert` es una palabra clave que indica una condición que debe ser verdadera para que la prueba siga adelante.
* **Uso de Terminología (3/5):** El uso del término "tests" es correcto, pero se queda corto.  Falta mencionar "pruebas unitarias" o "test cases" para situar el uso de `assert.equals` en su contexto correcto.  Además, el uso de la frase "introducir valores en los parámetros" es incorrecta en este contexto.
* **Claridad de la Explicación (3/5):** La explicación es confusa y no es clara sobre el propósito real de `assert.equals`.  La frase "introducir valores en los parámetros" es engañosa.
**Ejemplo de Corrección Real (para comparación):**
"En el contexto de pruebas unitarias, `assert.equals(expected, actual)` se utiliza para verificar si el valor 'actual' de un resultado en el código que se está probando es igual al valor 'expected' esperado. Si los valores son diferentes, la aserción falla, lo que indica que la prueba no ha pasado.  Es una parte fundamental de la afirmación de resultados en las pruebas unitarias, permitiendo verificar la corrección del código probado.  En esencia, `assert` es una instrucción que evalúa</t>
  </si>
  <si>
    <t>Respuesta: .</t>
  </si>
  <si>
    <t>Por favor, proporciona la respuesta del estudiante que deseas que corrija. Necesito el texto de la respuesta para poder evaluarla y asignarle una calificación. 
Una vez que me la des, la analizaré comparándola con ejemplos de correcciones reales (que puedo generar o utilizar si los tengo disponibles) y te daré:
*   **Una calificación numérica (0-10)**
*   **Un análisis de:**
    *   **Precisión conceptual:** Si los conceptos son comprendidos correctamente.
    *   **Completitud:** Si la respuesta aborda todos los aspectos relevantes de la pregunta.
    *   **Terminología:** Si se utiliza el vocabulario correcto y preciso.
    *   **Claridad:** Si la explicación es fácil de entender y está bien organizada.
*   **Una justificación de la nota:** Destacando los puntos fuertes de la respuesta, los errores identificados y los conceptos importantes que faltan.
¡Estoy listo para comenzar cuando me proporciones la respuesta!
&lt;end_of_turn&gt;</t>
  </si>
  <si>
    <t>Respuesta: Las assertions sirven para realizar comprobaciones entre los resultados obtenidos en el test y los resultados esperados. Estas se utilizan en la parte final de los test, después de la parte de desarrollo.</t>
  </si>
  <si>
    <t>## Corrección de la Respuesta: "Las assertions sirven para realizar comprobaciones entre los resultados obtenidos en el test y los resultados esperados. Estas se utilizan en la parte final de los test, después de la parte de desarrollo."
**Calificación: 6/10**
**Justificación:**
La respuesta es **parcialmente correcta** pero carece de profundidad y precisión.
**Puntos Fuertes (Conceptos Correctamente Mencionados):**
*   **Función Principal:** La respuesta identifica correctamente que las assertions sirven para realizar comprobaciones entre resultados obtenidos y esperados. Esto demuestra una comprensión básica de su propósito.
*   **Ubicación General:**  Menciona que se usan en la parte final de las pruebas, lo cual es un uso común y razonable.
**Errores y Conceptos Faltantes:**
*   **Falta de Profundidad en la Explicación:** La respuesta es demasiado superficial. No explica **cómo** las assertions realizan esta comprobación. No menciona el concepto de que una assertion evalúa una condición y genera un error (assertion failure) si la condición es falsa.  Debería indicar que la assertion verifica que una proposición es verdadera.
*   **Terminología:** No utiliza el término "condición" o "proposición" que son esenciales para comprender la función de una assertion. La respuesta simplemente habla de "comprobaciones" sin especificar qué se está comprobando.
*   **Contexto y Propósito Más Amplio:** La respuesta se limita a un contexto de "tests". Las assertions son una herramienta de programación mucho más general que se puede usar en cualquier parte del código para verificar invariantes, precondiciones, postcondiciones, etc.  No se menciona este uso más amplio.
*   **Ejemplos:**  La respuesta carece de ejemplos concretos. Mencionar un ejemplo simple de cómo se escribiría una assertion (por ejemplo, `assert x == 5`) fortalecería la respuesta significativamente.
*   **"Después de la parte de desarrollo":** Esta frase es algo vaga e innecesaria. Si bien es común encontrarlas al final, no es una regla estricta.
**En resumen:** La respuesta demuestra un entendimiento básico del propósito de las assertions, pero carece de la precisión y profundidad necesarias para obtener una calificación más alta.  Se centra demasiado en la ubicación y poco en el **cómo** funcionan y en la variedad de</t>
  </si>
  <si>
    <t>Respuesta: Las aserciones sirven para evaluar concretamente un valor esperado del test ya sea en una comparación de valores, de referencias, booleanas, etc...</t>
  </si>
  <si>
    <t>Okay, analicemos la respuesta del estudiante: "Las aserciones sirven para evaluar concretamente un valor esperado del test ya sea en una comparación de valores, de referencias, booleanas, etc..."
**Calificación: 6/10**
**Justificación:**
* **Conceptos Correctamente Mencionados:** El estudiante identifica correctamente que las aserciones (assertions) están relacionadas con la evaluación de resultados en el contexto de pruebas.  La mención de la comparación de valores, referencias y valores booleanos indica un entendimiento general de los tipos de cosas que se pueden verificar con aserciones.
* **Errores Detectados:** La explicación es bastante vaga y carece de profundidad.  La frase "evaluar concretamente un valor esperado" es imprecisa.  Las aserciones no *evalúan* el valor, sino que *afirman* que un valor es igual a lo esperado.  La palabra "test" puede ser confusa. Si bien las aserciones se utilizan en pruebas, la respuesta no distingue claramente entre el código bajo prueba y la aserción en sí. La frase "ya sea en una comparación de valores, de referencias, booleanas, etc..." es un poco desorganizada y podría ser más clara.
* **Conceptos Importantes que Faltan:**
    * **Propósito Principal:** La respuesta no explica el *propósito* fundamental de las aserciones: detectar errores lo antes posible en el desarrollo, actuando como una forma de "control de calidad" en el código.  Resaltar que las aserciones fallan si la condición es falsa es crucial.
    * **Contexto de Uso:** La respuesta no menciona dónde se usan las aserciones (dentro del código, en funciones de prueba, etc.).
    * **Consecuencias de una Aserción Fallida:**  No se explica que una aserción fallida generalmente interrumpe la ejecución del programa, indicando un error.
    * **Relación con Pruebas Unitarias/Integración:**  Sería ideal mencionar que las aserciones son un componente clave en pruebas unitarias y de integración, aunque no es estrictamente necesario para una buena respuesta básica.
**Ejemplos de Correcciones Reales (para dar contexto a la calificación):**
* **Ejemplo de 9-10/10:** "Las aserciones (assertions) son sentencias en el código que</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</si>
  <si>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</si>
  <si>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De acuerdo, analizaré la respuesta del estudiante como un profesor experto en evaluación académica.
**Calificación: 5/10**
**Justificación:**
La respuesta muestra un entendimiento *parcial* del tema de las aserciones en pruebas unitarias.
**Puntos Fuertes:**
*   **Mención de AssertionEquals:** El estudiante identifica correctamente `AssertionEquals` como un tipo de aserción. Esto indica un primer contacto con la terminología.
*   **Orden de parámetros:** Reconoce correctamente que el resultado esperado se coloca primero, seguido del resultado real en la aserción `AssertionEquals`.
*   **Importancia de la elección de aserciones:** La afirmación sobre la importancia de elegir la aserción correcta es válida y crucial en la práctica de pruebas unitarias.
**Debilidades y Conceptos Faltantes:**
*   **Falta de Profundidad:** La respuesta es superficial y carece de detalles. Simplemente menciona un tipo de aserción y su orden. No explica *por qué* es importante la elección de aserciones.
*   **Limitación a AssertionEquals:**  El estudiante se limita a un solo tipo de aserción.  Hay una amplia variedad de aserciones (e.g., `assertTrue`, `assertFalse`, `assertNull`, `assertNotNull`, aserciones para comparar listas, mapas, etc.)  y la respuesta no las reconoce.
*   **Ausencia de Contexto:** No se menciona el propósito de las aserciones dentro del contexto de las pruebas unitarias. Las aserciones son el núcleo de una prueba unitaria; verifican que el código se comporta como se espera.
*   **Falta de Ejemplos:** Una respuesta más completa incluiría un ejemplo sencillo de cómo se usa `AssertionEquals` (o cualquier otra aserción) en código, para ilustrar mejor el concepto.
*   **Terminología:** Aunque menciona "test", no utiliza términos como "caso de prueba", "escenario", "resultado esperado", "resultado actual", etc., que son importantes en el vocabulario de las pruebas.
**Ejemplo de Corrección Real (para comparación):**
"En pruebas unitarias, las aserciones son declaraciones que verifican si una condición es verdadera o falsa. Son el elemento central de una prueba unitaria; sin una aserción, la prueba no verifica nada.  Existen varios</t>
  </si>
  <si>
    <t>Respuesta: Las aserciones son verificaciones de las validaciones de entrada. Un ejemplo podría ser assertionNotNull(actual) / assertionNull(actual) que nos sirve para conocer si el valor de entrada (actual) es nulo o no.</t>
  </si>
  <si>
    <t>Okay, vamos a analizar y calificar esta respuesta sobre aserciones.
**Calificación: 6/10**
**Justificación:**
* **Conceptos Correctamente Mencionados:** La respuesta identifica correctamente que las aserciones están relacionadas con la validación de entradas. También proporciona un ejemplo concreto de sintaxis de aserciones (`assertionNotNull(actual)` / `assertionNull(actual)`), lo cual demuestra un entendimiento básico de cómo se expresan.  El reconocimiento de que estas aserciones sirven para verificar si un valor es nulo o no es preciso.
* **Errores Detectados:** La definición inicial ("Las aserciones son verificaciones de las validaciones de entrada") es algo imprecisa. Las aserciones *no* son verificaciones de validaciones; son *parte de* un proceso de validación o un mecanismo para *verificar* que una validación ha pasado o no. La frase está mal construida y sugiere una relación jerárquica incorrecta.
* **Conceptos Importantes que Faltan:**
    * **Propósito General de las Aserciones:** La respuesta se centra únicamente en la verificación de nulidad.  Las aserciones son mucho más amplias y se utilizan para verificar *cualquier* condición que se espera que sea verdadera en un punto dado del código.  Podrían verificar el valor de una variable, el resultado de una función, el tipo de dato, etc.  No se menciona su rol fundamental en las pruebas unitarias y el desarrollo basado en pruebas (TDD).
    * **Contexto de las Aserciones:** No se menciona que las aserciones se usan principalmente para probar código y detectar errores durante el desarrollo. Es crucial indicar que son herramientas para la detección temprana de bugs y no una característica inherente al código de producción.
    * **Tipos de Aserciones (más allá de nulo):**  Podría mencionarse brevemente otros tipos de aserciones, como `assertTrue()`, `assertFalse()`, `assertEquals()`, `assertThrows()`, etc. Esto ampliaría la comprensión del estudiante.
    * **Manejo de Fallos:** No se menciona qué sucede cuando una aserción falla.  Es importante saber que la ejecución del programa se detiene y se lanza una excepción (o un error similar), indicando que la condición esperada no se cumplió.
**En resumen:** La respuesta demuestra un conocimiento</t>
  </si>
  <si>
    <t>Respuesta: Las aserciones se utilizan para estructurar y validar la forma en al que los tests se realizan. Esto hace que sean mas fiables y que tenga mayor cobertura.</t>
  </si>
  <si>
    <t>Okay, vamos a analizar la respuesta del estudiante: "Las aserciones se utilizan para estructurar y validar la forma en al que los tests se realizan. Esto hace que sean mas fiables y que tenga mayor cobertura."
**Calificación: 4/10**
**Justificación:**
* **Conceptos Correctamente Mencionados:** La respuesta identifica correctamente que las aserciones están relacionadas con la construcción y evaluación de tests. La idea de que buscan mejorar la fiabilidad y la cobertura es también relevante.
* **Errores Detectados:** La explicación es bastante superficial y vaga.  El estudiante no profundiza en *cómo* las aserciones estructuran y validan los tests. No explica el propósito de las aserciones (evaluar la comprensión, identificar errores de razonamiento, etc.) ni los diferentes tipos de aserciones que existen (verdadera/falsa, completar, relacionar, etc.). El uso de la expresión "la forma en al que los tests se realizan" es redundante y poco preciso.
* **Conceptos Importantes que Faltan:**
    * **Definición precisa de "aserción":**  La respuesta asume que el lector sabe qué es una aserción. Debería haber una definición clara.
    * **Propósito específico de las aserciones en la evaluación:**  No se menciona que las aserciones están diseñadas para evaluar la comprensión del contenido y la capacidad de razonamiento, no solo para "validar la forma".
    * **Tipos de aserciones:**  Debería mencionarse que hay diferentes tipos de aserciones (ej., Verdadero/Falso, Completar, Relacionar) y cómo cada tipo se utiliza para evaluar diferentes habilidades.
    * **Relación con la Teoría de la Respuesta al Ítem (TRI):** Para una respuesta más completa, podría mencionarse cómo las aserciones (y los ítems en general) se analizan utilizando la TRI para determinar su dificultad y discriminación.
    * **Ejemplos concretos:** La falta de ejemplos concretos dificulta la comprensión del estudiante.
**Ejemplo de Corrección Real (para comparar):**
"Las aserciones, también conocidas como enunciados o proposiciones, son declaraciones que pueden ser verdaderas o falsas. En el contexto de la evaluación, las aserciones se utilizan como una forma de presentar preguntas o afirmaciones que los estudiantes deben</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</si>
  <si>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</si>
  <si>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Okay, vamos a analizar esta respuesta como si fuera una entrega de un estudiante en un curso de pruebas de software o desarrollo.
**Calificación:** 7.5 / 10
**Justificación:**
*   **Puntos Fuertes (Conceptos Correctamente Mencionados):**
    *   La respuesta identifica correctamente el propósito principal de las aserciones en las pruebas: verificar el funcionamiento del código.
    *   Menciona correctamente algunos métodos de aserción comunes: `assertEquals`, `assertThrows` y `assertNotNull`.
    *   Reconoce la importancia de utilizar funciones predefinidas para asegurar la consistencia y fiabilidad de las pruebas.
*   **Errores Detectados y Áreas de Mejora:**
    *   **Falta de Profundidad:** La respuesta es bastante superficial. Aunque menciona los métodos, no explica *cómo* se utilizan o en qué escenarios específicos son más apropiados.  Por ejemplo, podría haber mencionado `assertTrue`, `assertFalse`, `assertNull` o `assertNotEquals`.
    *   **Explicación de `assertThrows`:** La explicación de `assertThrows` es imprecisa.  No solo comprueba el "lanzamiento de una excepción", sino que *verifica que una excepción específica* se lanza bajo ciertas condiciones.  Esto es crucial para las pruebas de manejo de errores.
    *   **Explicación Limitada sobre la Importancia:** La justificación de por qué son importantes ("al ser unas funciones predefinidas, no van a tener error") es una simplificación excesiva. Las aserciones son importantes porque proporcionan una forma *estandarizada* de expresar las expectativas sobre el código y *automatizan* la verificación de esas expectativas. La fiabilidad de la prueba depende más del diseño de la prueba en sí que de que la función de aserción sea inherentemente perfecta.
    *   **Contexto General de las Pruebas Unitarias:** La respuesta se enfoca únicamente en las aserciones sin situarlas dentro del contexto más amplio de las pruebas unitarias.  No se menciona la importancia de escribir pruebas aisladas, repetibles y deterministas.
*   **Conceptos Importantes que Faltan:**
    *   **Test Driven Development (TDD):**  Una breve alusión a cómo las aserciones son fundamentales en el proceso de TDD.
    *   **Frameworks de Testing:**  M</t>
  </si>
  <si>
    <t>Respuesta: La asserciones en los test son declaraciones dentro de los test que validan el código, es decir es uno de los elemento más importantes de los test ya que son las líneas del código del test que validan o invalidan un test.</t>
  </si>
  <si>
    <t>Okay, vamos a evaluar esta respuesta sobre "aserciones en tests".
**Calificación:** 4/10
**Justificación:**
La respuesta captura un elemento crucial: **la idea general de que las aserciones están relacionadas con la validación de código en pruebas.** El estudiante menciona correctamente que las aserciones son parte integral de las pruebas y que su función es validar o invalidar un test. Esto demuestra una comprensión superficial del concepto.
Sin embargo, la respuesta tiene **deficiencias significativas** que impiden una calificación más alta:
*   **Terminología Imprecisa:** La frase "validan o invalidan un test" es confusa. Las aserciones *verifican* si una condición es verdadera o falsa. No invalidan un test en sí mismo, sino que indican si el código bajo prueba cumple con las expectativas. La terminología utilizada es imprecisa y podría llevar a confusión.
*   **Explicación Incompleta:** La respuesta se centra demasiado en el "código del test" y no explica *qué* se está validando.  Una aserción valida que el *resultado* de una función o método es el esperado. No solo se trata de la línea de código que la escribe.
*   **Falta de Profundidad:** No se menciona la importancia de las aserciones para la detección temprana de errores, la cobertura de pruebas y la retroalimentación rápida. Tampoco se alude a los diferentes tipos de aserciones que existen (igualdad, pertenencia, verdad, etc.) o a la sintaxis típica de las aserciones en diferentes lenguajes de programación.
*   **Redacción:** La redacción podría ser más clara y profesional.  "La asserciones en los test son declaraciones..."  podría reformularse para una mayor claridad.
**Conceptos Correctamente Mencionados:**
*   Relación de las aserciones con los tests.
*   Función básica de las aserciones (validación).
**Errores Detectados:**
*   Terminología imprecisa ("validan o invalidan un test").
*   Explicación incompleta de la función de las aserciones (no menciona qué se está validando).
**Conceptos Importantes Faltantes:**
*   La función de las aserciones para verificar si *el resultado* es el esperado.
*   La importancia de</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</si>
  <si>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</si>
  <si>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 xml:space="preserve">## Corrección de la Respuesta: Aserciones en Tests
**Calificación:** 6.5/10
**Justificación:**
La respuesta muestra una comprensión básica de las aserciones en pruebas unitarias, pero adolece de falta de profundidad y precisión en la explicación.
**Aspectos Positivos:**
*   **Concepto General Correcto:** Se identifica correctamente que las aserciones son herramientas para verificar valores dentro de una prueba.
*   **Importancia Reconocida:** Se menciona la importancia de las aserciones para aislar valores que pueden variar.
*   **Ejemplo Mención:** Se menciona el `assertEquals` como un ejemplo de aserción, lo cual es positivo.
**Aspectos Negativos (Errores y Omisiones):**
*   **Falta de Definición Formal:** La respuesta carece de una definición clara y concisa de lo que *es* una aserción. Se describe su función, pero no su naturaleza como una instrucción de verificación.
*   **Explicación Superficial:** La explicación de cómo las aserciones ayudan a "aislar valores" es vaga.  Sería más preciso hablar de cómo verifican que el código se comporta como se espera bajo condiciones específicas.
*   **Limitado al `assertEquals`:**  La respuesta solo menciona `assertEquals`.  Es importante mencionar que existen diferentes tipos de aserciones (e.g., `assertTrue`, `assertFalse`, `assertNull`, `assertNotNull`, `assertThrows`) cada una útil para validar diferentes condiciones.  La falta de mención de otras aserciones demuestra una comprensión incompleta.
*   **Ausencia de Contexto:** No se menciona el propósito general de las pruebas unitarias (garantizar la calidad del código, detección temprana de errores, refactorización segura) ni cómo las aserciones se integran en ese proceso.
*   **Terminología Imprecisa:** Frases como "el código escrito al correr el test da siempre un resultado esperado" son un tanto imprecisas. Sería más correcto decir "el código, bajo las condiciones establecidas en la prueba, produce el resultado esperado".
**Mejoras Sugeridas para la Respuesta:**
La respuesta debería incluir:
*   Una definición clara de aserción como una instrucción que evalúa una condición y reporta un éxito o fracaso.
*   Ejemplos más variados de aserciones.
</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</si>
  <si>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</si>
  <si>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 xml:space="preserve">## Corrección de la respuesta sobre "Asserciones en Pruebas"
**Calificación: 7/10**
**Análisis:**
La respuesta demuestra una comprensión básica de lo que son las asserciones (assertions) en el contexto de las pruebas de software. Se identifican correctamente como herramientas para verificar resultados y se mencionan algunos ejemplos comunes como la comprobación de igualdades y de valores nulos. También se enfatiza la importancia de las asserciones para el éxito de las pruebas y su relación con la calidad del test.
**Puntos Fuertes (Conceptos Correctamente Mencionados):**
* **Definición básica:** La respuesta identifica correctamente las asserciones como mecanismos para comprobar escenarios y comparar valores.
* **Ejemplos de uso:** Mencionar comprobaciones de igualdad y valores nulos es relevante y muestra un entendimiento práctico.
* **Importancia para el test:**  Se destaca correctamente la centralidad de las asserciones en el resultado de una prueba y su impacto en la calidad del test.
**Errores y Omisiones (Conceptos Faltantes):**
* **Tipos de Asserciones:**  La respuesta menciona que existen "muchos tipos" pero no entra en detalles ni da ejemplos específicos de diferentes tipos de asserciones (e.g., `assertTrue`, `assertFalse`, `assertNotEquals`, `assertContains`, etc.). Esto limita la completitud de la respuesta.
* **Contexto dentro del Framework de Testing:** No se menciona el contexto dentro de un framework de testing específico (JUnit, pytest, etc.).  Aunque no es estrictamente necesario,  proporcionaría mayor claridad.
* **Propósito de las Asserciones (Más allá de la Comparación):**  Las asserciones no se limitan a la comparación de igualdad.  También se utilizan para verificar tipos de datos, lanzar excepciones específicas, validar el estado de los objetos, etc. La respuesta no aborda estas posibilidades.
* **Claridad y Profundidad:**  Aunque la respuesta es correcta en su esencia, podría ser más clara y profundizar en la explicación de *por qué* un assertion bien planteado es crucial para la calidad del test.  Por ejemplo, se podría hablar de la importancia de evitar falsos positivos y falsos negativos.
**Ejemplo de Corrección Real (comparativa):**
"Las asserciones (assertions) son componentes fundamentales en las pruebas de software.  </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</si>
  <si>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</si>
  <si>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 xml:space="preserve">## Corrección de la Respuesta del Estudiante
**Calificación:** 6/10
**Análisis:**
La respuesta del estudiante demuestra un entendimiento básico del propósito de las aserciones en pruebas unitarias, pero carece de profundidad y precisión conceptual.
**Puntos Fuertes:**
* **Identificación del propósito:** El estudiante comprende que las aserciones sirven para verificar si los valores esperados coinciden con los valores reales.
* **Ejemplos básicos:** Proporciona ejemplos sintácticos correctos de `asserequals` y `asserttrue`, lo que indica una familiaridad con su uso.
* **Comprensión del resultado booleano:** El estudiante reconoce que las aserciones producen un valor booleano (verdadero/falso).
**Debilidades y Errores:**
* **Terminología Inexacta:**  Utiliza el término "test" en lugar de "pruebas unitarias". Si bien relacionados, no son sinónimos. Las pruebas unitarias son un componente de los tests.
* **Ausencia de Contexto:**  No explica *por qué* es importante verificar si los valores esperados coinciden con los reales.  Falta mencionar la importancia de las pruebas unitarias para garantizar la calidad del código, la detección temprana de errores y la refactorización segura.
* **Ejemplo Inapropiado `asserttrue`:** El ejemplo de `asserttrue( Taiwan.class, country)` es confuso y probablemente incorrecto en el contexto de las pruebas unitarias típicas.  No es claro qué representa `Taiwan.class` ni `country` en este contexto.  Un ejemplo válido para `asserttrue` sería verificar si una variable booleana tiene un valor verdadero.
* **Limitada Generalización:**  La respuesta se limita a mostrar ejemplos específicos de aserciones sin explicar la diversidad de tipos de aserciones que existen (por ejemplo, `assertnot`, `assertgreaterthan`, etc.) ni la lógica detrás de su implementación.
* **Falta de Explicación de la Biblioteca:** No se menciona que `asserequals`, `asserttrue`, etc., son funciones/métodos proporcionados por una biblioteca de pruebas unitarias específica (JUnit, pytest, etc.).
**Justificación de la Calificación:**
El estudiante muestra un conocimiento superficial de las aserciones, pero la respuesta es incompleta y contiene algunos errores de comprensión.  </t>
  </si>
  <si>
    <t>Respuesta: Los assertions se pueden utilizar para los test como una declaración para verificar una condición y si la condición es falsa, el test fallará. Es importante por que ayuda a minimizar el código de los tests.</t>
  </si>
  <si>
    <t>Okay, analicemos la respuesta del estudiante y la calificaremos.
**Respuesta del Estudiante:** "Los assertions se pueden utilizar para los tests como una declaración para verificar una condición y si la condición es falsa, el test fallará. Es importante por que ayuda a minimizar el código de los tests."
**Ejemplos de Correcciones Reales (para referencia y comparación):**
* **Ejemplo 1 (Calificación 9/10):** "Las aserciones (o assertions) en pruebas son declaraciones que verifican si una condición es verdadera en un punto específico del código.  Si la condición evaluada es falsa, la aserción lanza una excepción, deteniendo la ejecución de la prueba e indicando un fallo. Son valiosas porque permiten expresar directamente la expectativa sobre el estado del programa, haciéndolas concisas y facilitando la comprensión del propósito de la prueba.  Se usan típicamente para validar precondiciones, postcondiciones y invariantes."
* **Ejemplo 2 (Calificación 7/10):** "Las aserciones se utilizan en pruebas para asegurar que el estado del programa es como se espera en un punto dado. Cuando una aserción falla, la prueba se detiene inmediatamente, indicando un error. Son útiles para simplificar las pruebas, ya que permiten expresar condiciones de validación de forma clara y directa, evitando código redundante."
* **Ejemplo 3 (Calificación 5/10):** "Aserciones son para verificar cosas en los tests. Si es falso, el test falla. Sirven para hacer el código más corto."
**Calificación: 6/10**
**Justificación:**
* **Conceptos Correctamente Mencionados:** El estudiante identifica correctamente el propósito fundamental de las aserciones: verificar condiciones y hacer fallar el test si la condición es falsa.  También menciona (aunque de manera imprecisa) la idea de que ayudan a minimizar el código.
* **Errores Detectados:** La explicación es bastante superficial y carece de profundidad.  No se explica *por qué* la aserción es importante más allá de simplemente "minimizar el código". La razón principal de su importancia es la *claridad* y la *expresión directa de la expectativa*, algo que no se menciona.  Además, la redacción es un poco torpe y podría ser más precisa ("declaración para verificar una condición" es correcto,</t>
  </si>
  <si>
    <t>Respuesta: Las aserciones son importantes ya que validad los resultados de los tests, al fin y al cabo son los encargados de decir si un test pasa o no. Se utilizan al final del test</t>
  </si>
  <si>
    <t>{'response': 'respuesta no obtenida'}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</si>
  <si>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</si>
  <si>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</si>
  <si>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Respuesta: Son importantes porque se pueden usar para distintas situaciones, ya sea para ver si funcionan, para ver si son iguales, para eliminar o añadir mas.</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</si>
  <si>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</si>
  <si>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</si>
  <si>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</si>
  <si>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</si>
  <si>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</si>
  <si>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</si>
  <si>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</si>
  <si>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Respuesta: Las aserciones en los test sirven para que el codigo no influya en los datos, es decir, para que el codigo no pueda cambiar o eliminar cualquier tipo de dato que estamos verificando con los tests</t>
  </si>
  <si>
    <t>Respuesta: Se pueden utilizar por ejemplo cuando un campo no puede ser nulo, poniendo @NOTNULL para evitar campos que no se rellenen y sean obligatorios, saltando el error correspondiente para solucionarlo.</t>
  </si>
  <si>
    <t>Respuesta: Las aserciones se pueden utilizar en los tests para comparar valores, datos o resultados. Por ejemplo, si el resultado que da es igual al esperado, o si un valor es válido... Son muy importantes para tener tests completos y cubrir la mayor parte del código</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</si>
  <si>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</si>
  <si>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Respuesta: Las aserciones son comprobadores de datos que devueven valores de tipo bool (verdadero o falso) en los tests. Su importancia esta en que al utilizar las aserciones, ayudan a el desarrollo de codigo limpio y seguro.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</si>
  <si>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</si>
  <si>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</si>
  <si>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</si>
  <si>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</si>
  <si>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Respuesta: Tendríamos diferentes aserciones,
Asssert.Equals() -&gt; asegura que el valor de entrada y el valor esperado es igual.
No me acuerdo de mas asserts ahora mismo ;(
Los asserts son el motor básico del test y lo que asegura que lo que estamos probando esta bien.</t>
  </si>
  <si>
    <t>Respuesta: No lo se :(</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</si>
  <si>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</si>
  <si>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Respuesta: Las aserciones de los test sirven para comprobar que el programa funciona de la manera esperada por el programador. Es una verificación del programa que funciona correctamente.</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</si>
  <si>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</si>
  <si>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</si>
  <si>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</si>
  <si>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Respuesta: Son importantes porque permiten un mayor control a la hora de hacer el testing, y permite el uso de una mayor cantidad de datos, permitiendo que el test sea más viable al cubrir mayor cantidad de datos .</t>
  </si>
  <si>
    <t>Respuesta: No
se
la
respuesta</t>
  </si>
  <si>
    <t>Respuesta: NO SE</t>
  </si>
  <si>
    <t>Respuesta: Con la libreria Jakarta puedes usar aserciones en los test de forma sencilla ya que te añade las funciones como por ejemplo assertequals, son importantes ya que te permiten agilizar y cubrir mejor ciertas cosas a testear.</t>
  </si>
  <si>
    <t>Respuesta: Las aserciones se pueden utilizar para comprobar las salidas de los test en función de las entradas. Esto es muy importante para comprobar si la salida tiene sentido teniendo en cuenta las entradas del test.</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</si>
  <si>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</si>
  <si>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</si>
  <si>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Respuesta: digo lo mismo que en la anterior pregunta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</si>
</sst>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rgb="FF000000"/>
      <name val="Arial"/>
      <scheme val="minor"/>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0" fontId="3" numFmtId="0" xfId="0" applyFont="1"/>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gemma3-12-RespuestaIdeal_512tokens</a:t>
            </a:r>
          </a:p>
        </c:rich>
      </c:tx>
      <c:overlay val="0"/>
    </c:title>
    <c:plotArea>
      <c:layout/>
      <c:lineChart>
        <c:varyColors val="0"/>
        <c:ser>
          <c:idx val="0"/>
          <c:order val="0"/>
          <c:spPr>
            <a:ln cmpd="sng">
              <a:solidFill>
                <a:srgbClr val="4285F4"/>
              </a:solidFill>
            </a:ln>
          </c:spPr>
          <c:marker>
            <c:symbol val="none"/>
          </c:marker>
          <c:cat>
            <c:strRef>
              <c:f>'gemma3-12-RespuestaIdeal_512tok'!$A$2:$A$77</c:f>
            </c:strRef>
          </c:cat>
          <c:val>
            <c:numRef>
              <c:f>'gemma3-12-RespuestaIdeal_512tok'!$I$2:$I$37</c:f>
              <c:numCache/>
            </c:numRef>
          </c:val>
          <c:smooth val="0"/>
        </c:ser>
        <c:axId val="386670003"/>
        <c:axId val="1389450209"/>
      </c:lineChart>
      <c:catAx>
        <c:axId val="386670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9450209"/>
      </c:catAx>
      <c:valAx>
        <c:axId val="1389450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667000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742950</xdr:colOff>
      <xdr:row>2</xdr:row>
      <xdr:rowOff>304800</xdr:rowOff>
    </xdr:from>
    <xdr:ext cx="106203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75"/>
    <col customWidth="1" min="4" max="4" width="21.13"/>
  </cols>
  <sheetData>
    <row r="1">
      <c r="A1" s="1" t="s">
        <v>0</v>
      </c>
      <c r="B1" s="1" t="s">
        <v>1</v>
      </c>
      <c r="C1" s="1" t="s">
        <v>2</v>
      </c>
      <c r="D1" s="1" t="s">
        <v>3</v>
      </c>
      <c r="E1" s="1" t="s">
        <v>4</v>
      </c>
      <c r="F1" s="1" t="s">
        <v>5</v>
      </c>
      <c r="G1" s="2" t="s">
        <v>6</v>
      </c>
      <c r="H1" s="2" t="s">
        <v>7</v>
      </c>
      <c r="I1" s="2" t="s">
        <v>8</v>
      </c>
      <c r="J1" s="2"/>
      <c r="K1" s="2"/>
      <c r="L1" s="2"/>
      <c r="M1" s="3" t="s">
        <v>9</v>
      </c>
      <c r="N1" s="3" t="s">
        <v>10</v>
      </c>
      <c r="O1" s="3" t="s">
        <v>11</v>
      </c>
      <c r="P1" s="3" t="s">
        <v>12</v>
      </c>
      <c r="Q1" s="4">
        <v>1.0</v>
      </c>
      <c r="R1" s="4">
        <v>2.0</v>
      </c>
      <c r="S1" s="4">
        <v>3.0</v>
      </c>
      <c r="T1" s="4">
        <v>4.0</v>
      </c>
      <c r="U1" s="4">
        <v>5.0</v>
      </c>
      <c r="V1" s="4">
        <v>-1.0</v>
      </c>
      <c r="W1" s="4">
        <v>-2.0</v>
      </c>
      <c r="X1" s="4">
        <v>-3.0</v>
      </c>
      <c r="Y1" s="4">
        <v>-4.0</v>
      </c>
      <c r="Z1" s="4">
        <v>-5.0</v>
      </c>
      <c r="AA1" s="3" t="s">
        <v>13</v>
      </c>
    </row>
    <row r="2">
      <c r="A2" s="1">
        <v>0.0</v>
      </c>
      <c r="B2" s="1" t="s">
        <v>14</v>
      </c>
      <c r="C2" s="1" t="s">
        <v>15</v>
      </c>
      <c r="D2" s="1" t="s">
        <v>16</v>
      </c>
      <c r="E2" s="1">
        <v>4.0</v>
      </c>
      <c r="F2" s="5">
        <v>78.0</v>
      </c>
      <c r="G2" s="2" t="str">
        <f>IFERROR(__xludf.DUMMYFUNCTION("ARRAYFORMULA(SUBSTITUTE(IF(D2:D1000="""", """", IFERROR(REGEXEXTRACT(D2:D1000, ""(?i)calificaci[óo]n[^0-9]*([0-9.,]+)""), """")), ""."", "",""))"),"6")</f>
        <v>6</v>
      </c>
      <c r="H2" s="6">
        <v>2.0</v>
      </c>
      <c r="I2" s="6">
        <f t="shared" ref="I2:I18" si="2">E2-G2</f>
        <v>-2</v>
      </c>
      <c r="J2" s="2"/>
      <c r="K2" s="2"/>
      <c r="L2" s="2"/>
      <c r="M2" s="4">
        <f>MAX(H1:H90)</f>
        <v>2</v>
      </c>
      <c r="N2" s="7">
        <f t="shared" ref="N2:O2" si="1">AVERAGE(H1:H90)</f>
        <v>2</v>
      </c>
      <c r="O2" s="7">
        <f t="shared" si="1"/>
        <v>-0.2285714286</v>
      </c>
      <c r="P2" s="8">
        <f>COUNTIF(I2:I101, 0) / COUNT(I2:I101)
</f>
        <v>0.1428571429</v>
      </c>
      <c r="Q2" s="9">
        <f>COUNTIF(I2:I72, 1) / COUNT(I2:I72)</f>
        <v>0.2</v>
      </c>
      <c r="R2" s="10">
        <f>COUNTIF(I2:I72, 2) / COUNT(I2:I72)</f>
        <v>0.1142857143</v>
      </c>
      <c r="S2" s="10">
        <f>COUNTIF(I2:I72, 3) / COUNT(I2:I72)</f>
        <v>0</v>
      </c>
      <c r="T2" s="10">
        <f>COUNTIF(I2:I72, 4) / COUNT(I2:I72)</f>
        <v>0.02857142857</v>
      </c>
      <c r="U2" s="10">
        <f>COUNTIF(I2:I72, 5) / COUNT(I2:I72)</f>
        <v>0</v>
      </c>
      <c r="V2" s="10">
        <f>COUNTIF(I2:I72, -1) / COUNT(I2:I72)</f>
        <v>0.1142857143</v>
      </c>
      <c r="W2" s="10">
        <f>COUNTIF(I2:I72, -2) / COUNT(I2:I72)</f>
        <v>0.1714285714</v>
      </c>
      <c r="X2" s="10">
        <f>COUNTIF(I2:I72, -3) / COUNT(I2:I72)</f>
        <v>0.05714285714</v>
      </c>
      <c r="Y2" s="10">
        <f>COUNTIF(H2:H72, -4) / COUNT(H2:H72)</f>
        <v>0</v>
      </c>
      <c r="Z2" s="10">
        <f>COUNTIF(I2:I72, -5) / COUNT(I2:I72)</f>
        <v>0</v>
      </c>
      <c r="AA2" s="10">
        <f>COUNTIF(H:H, "&lt;=1") / COUNT(H:H)</f>
        <v>0</v>
      </c>
    </row>
    <row r="3">
      <c r="A3" s="1">
        <v>1.0</v>
      </c>
      <c r="B3" s="1" t="s">
        <v>17</v>
      </c>
      <c r="C3" s="1" t="s">
        <v>15</v>
      </c>
      <c r="D3" s="1" t="s">
        <v>18</v>
      </c>
      <c r="E3" s="1">
        <v>2.0</v>
      </c>
      <c r="F3" s="5">
        <v>76.0</v>
      </c>
      <c r="G3" s="11" t="str">
        <f>IFERROR(__xludf.DUMMYFUNCTION("""COMPUTED_VALUE"""),"4")</f>
        <v>4</v>
      </c>
      <c r="H3" s="6">
        <v>2.0</v>
      </c>
      <c r="I3" s="6">
        <f t="shared" si="2"/>
        <v>-2</v>
      </c>
    </row>
    <row r="4">
      <c r="A4" s="1">
        <v>2.0</v>
      </c>
      <c r="B4" s="1" t="s">
        <v>19</v>
      </c>
      <c r="C4" s="1" t="s">
        <v>15</v>
      </c>
      <c r="D4" s="1" t="s">
        <v>20</v>
      </c>
      <c r="E4" s="1">
        <v>5.0</v>
      </c>
      <c r="F4" s="5">
        <v>76.0</v>
      </c>
      <c r="G4" s="11" t="str">
        <f>IFERROR(__xludf.DUMMYFUNCTION("""COMPUTED_VALUE"""),"4")</f>
        <v>4</v>
      </c>
      <c r="H4" s="6">
        <v>2.0</v>
      </c>
      <c r="I4" s="6">
        <f t="shared" si="2"/>
        <v>1</v>
      </c>
    </row>
    <row r="5">
      <c r="A5" s="1">
        <v>3.0</v>
      </c>
      <c r="B5" s="1" t="s">
        <v>21</v>
      </c>
      <c r="C5" s="1" t="s">
        <v>15</v>
      </c>
      <c r="D5" s="1" t="s">
        <v>22</v>
      </c>
      <c r="E5" s="1">
        <v>4.0</v>
      </c>
      <c r="F5" s="5">
        <v>78.0</v>
      </c>
      <c r="G5" s="11" t="str">
        <f>IFERROR(__xludf.DUMMYFUNCTION("""COMPUTED_VALUE"""),"6")</f>
        <v>6</v>
      </c>
      <c r="H5" s="6">
        <v>2.0</v>
      </c>
      <c r="I5" s="6">
        <f t="shared" si="2"/>
        <v>-2</v>
      </c>
    </row>
    <row r="6">
      <c r="A6" s="1">
        <v>4.0</v>
      </c>
      <c r="B6" s="1" t="s">
        <v>23</v>
      </c>
      <c r="C6" s="1" t="s">
        <v>15</v>
      </c>
      <c r="D6" s="1" t="s">
        <v>24</v>
      </c>
      <c r="E6" s="1">
        <v>6.0</v>
      </c>
      <c r="F6" s="5">
        <v>76.0</v>
      </c>
      <c r="G6" s="11" t="str">
        <f>IFERROR(__xludf.DUMMYFUNCTION("""COMPUTED_VALUE"""),"4")</f>
        <v>4</v>
      </c>
      <c r="H6" s="6">
        <v>2.0</v>
      </c>
      <c r="I6" s="6">
        <f t="shared" si="2"/>
        <v>2</v>
      </c>
    </row>
    <row r="7">
      <c r="A7" s="1">
        <v>5.0</v>
      </c>
      <c r="B7" s="1" t="s">
        <v>25</v>
      </c>
      <c r="C7" s="1" t="s">
        <v>15</v>
      </c>
      <c r="D7" s="1" t="s">
        <v>26</v>
      </c>
      <c r="E7" s="1">
        <v>6.0</v>
      </c>
      <c r="F7" s="5">
        <v>77.0</v>
      </c>
      <c r="G7" s="11" t="str">
        <f>IFERROR(__xludf.DUMMYFUNCTION("""COMPUTED_VALUE"""),"7")</f>
        <v>7</v>
      </c>
      <c r="H7" s="6">
        <v>2.0</v>
      </c>
      <c r="I7" s="6">
        <f t="shared" si="2"/>
        <v>-1</v>
      </c>
    </row>
    <row r="8">
      <c r="A8" s="1">
        <v>6.0</v>
      </c>
      <c r="B8" s="1" t="s">
        <v>27</v>
      </c>
      <c r="C8" s="1" t="s">
        <v>15</v>
      </c>
      <c r="D8" s="1" t="s">
        <v>28</v>
      </c>
      <c r="E8" s="1">
        <v>7.0</v>
      </c>
      <c r="F8" s="5">
        <v>77.0</v>
      </c>
      <c r="G8" s="11" t="str">
        <f>IFERROR(__xludf.DUMMYFUNCTION("""COMPUTED_VALUE"""),"7,5")</f>
        <v>7,5</v>
      </c>
      <c r="H8" s="6">
        <v>2.0</v>
      </c>
      <c r="I8" s="6">
        <f t="shared" si="2"/>
        <v>-0.5</v>
      </c>
    </row>
    <row r="9">
      <c r="A9" s="1">
        <v>7.0</v>
      </c>
      <c r="B9" s="1" t="s">
        <v>29</v>
      </c>
      <c r="C9" s="1" t="s">
        <v>15</v>
      </c>
      <c r="D9" s="1" t="s">
        <v>30</v>
      </c>
      <c r="E9" s="1">
        <v>5.0</v>
      </c>
      <c r="F9" s="5">
        <v>77.0</v>
      </c>
      <c r="G9" s="11" t="str">
        <f>IFERROR(__xludf.DUMMYFUNCTION("""COMPUTED_VALUE"""),"6")</f>
        <v>6</v>
      </c>
      <c r="H9" s="6">
        <v>2.0</v>
      </c>
      <c r="I9" s="6">
        <f t="shared" si="2"/>
        <v>-1</v>
      </c>
    </row>
    <row r="10">
      <c r="A10" s="1">
        <v>8.0</v>
      </c>
      <c r="B10" s="1" t="s">
        <v>31</v>
      </c>
      <c r="C10" s="1" t="s">
        <v>15</v>
      </c>
      <c r="D10" s="1" t="s">
        <v>32</v>
      </c>
      <c r="E10" s="1">
        <v>7.0</v>
      </c>
      <c r="F10" s="5">
        <v>77.0</v>
      </c>
      <c r="G10" s="11" t="str">
        <f>IFERROR(__xludf.DUMMYFUNCTION("""COMPUTED_VALUE"""),"5")</f>
        <v>5</v>
      </c>
      <c r="H10" s="6">
        <v>2.0</v>
      </c>
      <c r="I10" s="6">
        <f t="shared" si="2"/>
        <v>2</v>
      </c>
    </row>
    <row r="11">
      <c r="A11" s="1">
        <v>9.0</v>
      </c>
      <c r="B11" s="1" t="s">
        <v>33</v>
      </c>
      <c r="C11" s="1" t="s">
        <v>15</v>
      </c>
      <c r="D11" s="1" t="s">
        <v>34</v>
      </c>
      <c r="E11" s="1">
        <v>6.0</v>
      </c>
      <c r="F11" s="5">
        <v>77.0</v>
      </c>
      <c r="G11" s="11" t="str">
        <f>IFERROR(__xludf.DUMMYFUNCTION("""COMPUTED_VALUE"""),"4")</f>
        <v>4</v>
      </c>
      <c r="H11" s="6">
        <v>2.0</v>
      </c>
      <c r="I11" s="6">
        <f t="shared" si="2"/>
        <v>2</v>
      </c>
    </row>
    <row r="12">
      <c r="A12" s="1">
        <v>10.0</v>
      </c>
      <c r="B12" s="1" t="s">
        <v>35</v>
      </c>
      <c r="C12" s="1" t="s">
        <v>15</v>
      </c>
      <c r="D12" s="1" t="s">
        <v>36</v>
      </c>
      <c r="E12" s="1">
        <v>6.0</v>
      </c>
      <c r="F12" s="5">
        <v>77.0</v>
      </c>
      <c r="G12" s="11" t="str">
        <f>IFERROR(__xludf.DUMMYFUNCTION("""COMPUTED_VALUE"""),"6")</f>
        <v>6</v>
      </c>
      <c r="H12" s="6">
        <v>2.0</v>
      </c>
      <c r="I12" s="6">
        <f t="shared" si="2"/>
        <v>0</v>
      </c>
    </row>
    <row r="13">
      <c r="A13" s="1">
        <v>11.0</v>
      </c>
      <c r="B13" s="1" t="s">
        <v>37</v>
      </c>
      <c r="C13" s="1" t="s">
        <v>15</v>
      </c>
      <c r="D13" s="1" t="s">
        <v>38</v>
      </c>
      <c r="E13" s="1">
        <v>6.0</v>
      </c>
      <c r="F13" s="5">
        <v>77.0</v>
      </c>
      <c r="G13" s="11" t="str">
        <f>IFERROR(__xludf.DUMMYFUNCTION("""COMPUTED_VALUE"""),"6")</f>
        <v>6</v>
      </c>
      <c r="H13" s="6">
        <v>2.0</v>
      </c>
      <c r="I13" s="6">
        <f t="shared" si="2"/>
        <v>0</v>
      </c>
    </row>
    <row r="14">
      <c r="A14" s="1">
        <v>12.0</v>
      </c>
      <c r="B14" s="1" t="s">
        <v>39</v>
      </c>
      <c r="C14" s="1" t="s">
        <v>15</v>
      </c>
      <c r="D14" s="1" t="s">
        <v>40</v>
      </c>
      <c r="E14" s="1">
        <v>8.0</v>
      </c>
      <c r="F14" s="5">
        <v>79.0</v>
      </c>
      <c r="G14" s="11" t="str">
        <f>IFERROR(__xludf.DUMMYFUNCTION("""COMPUTED_VALUE"""),"7")</f>
        <v>7</v>
      </c>
      <c r="H14" s="6">
        <v>2.0</v>
      </c>
      <c r="I14" s="6">
        <f t="shared" si="2"/>
        <v>1</v>
      </c>
    </row>
    <row r="15">
      <c r="A15" s="1">
        <v>13.0</v>
      </c>
      <c r="B15" s="1" t="s">
        <v>41</v>
      </c>
      <c r="C15" s="1" t="s">
        <v>15</v>
      </c>
      <c r="D15" s="1" t="s">
        <v>42</v>
      </c>
      <c r="E15" s="1">
        <v>5.0</v>
      </c>
      <c r="F15" s="5">
        <v>65.0</v>
      </c>
      <c r="G15" s="11" t="str">
        <f>IFERROR(__xludf.DUMMYFUNCTION("""COMPUTED_VALUE"""),"7")</f>
        <v>7</v>
      </c>
      <c r="H15" s="6">
        <v>2.0</v>
      </c>
      <c r="I15" s="6">
        <f t="shared" si="2"/>
        <v>-2</v>
      </c>
    </row>
    <row r="16">
      <c r="A16" s="1">
        <v>14.0</v>
      </c>
      <c r="B16" s="1" t="s">
        <v>43</v>
      </c>
      <c r="C16" s="1" t="s">
        <v>15</v>
      </c>
      <c r="D16" s="1" t="s">
        <v>44</v>
      </c>
      <c r="E16" s="1">
        <v>7.0</v>
      </c>
      <c r="F16" s="5">
        <v>76.0</v>
      </c>
      <c r="G16" s="11" t="str">
        <f>IFERROR(__xludf.DUMMYFUNCTION("""COMPUTED_VALUE"""),"6")</f>
        <v>6</v>
      </c>
      <c r="H16" s="6">
        <v>2.0</v>
      </c>
      <c r="I16" s="6">
        <f t="shared" si="2"/>
        <v>1</v>
      </c>
    </row>
    <row r="17">
      <c r="A17" s="1">
        <v>15.0</v>
      </c>
      <c r="B17" s="1" t="s">
        <v>45</v>
      </c>
      <c r="C17" s="1" t="s">
        <v>15</v>
      </c>
      <c r="D17" s="1" t="s">
        <v>46</v>
      </c>
      <c r="E17" s="1">
        <v>2.0</v>
      </c>
      <c r="F17" s="5">
        <v>78.0</v>
      </c>
      <c r="G17" s="11" t="str">
        <f>IFERROR(__xludf.DUMMYFUNCTION("""COMPUTED_VALUE"""),"6")</f>
        <v>6</v>
      </c>
      <c r="H17" s="6">
        <v>2.0</v>
      </c>
      <c r="I17" s="6">
        <f t="shared" si="2"/>
        <v>-4</v>
      </c>
    </row>
    <row r="18">
      <c r="A18" s="1">
        <v>16.0</v>
      </c>
      <c r="B18" s="1" t="s">
        <v>47</v>
      </c>
      <c r="C18" s="1" t="s">
        <v>15</v>
      </c>
      <c r="D18" s="1" t="s">
        <v>48</v>
      </c>
      <c r="E18" s="1">
        <v>7.0</v>
      </c>
      <c r="F18" s="5">
        <v>78.0</v>
      </c>
      <c r="G18" s="11" t="str">
        <f>IFERROR(__xludf.DUMMYFUNCTION("""COMPUTED_VALUE"""),"6,5")</f>
        <v>6,5</v>
      </c>
      <c r="H18" s="6">
        <v>2.0</v>
      </c>
      <c r="I18" s="6">
        <f t="shared" si="2"/>
        <v>0.5</v>
      </c>
    </row>
    <row r="19">
      <c r="A19" s="1">
        <v>17.0</v>
      </c>
      <c r="B19" s="1" t="s">
        <v>49</v>
      </c>
      <c r="C19" s="1" t="s">
        <v>15</v>
      </c>
      <c r="D19" s="1" t="s">
        <v>50</v>
      </c>
      <c r="E19" s="1">
        <v>9.0</v>
      </c>
      <c r="F19" s="5">
        <v>77.0</v>
      </c>
      <c r="G19" s="11" t="str">
        <f>IFERROR(__xludf.DUMMYFUNCTION("""COMPUTED_VALUE"""),",")</f>
        <v>,</v>
      </c>
      <c r="H19" s="6"/>
      <c r="I19" s="6"/>
    </row>
    <row r="20">
      <c r="A20" s="1">
        <v>18.0</v>
      </c>
      <c r="B20" s="1" t="s">
        <v>51</v>
      </c>
      <c r="C20" s="1" t="s">
        <v>15</v>
      </c>
      <c r="D20" s="1" t="s">
        <v>52</v>
      </c>
      <c r="E20" s="1">
        <v>7.0</v>
      </c>
      <c r="F20" s="5">
        <v>77.0</v>
      </c>
      <c r="G20" s="11" t="str">
        <f>IFERROR(__xludf.DUMMYFUNCTION("""COMPUTED_VALUE"""),"7")</f>
        <v>7</v>
      </c>
      <c r="H20" s="6">
        <v>2.0</v>
      </c>
      <c r="I20" s="6">
        <f t="shared" ref="I20:I37" si="3">E20-G20</f>
        <v>0</v>
      </c>
    </row>
    <row r="21">
      <c r="A21" s="1">
        <v>19.0</v>
      </c>
      <c r="B21" s="1" t="s">
        <v>53</v>
      </c>
      <c r="C21" s="1" t="s">
        <v>15</v>
      </c>
      <c r="D21" s="1" t="s">
        <v>54</v>
      </c>
      <c r="E21" s="1">
        <v>0.0</v>
      </c>
      <c r="F21" s="5">
        <v>76.0</v>
      </c>
      <c r="G21" s="11" t="str">
        <f>IFERROR(__xludf.DUMMYFUNCTION("""COMPUTED_VALUE"""),"4")</f>
        <v>4</v>
      </c>
      <c r="H21" s="6">
        <v>2.0</v>
      </c>
      <c r="I21" s="6">
        <f t="shared" si="3"/>
        <v>-4</v>
      </c>
    </row>
    <row r="22">
      <c r="A22" s="1">
        <v>20.0</v>
      </c>
      <c r="B22" s="1" t="s">
        <v>55</v>
      </c>
      <c r="C22" s="1" t="s">
        <v>15</v>
      </c>
      <c r="D22" s="1" t="s">
        <v>56</v>
      </c>
      <c r="E22" s="1">
        <v>8.0</v>
      </c>
      <c r="F22" s="5">
        <v>78.0</v>
      </c>
      <c r="G22" s="11" t="str">
        <f>IFERROR(__xludf.DUMMYFUNCTION("""COMPUTED_VALUE"""),"8")</f>
        <v>8</v>
      </c>
      <c r="H22" s="6">
        <v>2.0</v>
      </c>
      <c r="I22" s="6">
        <f t="shared" si="3"/>
        <v>0</v>
      </c>
    </row>
    <row r="23">
      <c r="A23" s="1">
        <v>21.0</v>
      </c>
      <c r="B23" s="1" t="s">
        <v>57</v>
      </c>
      <c r="C23" s="1" t="s">
        <v>15</v>
      </c>
      <c r="D23" s="1" t="s">
        <v>58</v>
      </c>
      <c r="E23" s="1">
        <v>4.0</v>
      </c>
      <c r="F23" s="5">
        <v>76.0</v>
      </c>
      <c r="G23" s="11" t="str">
        <f>IFERROR(__xludf.DUMMYFUNCTION("""COMPUTED_VALUE"""),"6")</f>
        <v>6</v>
      </c>
      <c r="H23" s="6">
        <v>2.0</v>
      </c>
      <c r="I23" s="6">
        <f t="shared" si="3"/>
        <v>-2</v>
      </c>
    </row>
    <row r="24">
      <c r="A24" s="1">
        <v>22.0</v>
      </c>
      <c r="B24" s="1" t="s">
        <v>59</v>
      </c>
      <c r="C24" s="1" t="s">
        <v>15</v>
      </c>
      <c r="D24" s="1" t="s">
        <v>60</v>
      </c>
      <c r="E24" s="1">
        <v>7.0</v>
      </c>
      <c r="F24" s="5">
        <v>77.0</v>
      </c>
      <c r="G24" s="11" t="str">
        <f>IFERROR(__xludf.DUMMYFUNCTION("""COMPUTED_VALUE"""),"6")</f>
        <v>6</v>
      </c>
      <c r="H24" s="6">
        <v>2.0</v>
      </c>
      <c r="I24" s="6">
        <f t="shared" si="3"/>
        <v>1</v>
      </c>
    </row>
    <row r="25">
      <c r="A25" s="1">
        <v>23.0</v>
      </c>
      <c r="B25" s="1" t="s">
        <v>61</v>
      </c>
      <c r="C25" s="1" t="s">
        <v>15</v>
      </c>
      <c r="D25" s="1" t="s">
        <v>62</v>
      </c>
      <c r="E25" s="1">
        <v>1.0</v>
      </c>
      <c r="F25" s="5">
        <v>76.0</v>
      </c>
      <c r="G25" s="11" t="str">
        <f>IFERROR(__xludf.DUMMYFUNCTION("""COMPUTED_VALUE"""),"4")</f>
        <v>4</v>
      </c>
      <c r="H25" s="6">
        <v>2.0</v>
      </c>
      <c r="I25" s="6">
        <f t="shared" si="3"/>
        <v>-3</v>
      </c>
    </row>
    <row r="26">
      <c r="A26" s="1">
        <v>24.0</v>
      </c>
      <c r="B26" s="1" t="s">
        <v>63</v>
      </c>
      <c r="C26" s="1" t="s">
        <v>15</v>
      </c>
      <c r="D26" s="1" t="s">
        <v>64</v>
      </c>
      <c r="E26" s="1">
        <v>0.0</v>
      </c>
      <c r="F26" s="5">
        <v>33.0</v>
      </c>
      <c r="G26" s="11" t="str">
        <f>IFERROR(__xludf.DUMMYFUNCTION("""COMPUTED_VALUE"""),"0")</f>
        <v>0</v>
      </c>
      <c r="H26" s="6">
        <v>2.0</v>
      </c>
      <c r="I26" s="6">
        <f t="shared" si="3"/>
        <v>0</v>
      </c>
    </row>
    <row r="27">
      <c r="A27" s="1">
        <v>25.0</v>
      </c>
      <c r="B27" s="1" t="s">
        <v>65</v>
      </c>
      <c r="C27" s="1" t="s">
        <v>15</v>
      </c>
      <c r="D27" s="1" t="s">
        <v>66</v>
      </c>
      <c r="E27" s="1">
        <v>7.0</v>
      </c>
      <c r="F27" s="5">
        <v>76.0</v>
      </c>
      <c r="G27" s="11" t="str">
        <f>IFERROR(__xludf.DUMMYFUNCTION("""COMPUTED_VALUE"""),"6")</f>
        <v>6</v>
      </c>
      <c r="H27" s="6">
        <v>2.0</v>
      </c>
      <c r="I27" s="6">
        <f t="shared" si="3"/>
        <v>1</v>
      </c>
    </row>
    <row r="28">
      <c r="A28" s="1">
        <v>26.0</v>
      </c>
      <c r="B28" s="1" t="s">
        <v>67</v>
      </c>
      <c r="C28" s="1" t="s">
        <v>15</v>
      </c>
      <c r="D28" s="1" t="s">
        <v>68</v>
      </c>
      <c r="E28" s="1">
        <v>7.0</v>
      </c>
      <c r="F28" s="5">
        <v>76.0</v>
      </c>
      <c r="G28" s="11" t="str">
        <f>IFERROR(__xludf.DUMMYFUNCTION("""COMPUTED_VALUE"""),"6")</f>
        <v>6</v>
      </c>
      <c r="H28" s="6">
        <v>2.0</v>
      </c>
      <c r="I28" s="6">
        <f t="shared" si="3"/>
        <v>1</v>
      </c>
    </row>
    <row r="29">
      <c r="A29" s="1">
        <v>27.0</v>
      </c>
      <c r="B29" s="1" t="s">
        <v>69</v>
      </c>
      <c r="C29" s="1" t="s">
        <v>15</v>
      </c>
      <c r="D29" s="1" t="s">
        <v>70</v>
      </c>
      <c r="E29" s="1">
        <v>4.0</v>
      </c>
      <c r="F29" s="5">
        <v>77.0</v>
      </c>
      <c r="G29" s="11" t="str">
        <f>IFERROR(__xludf.DUMMYFUNCTION("""COMPUTED_VALUE"""),"5")</f>
        <v>5</v>
      </c>
      <c r="H29" s="6">
        <v>2.0</v>
      </c>
      <c r="I29" s="6">
        <f t="shared" si="3"/>
        <v>-1</v>
      </c>
    </row>
    <row r="30">
      <c r="A30" s="1">
        <v>28.0</v>
      </c>
      <c r="B30" s="1" t="s">
        <v>71</v>
      </c>
      <c r="C30" s="1" t="s">
        <v>15</v>
      </c>
      <c r="D30" s="1" t="s">
        <v>72</v>
      </c>
      <c r="E30" s="1">
        <v>4.0</v>
      </c>
      <c r="F30" s="5">
        <v>76.0</v>
      </c>
      <c r="G30" s="11" t="str">
        <f>IFERROR(__xludf.DUMMYFUNCTION("""COMPUTED_VALUE"""),"6")</f>
        <v>6</v>
      </c>
      <c r="H30" s="6">
        <v>2.0</v>
      </c>
      <c r="I30" s="6">
        <f t="shared" si="3"/>
        <v>-2</v>
      </c>
    </row>
    <row r="31">
      <c r="A31" s="1">
        <v>29.0</v>
      </c>
      <c r="B31" s="1" t="s">
        <v>73</v>
      </c>
      <c r="C31" s="1" t="s">
        <v>15</v>
      </c>
      <c r="D31" s="1" t="s">
        <v>74</v>
      </c>
      <c r="E31" s="1">
        <v>3.0</v>
      </c>
      <c r="F31" s="5">
        <v>76.0</v>
      </c>
      <c r="G31" s="11" t="str">
        <f>IFERROR(__xludf.DUMMYFUNCTION("""COMPUTED_VALUE"""),"4")</f>
        <v>4</v>
      </c>
      <c r="H31" s="6">
        <v>2.0</v>
      </c>
      <c r="I31" s="6">
        <f t="shared" si="3"/>
        <v>-1</v>
      </c>
    </row>
    <row r="32">
      <c r="A32" s="1">
        <v>30.0</v>
      </c>
      <c r="B32" s="1" t="s">
        <v>75</v>
      </c>
      <c r="C32" s="1" t="s">
        <v>15</v>
      </c>
      <c r="D32" s="1" t="s">
        <v>76</v>
      </c>
      <c r="E32" s="1">
        <v>9.0</v>
      </c>
      <c r="F32" s="5">
        <v>78.0</v>
      </c>
      <c r="G32" s="11" t="str">
        <f>IFERROR(__xludf.DUMMYFUNCTION("""COMPUTED_VALUE"""),"7,5")</f>
        <v>7,5</v>
      </c>
      <c r="H32" s="6">
        <v>2.0</v>
      </c>
      <c r="I32" s="6">
        <f t="shared" si="3"/>
        <v>1.5</v>
      </c>
    </row>
    <row r="33">
      <c r="A33" s="1">
        <v>31.0</v>
      </c>
      <c r="B33" s="1" t="s">
        <v>77</v>
      </c>
      <c r="C33" s="1" t="s">
        <v>15</v>
      </c>
      <c r="D33" s="1" t="s">
        <v>78</v>
      </c>
      <c r="E33" s="1">
        <v>8.0</v>
      </c>
      <c r="F33" s="5">
        <v>76.0</v>
      </c>
      <c r="G33" s="11" t="str">
        <f>IFERROR(__xludf.DUMMYFUNCTION("""COMPUTED_VALUE"""),"4")</f>
        <v>4</v>
      </c>
      <c r="H33" s="6">
        <v>2.0</v>
      </c>
      <c r="I33" s="6">
        <f t="shared" si="3"/>
        <v>4</v>
      </c>
    </row>
    <row r="34">
      <c r="A34" s="1">
        <v>32.0</v>
      </c>
      <c r="B34" s="1" t="s">
        <v>79</v>
      </c>
      <c r="C34" s="1" t="s">
        <v>15</v>
      </c>
      <c r="D34" s="1" t="s">
        <v>80</v>
      </c>
      <c r="E34" s="1">
        <v>8.0</v>
      </c>
      <c r="F34" s="5">
        <v>77.0</v>
      </c>
      <c r="G34" s="11" t="str">
        <f>IFERROR(__xludf.DUMMYFUNCTION("""COMPUTED_VALUE"""),"6,5")</f>
        <v>6,5</v>
      </c>
      <c r="H34" s="6">
        <v>2.0</v>
      </c>
      <c r="I34" s="6">
        <f t="shared" si="3"/>
        <v>1.5</v>
      </c>
    </row>
    <row r="35">
      <c r="A35" s="1">
        <v>33.0</v>
      </c>
      <c r="B35" s="1" t="s">
        <v>81</v>
      </c>
      <c r="C35" s="1" t="s">
        <v>15</v>
      </c>
      <c r="D35" s="1" t="s">
        <v>82</v>
      </c>
      <c r="E35" s="1">
        <v>9.0</v>
      </c>
      <c r="F35" s="5">
        <v>77.0</v>
      </c>
      <c r="G35" s="11" t="str">
        <f>IFERROR(__xludf.DUMMYFUNCTION("""COMPUTED_VALUE"""),"7")</f>
        <v>7</v>
      </c>
      <c r="H35" s="6">
        <v>2.0</v>
      </c>
      <c r="I35" s="6">
        <f t="shared" si="3"/>
        <v>2</v>
      </c>
    </row>
    <row r="36">
      <c r="A36" s="1">
        <v>34.0</v>
      </c>
      <c r="B36" s="1" t="s">
        <v>83</v>
      </c>
      <c r="C36" s="1" t="s">
        <v>15</v>
      </c>
      <c r="D36" s="1" t="s">
        <v>84</v>
      </c>
      <c r="E36" s="1">
        <v>7.0</v>
      </c>
      <c r="F36" s="5">
        <v>77.0</v>
      </c>
      <c r="G36" s="11" t="str">
        <f>IFERROR(__xludf.DUMMYFUNCTION("""COMPUTED_VALUE"""),"6")</f>
        <v>6</v>
      </c>
      <c r="H36" s="6">
        <v>2.0</v>
      </c>
      <c r="I36" s="6">
        <f t="shared" si="3"/>
        <v>1</v>
      </c>
    </row>
    <row r="37">
      <c r="A37" s="1">
        <v>35.0</v>
      </c>
      <c r="B37" s="1" t="s">
        <v>85</v>
      </c>
      <c r="C37" s="1" t="s">
        <v>15</v>
      </c>
      <c r="D37" s="1" t="s">
        <v>86</v>
      </c>
      <c r="E37" s="1">
        <v>6.0</v>
      </c>
      <c r="F37" s="5">
        <v>76.0</v>
      </c>
      <c r="G37" s="11" t="str">
        <f>IFERROR(__xludf.DUMMYFUNCTION("""COMPUTED_VALUE"""),"9")</f>
        <v>9</v>
      </c>
      <c r="H37" s="6">
        <v>2.0</v>
      </c>
      <c r="I37" s="6">
        <f t="shared" si="3"/>
        <v>-3</v>
      </c>
    </row>
    <row r="38">
      <c r="A38" s="1">
        <v>36.0</v>
      </c>
      <c r="B38" s="1" t="s">
        <v>87</v>
      </c>
      <c r="C38" s="1" t="s">
        <v>15</v>
      </c>
      <c r="D38" s="1" t="s">
        <v>88</v>
      </c>
      <c r="E38" s="1">
        <v>6.0</v>
      </c>
      <c r="F38" s="12">
        <v>2.76859675073623E16</v>
      </c>
      <c r="G38" s="11" t="str">
        <f>IFERROR(__xludf.DUMMYFUNCTION("""COMPUTED_VALUE"""),"")</f>
        <v/>
      </c>
    </row>
    <row r="39">
      <c r="A39" s="1">
        <v>37.0</v>
      </c>
      <c r="B39" s="1" t="s">
        <v>89</v>
      </c>
      <c r="C39" s="1" t="s">
        <v>15</v>
      </c>
      <c r="D39" s="1" t="s">
        <v>88</v>
      </c>
      <c r="E39" s="1">
        <v>8.0</v>
      </c>
      <c r="F39" s="12">
        <v>5.04486560821533E15</v>
      </c>
      <c r="G39" s="11" t="str">
        <f>IFERROR(__xludf.DUMMYFUNCTION("""COMPUTED_VALUE"""),"")</f>
        <v/>
      </c>
    </row>
    <row r="40">
      <c r="A40" s="1">
        <v>38.0</v>
      </c>
      <c r="B40" s="1" t="s">
        <v>90</v>
      </c>
      <c r="C40" s="1" t="s">
        <v>15</v>
      </c>
      <c r="D40" s="1" t="s">
        <v>88</v>
      </c>
      <c r="E40" s="1">
        <v>8.0</v>
      </c>
      <c r="F40" s="12">
        <v>1.08766555786132E16</v>
      </c>
      <c r="G40" s="11" t="str">
        <f>IFERROR(__xludf.DUMMYFUNCTION("""COMPUTED_VALUE"""),"")</f>
        <v/>
      </c>
    </row>
    <row r="41">
      <c r="A41" s="1">
        <v>39.0</v>
      </c>
      <c r="B41" s="1" t="s">
        <v>91</v>
      </c>
      <c r="C41" s="1" t="s">
        <v>15</v>
      </c>
      <c r="D41" s="1" t="s">
        <v>88</v>
      </c>
      <c r="E41" s="1">
        <v>1.0</v>
      </c>
      <c r="F41" s="12">
        <v>5.80644607543945E15</v>
      </c>
      <c r="G41" s="11" t="str">
        <f>IFERROR(__xludf.DUMMYFUNCTION("""COMPUTED_VALUE"""),"")</f>
        <v/>
      </c>
    </row>
    <row r="42">
      <c r="A42" s="1">
        <v>40.0</v>
      </c>
      <c r="B42" s="1" t="s">
        <v>92</v>
      </c>
      <c r="C42" s="1" t="s">
        <v>15</v>
      </c>
      <c r="D42" s="1" t="s">
        <v>88</v>
      </c>
      <c r="E42" s="1">
        <v>8.0</v>
      </c>
      <c r="F42" s="12">
        <v>1.21760368347167E16</v>
      </c>
      <c r="G42" s="11" t="str">
        <f>IFERROR(__xludf.DUMMYFUNCTION("""COMPUTED_VALUE"""),"")</f>
        <v/>
      </c>
    </row>
    <row r="43">
      <c r="A43" s="1">
        <v>41.0</v>
      </c>
      <c r="B43" s="1" t="s">
        <v>93</v>
      </c>
      <c r="C43" s="1" t="s">
        <v>15</v>
      </c>
      <c r="D43" s="1" t="s">
        <v>88</v>
      </c>
      <c r="E43" s="1">
        <v>7.0</v>
      </c>
      <c r="F43" s="12">
        <v>1.0230541229248E16</v>
      </c>
      <c r="G43" s="11" t="str">
        <f>IFERROR(__xludf.DUMMYFUNCTION("""COMPUTED_VALUE"""),"")</f>
        <v/>
      </c>
    </row>
    <row r="44">
      <c r="A44" s="1">
        <v>42.0</v>
      </c>
      <c r="B44" s="1" t="s">
        <v>94</v>
      </c>
      <c r="C44" s="1" t="s">
        <v>15</v>
      </c>
      <c r="D44" s="1" t="s">
        <v>88</v>
      </c>
      <c r="E44" s="1">
        <v>6.0</v>
      </c>
      <c r="F44" s="12">
        <v>1.01542472839355E16</v>
      </c>
      <c r="G44" s="11" t="str">
        <f>IFERROR(__xludf.DUMMYFUNCTION("""COMPUTED_VALUE"""),"")</f>
        <v/>
      </c>
    </row>
    <row r="45">
      <c r="A45" s="1">
        <v>43.0</v>
      </c>
      <c r="B45" s="1" t="s">
        <v>95</v>
      </c>
      <c r="C45" s="1" t="s">
        <v>15</v>
      </c>
      <c r="D45" s="1" t="s">
        <v>88</v>
      </c>
      <c r="E45" s="1">
        <v>9.0</v>
      </c>
      <c r="F45" s="12">
        <v>8.61406326293945E15</v>
      </c>
      <c r="G45" s="11" t="str">
        <f>IFERROR(__xludf.DUMMYFUNCTION("""COMPUTED_VALUE"""),"")</f>
        <v/>
      </c>
    </row>
    <row r="46">
      <c r="A46" s="1">
        <v>44.0</v>
      </c>
      <c r="B46" s="1" t="s">
        <v>96</v>
      </c>
      <c r="C46" s="1" t="s">
        <v>15</v>
      </c>
      <c r="D46" s="1" t="s">
        <v>88</v>
      </c>
      <c r="E46" s="1">
        <v>3.0</v>
      </c>
      <c r="F46" s="12">
        <v>7.58171081542968E15</v>
      </c>
      <c r="G46" s="11" t="str">
        <f>IFERROR(__xludf.DUMMYFUNCTION("""COMPUTED_VALUE"""),"")</f>
        <v/>
      </c>
    </row>
    <row r="47">
      <c r="A47" s="1">
        <v>45.0</v>
      </c>
      <c r="B47" s="1" t="s">
        <v>97</v>
      </c>
      <c r="C47" s="1" t="s">
        <v>15</v>
      </c>
      <c r="D47" s="1" t="s">
        <v>88</v>
      </c>
      <c r="E47" s="1">
        <v>8.0</v>
      </c>
      <c r="F47" s="12">
        <v>1.07359886169433E15</v>
      </c>
      <c r="G47" s="11" t="str">
        <f>IFERROR(__xludf.DUMMYFUNCTION("""COMPUTED_VALUE"""),"")</f>
        <v/>
      </c>
    </row>
    <row r="48">
      <c r="A48" s="1">
        <v>46.0</v>
      </c>
      <c r="B48" s="1" t="s">
        <v>98</v>
      </c>
      <c r="C48" s="1" t="s">
        <v>15</v>
      </c>
      <c r="D48" s="1" t="s">
        <v>88</v>
      </c>
      <c r="E48" s="1">
        <v>3.0</v>
      </c>
      <c r="F48" s="12">
        <v>8.83817672729492E15</v>
      </c>
      <c r="G48" s="11" t="str">
        <f>IFERROR(__xludf.DUMMYFUNCTION("""COMPUTED_VALUE"""),"")</f>
        <v/>
      </c>
    </row>
    <row r="49">
      <c r="A49" s="1">
        <v>47.0</v>
      </c>
      <c r="B49" s="1" t="s">
        <v>99</v>
      </c>
      <c r="C49" s="1" t="s">
        <v>15</v>
      </c>
      <c r="D49" s="1" t="s">
        <v>88</v>
      </c>
      <c r="E49" s="1">
        <v>2.0</v>
      </c>
      <c r="F49" s="12">
        <v>7.91788101196289E15</v>
      </c>
      <c r="G49" s="11" t="str">
        <f>IFERROR(__xludf.DUMMYFUNCTION("""COMPUTED_VALUE"""),"")</f>
        <v/>
      </c>
    </row>
    <row r="50">
      <c r="A50" s="1">
        <v>48.0</v>
      </c>
      <c r="B50" s="1" t="s">
        <v>100</v>
      </c>
      <c r="C50" s="1" t="s">
        <v>15</v>
      </c>
      <c r="D50" s="1" t="s">
        <v>88</v>
      </c>
      <c r="E50" s="1">
        <v>2.0</v>
      </c>
      <c r="F50" s="12">
        <v>7.24315643310546E15</v>
      </c>
      <c r="G50" s="11" t="str">
        <f>IFERROR(__xludf.DUMMYFUNCTION("""COMPUTED_VALUE"""),"")</f>
        <v/>
      </c>
    </row>
    <row r="51">
      <c r="A51" s="1">
        <v>49.0</v>
      </c>
      <c r="B51" s="1" t="s">
        <v>101</v>
      </c>
      <c r="C51" s="1" t="s">
        <v>15</v>
      </c>
      <c r="D51" s="1" t="s">
        <v>88</v>
      </c>
      <c r="E51" s="1">
        <v>8.0</v>
      </c>
      <c r="F51" s="12">
        <v>7.2789192199707E15</v>
      </c>
      <c r="G51" s="11" t="str">
        <f>IFERROR(__xludf.DUMMYFUNCTION("""COMPUTED_VALUE"""),"")</f>
        <v/>
      </c>
    </row>
    <row r="52">
      <c r="A52" s="1">
        <v>50.0</v>
      </c>
      <c r="B52" s="1" t="s">
        <v>102</v>
      </c>
      <c r="C52" s="1" t="s">
        <v>15</v>
      </c>
      <c r="D52" s="1" t="s">
        <v>88</v>
      </c>
      <c r="E52" s="1">
        <v>8.0</v>
      </c>
      <c r="F52" s="12">
        <v>1.35588645935058E15</v>
      </c>
      <c r="G52" s="11" t="str">
        <f>IFERROR(__xludf.DUMMYFUNCTION("""COMPUTED_VALUE"""),"")</f>
        <v/>
      </c>
    </row>
    <row r="53">
      <c r="A53" s="1">
        <v>51.0</v>
      </c>
      <c r="B53" s="1" t="s">
        <v>103</v>
      </c>
      <c r="C53" s="1" t="s">
        <v>15</v>
      </c>
      <c r="D53" s="1" t="s">
        <v>88</v>
      </c>
      <c r="E53" s="1">
        <v>4.0</v>
      </c>
      <c r="F53" s="12">
        <v>1.18074417114257E16</v>
      </c>
      <c r="G53" s="11" t="str">
        <f>IFERROR(__xludf.DUMMYFUNCTION("""COMPUTED_VALUE"""),"")</f>
        <v/>
      </c>
    </row>
    <row r="54">
      <c r="A54" s="1">
        <v>52.0</v>
      </c>
      <c r="B54" s="1" t="s">
        <v>104</v>
      </c>
      <c r="C54" s="1" t="s">
        <v>15</v>
      </c>
      <c r="D54" s="1" t="s">
        <v>88</v>
      </c>
      <c r="E54" s="1">
        <v>7.0</v>
      </c>
      <c r="F54" s="12">
        <v>1.09338760375976E16</v>
      </c>
      <c r="G54" s="11" t="str">
        <f>IFERROR(__xludf.DUMMYFUNCTION("""COMPUTED_VALUE"""),"")</f>
        <v/>
      </c>
    </row>
    <row r="55">
      <c r="A55" s="1">
        <v>53.0</v>
      </c>
      <c r="B55" s="1" t="s">
        <v>105</v>
      </c>
      <c r="C55" s="1" t="s">
        <v>15</v>
      </c>
      <c r="D55" s="1" t="s">
        <v>88</v>
      </c>
      <c r="E55" s="1">
        <v>5.0</v>
      </c>
      <c r="F55" s="12">
        <v>1.15301609039306E16</v>
      </c>
      <c r="G55" s="11" t="str">
        <f>IFERROR(__xludf.DUMMYFUNCTION("""COMPUTED_VALUE"""),"")</f>
        <v/>
      </c>
    </row>
    <row r="56">
      <c r="A56" s="1">
        <v>54.0</v>
      </c>
      <c r="B56" s="1" t="s">
        <v>106</v>
      </c>
      <c r="C56" s="1" t="s">
        <v>15</v>
      </c>
      <c r="D56" s="1" t="s">
        <v>88</v>
      </c>
      <c r="E56" s="1">
        <v>5.0</v>
      </c>
      <c r="F56" s="12">
        <v>1.40285491943359E16</v>
      </c>
      <c r="G56" s="11" t="str">
        <f>IFERROR(__xludf.DUMMYFUNCTION("""COMPUTED_VALUE"""),"")</f>
        <v/>
      </c>
    </row>
    <row r="57">
      <c r="A57" s="1">
        <v>55.0</v>
      </c>
      <c r="B57" s="1" t="s">
        <v>107</v>
      </c>
      <c r="C57" s="1" t="s">
        <v>15</v>
      </c>
      <c r="D57" s="1" t="s">
        <v>88</v>
      </c>
      <c r="E57" s="1">
        <v>9.0</v>
      </c>
      <c r="F57" s="12">
        <v>1.30891799926757E16</v>
      </c>
      <c r="G57" s="11" t="str">
        <f>IFERROR(__xludf.DUMMYFUNCTION("""COMPUTED_VALUE"""),"")</f>
        <v/>
      </c>
    </row>
    <row r="58">
      <c r="A58" s="1">
        <v>56.0</v>
      </c>
      <c r="B58" s="1" t="s">
        <v>108</v>
      </c>
      <c r="C58" s="1" t="s">
        <v>15</v>
      </c>
      <c r="D58" s="1" t="s">
        <v>88</v>
      </c>
      <c r="E58" s="1">
        <v>4.0</v>
      </c>
      <c r="F58" s="12">
        <v>1.08313560485839E16</v>
      </c>
      <c r="G58" s="11" t="str">
        <f>IFERROR(__xludf.DUMMYFUNCTION("""COMPUTED_VALUE"""),"")</f>
        <v/>
      </c>
    </row>
    <row r="59">
      <c r="A59" s="1">
        <v>57.0</v>
      </c>
      <c r="B59" s="1" t="s">
        <v>109</v>
      </c>
      <c r="C59" s="1" t="s">
        <v>15</v>
      </c>
      <c r="D59" s="1" t="s">
        <v>88</v>
      </c>
      <c r="E59" s="1">
        <v>0.0</v>
      </c>
      <c r="F59" s="12">
        <v>1.33347511291503E15</v>
      </c>
      <c r="G59" s="11" t="str">
        <f>IFERROR(__xludf.DUMMYFUNCTION("""COMPUTED_VALUE"""),"")</f>
        <v/>
      </c>
    </row>
    <row r="60">
      <c r="A60" s="1">
        <v>58.0</v>
      </c>
      <c r="B60" s="1" t="s">
        <v>110</v>
      </c>
      <c r="C60" s="1" t="s">
        <v>15</v>
      </c>
      <c r="D60" s="1" t="s">
        <v>88</v>
      </c>
      <c r="E60" s="1">
        <v>2.0</v>
      </c>
      <c r="F60" s="12">
        <v>1.0228157043457E16</v>
      </c>
      <c r="G60" s="11" t="str">
        <f>IFERROR(__xludf.DUMMYFUNCTION("""COMPUTED_VALUE"""),"")</f>
        <v/>
      </c>
    </row>
    <row r="61">
      <c r="A61" s="1">
        <v>59.0</v>
      </c>
      <c r="B61" s="1" t="s">
        <v>111</v>
      </c>
      <c r="C61" s="1" t="s">
        <v>15</v>
      </c>
      <c r="D61" s="1" t="s">
        <v>88</v>
      </c>
      <c r="E61" s="1">
        <v>3.0</v>
      </c>
      <c r="F61" s="12">
        <v>1.4204978942871E16</v>
      </c>
      <c r="G61" s="11" t="str">
        <f>IFERROR(__xludf.DUMMYFUNCTION("""COMPUTED_VALUE"""),"")</f>
        <v/>
      </c>
    </row>
    <row r="62">
      <c r="A62" s="1">
        <v>60.0</v>
      </c>
      <c r="B62" s="1" t="s">
        <v>112</v>
      </c>
      <c r="C62" s="1" t="s">
        <v>15</v>
      </c>
      <c r="D62" s="1" t="s">
        <v>88</v>
      </c>
      <c r="E62" s="1">
        <v>1.0</v>
      </c>
      <c r="F62" s="12">
        <v>1.39212608337402E16</v>
      </c>
      <c r="G62" s="11" t="str">
        <f>IFERROR(__xludf.DUMMYFUNCTION("""COMPUTED_VALUE"""),"")</f>
        <v/>
      </c>
    </row>
    <row r="63">
      <c r="A63" s="1">
        <v>61.0</v>
      </c>
      <c r="B63" s="1" t="s">
        <v>113</v>
      </c>
      <c r="C63" s="1" t="s">
        <v>15</v>
      </c>
      <c r="D63" s="1" t="s">
        <v>88</v>
      </c>
      <c r="E63" s="1">
        <v>9.0</v>
      </c>
      <c r="F63" s="12">
        <v>6.17282390594482E15</v>
      </c>
      <c r="G63" s="11" t="str">
        <f>IFERROR(__xludf.DUMMYFUNCTION("""COMPUTED_VALUE"""),"")</f>
        <v/>
      </c>
    </row>
    <row r="64">
      <c r="A64" s="1">
        <v>62.0</v>
      </c>
      <c r="B64" s="1" t="s">
        <v>114</v>
      </c>
      <c r="C64" s="1" t="s">
        <v>15</v>
      </c>
      <c r="D64" s="1" t="s">
        <v>88</v>
      </c>
      <c r="E64" s="1">
        <v>3.0</v>
      </c>
      <c r="F64" s="12">
        <v>1.07741355895996E15</v>
      </c>
      <c r="G64" s="11" t="str">
        <f>IFERROR(__xludf.DUMMYFUNCTION("""COMPUTED_VALUE"""),"")</f>
        <v/>
      </c>
    </row>
    <row r="65">
      <c r="A65" s="1">
        <v>63.0</v>
      </c>
      <c r="B65" s="1" t="s">
        <v>115</v>
      </c>
      <c r="C65" s="1" t="s">
        <v>15</v>
      </c>
      <c r="D65" s="1" t="s">
        <v>88</v>
      </c>
      <c r="E65" s="1">
        <v>2.0</v>
      </c>
      <c r="F65" s="12">
        <v>1.07336044311523E16</v>
      </c>
      <c r="G65" s="11" t="str">
        <f>IFERROR(__xludf.DUMMYFUNCTION("""COMPUTED_VALUE"""),"")</f>
        <v/>
      </c>
    </row>
    <row r="66">
      <c r="A66" s="1">
        <v>64.0</v>
      </c>
      <c r="B66" s="1" t="s">
        <v>116</v>
      </c>
      <c r="C66" s="1" t="s">
        <v>15</v>
      </c>
      <c r="D66" s="1" t="s">
        <v>88</v>
      </c>
      <c r="E66" s="1">
        <v>0.0</v>
      </c>
      <c r="F66" s="12">
        <v>1.0237693786621E16</v>
      </c>
      <c r="G66" s="11" t="str">
        <f>IFERROR(__xludf.DUMMYFUNCTION("""COMPUTED_VALUE"""),"")</f>
        <v/>
      </c>
    </row>
    <row r="67">
      <c r="A67" s="1">
        <v>65.0</v>
      </c>
      <c r="B67" s="1" t="s">
        <v>117</v>
      </c>
      <c r="C67" s="1" t="s">
        <v>15</v>
      </c>
      <c r="D67" s="1" t="s">
        <v>88</v>
      </c>
      <c r="E67" s="1">
        <v>0.0</v>
      </c>
      <c r="F67" s="12">
        <v>1.0080337524414E16</v>
      </c>
      <c r="G67" s="11" t="str">
        <f>IFERROR(__xludf.DUMMYFUNCTION("""COMPUTED_VALUE"""),"")</f>
        <v/>
      </c>
    </row>
    <row r="68">
      <c r="A68" s="1">
        <v>66.0</v>
      </c>
      <c r="B68" s="1" t="s">
        <v>118</v>
      </c>
      <c r="C68" s="1" t="s">
        <v>15</v>
      </c>
      <c r="D68" s="1" t="s">
        <v>88</v>
      </c>
      <c r="E68" s="1">
        <v>4.0</v>
      </c>
      <c r="F68" s="12">
        <v>1.01757049560546E16</v>
      </c>
      <c r="G68" s="11" t="str">
        <f>IFERROR(__xludf.DUMMYFUNCTION("""COMPUTED_VALUE"""),"")</f>
        <v/>
      </c>
    </row>
    <row r="69">
      <c r="A69" s="1">
        <v>67.0</v>
      </c>
      <c r="B69" s="1" t="s">
        <v>119</v>
      </c>
      <c r="C69" s="1" t="s">
        <v>15</v>
      </c>
      <c r="D69" s="1" t="s">
        <v>88</v>
      </c>
      <c r="E69" s="1">
        <v>6.0</v>
      </c>
      <c r="F69" s="12">
        <v>3.31130027770996E15</v>
      </c>
      <c r="G69" s="11" t="str">
        <f>IFERROR(__xludf.DUMMYFUNCTION("""COMPUTED_VALUE"""),"")</f>
        <v/>
      </c>
    </row>
    <row r="70">
      <c r="A70" s="1">
        <v>68.0</v>
      </c>
      <c r="B70" s="1" t="s">
        <v>120</v>
      </c>
      <c r="C70" s="1" t="s">
        <v>15</v>
      </c>
      <c r="D70" s="1" t="s">
        <v>88</v>
      </c>
      <c r="E70" s="1">
        <v>8.0</v>
      </c>
      <c r="F70" s="12">
        <v>1.14154815673828E16</v>
      </c>
      <c r="G70" s="11" t="str">
        <f>IFERROR(__xludf.DUMMYFUNCTION("""COMPUTED_VALUE"""),"")</f>
        <v/>
      </c>
    </row>
    <row r="71">
      <c r="A71" s="1">
        <v>69.0</v>
      </c>
      <c r="B71" s="1" t="s">
        <v>121</v>
      </c>
      <c r="C71" s="1" t="s">
        <v>15</v>
      </c>
      <c r="D71" s="1" t="s">
        <v>88</v>
      </c>
      <c r="E71" s="1">
        <v>5.0</v>
      </c>
      <c r="F71" s="12">
        <v>1.05142593383789E16</v>
      </c>
      <c r="G71" s="11" t="str">
        <f>IFERROR(__xludf.DUMMYFUNCTION("""COMPUTED_VALUE"""),"")</f>
        <v/>
      </c>
    </row>
    <row r="72">
      <c r="A72" s="1">
        <v>70.0</v>
      </c>
      <c r="B72" s="1" t="s">
        <v>122</v>
      </c>
      <c r="C72" s="1" t="s">
        <v>15</v>
      </c>
      <c r="D72" s="1" t="s">
        <v>88</v>
      </c>
      <c r="E72" s="1">
        <v>0.0</v>
      </c>
      <c r="F72" s="12">
        <v>9.78708267211914E14</v>
      </c>
      <c r="G72" s="11" t="str">
        <f>IFERROR(__xludf.DUMMYFUNCTION("""COMPUTED_VALUE"""),"")</f>
        <v/>
      </c>
    </row>
    <row r="73">
      <c r="A73" s="1">
        <v>71.0</v>
      </c>
      <c r="B73" s="1" t="s">
        <v>14</v>
      </c>
      <c r="C73" s="1" t="s">
        <v>15</v>
      </c>
      <c r="D73" s="1" t="s">
        <v>88</v>
      </c>
      <c r="E73" s="1">
        <v>0.0</v>
      </c>
      <c r="F73" s="12">
        <v>9.9039077758789E15</v>
      </c>
      <c r="G73" s="11" t="str">
        <f>IFERROR(__xludf.DUMMYFUNCTION("""COMPUTED_VALUE"""),"")</f>
        <v/>
      </c>
    </row>
    <row r="74">
      <c r="A74" s="1">
        <v>72.0</v>
      </c>
      <c r="B74" s="1" t="s">
        <v>14</v>
      </c>
      <c r="C74" s="1" t="s">
        <v>15</v>
      </c>
      <c r="D74" s="1" t="s">
        <v>88</v>
      </c>
      <c r="E74" s="1">
        <v>0.0</v>
      </c>
      <c r="F74" s="12">
        <v>1.03712081909179E16</v>
      </c>
      <c r="G74" s="11" t="str">
        <f>IFERROR(__xludf.DUMMYFUNCTION("""COMPUTED_VALUE"""),"")</f>
        <v/>
      </c>
    </row>
    <row r="75">
      <c r="A75" s="1">
        <v>73.0</v>
      </c>
      <c r="B75" s="1" t="s">
        <v>14</v>
      </c>
      <c r="C75" s="1" t="s">
        <v>15</v>
      </c>
      <c r="D75" s="1" t="s">
        <v>88</v>
      </c>
      <c r="E75" s="1">
        <v>0.0</v>
      </c>
      <c r="F75" s="12">
        <v>9.80377197265625E14</v>
      </c>
      <c r="G75" s="11" t="str">
        <f>IFERROR(__xludf.DUMMYFUNCTION("""COMPUTED_VALUE"""),"")</f>
        <v/>
      </c>
    </row>
    <row r="76">
      <c r="A76" s="1">
        <v>74.0</v>
      </c>
      <c r="B76" s="1" t="s">
        <v>14</v>
      </c>
      <c r="C76" s="1" t="s">
        <v>15</v>
      </c>
      <c r="D76" s="1" t="s">
        <v>88</v>
      </c>
      <c r="E76" s="1">
        <v>0.0</v>
      </c>
      <c r="F76" s="12">
        <v>9.94443893432617E15</v>
      </c>
      <c r="G76" s="11" t="str">
        <f>IFERROR(__xludf.DUMMYFUNCTION("""COMPUTED_VALUE"""),"")</f>
        <v/>
      </c>
    </row>
    <row r="77">
      <c r="A77" s="1">
        <v>75.0</v>
      </c>
      <c r="B77" s="1" t="s">
        <v>14</v>
      </c>
      <c r="C77" s="1" t="s">
        <v>15</v>
      </c>
      <c r="D77" s="1" t="s">
        <v>88</v>
      </c>
      <c r="E77" s="1">
        <v>0.0</v>
      </c>
      <c r="F77" s="12">
        <v>1.02949142456054E16</v>
      </c>
      <c r="G77" s="11" t="str">
        <f>IFERROR(__xludf.DUMMYFUNCTION("""COMPUTED_VALUE"""),"")</f>
        <v/>
      </c>
    </row>
    <row r="78">
      <c r="G78" s="5" t="str">
        <f>IFERROR(__xludf.DUMMYFUNCTION("""COMPUTED_VALUE"""),"")</f>
        <v/>
      </c>
    </row>
    <row r="79">
      <c r="G79" s="5" t="str">
        <f>IFERROR(__xludf.DUMMYFUNCTION("""COMPUTED_VALUE"""),"")</f>
        <v/>
      </c>
    </row>
    <row r="80">
      <c r="G80" s="5" t="str">
        <f>IFERROR(__xludf.DUMMYFUNCTION("""COMPUTED_VALUE"""),"")</f>
        <v/>
      </c>
    </row>
    <row r="81">
      <c r="G81" s="5" t="str">
        <f>IFERROR(__xludf.DUMMYFUNCTION("""COMPUTED_VALUE"""),"")</f>
        <v/>
      </c>
    </row>
    <row r="82">
      <c r="G82" s="5" t="str">
        <f>IFERROR(__xludf.DUMMYFUNCTION("""COMPUTED_VALUE"""),"")</f>
        <v/>
      </c>
    </row>
    <row r="83">
      <c r="G83" s="5" t="str">
        <f>IFERROR(__xludf.DUMMYFUNCTION("""COMPUTED_VALUE"""),"")</f>
        <v/>
      </c>
    </row>
    <row r="84">
      <c r="G84" s="5" t="str">
        <f>IFERROR(__xludf.DUMMYFUNCTION("""COMPUTED_VALUE"""),"")</f>
        <v/>
      </c>
    </row>
    <row r="85">
      <c r="G85" s="5" t="str">
        <f>IFERROR(__xludf.DUMMYFUNCTION("""COMPUTED_VALUE"""),"")</f>
        <v/>
      </c>
    </row>
    <row r="86">
      <c r="G86" s="5" t="str">
        <f>IFERROR(__xludf.DUMMYFUNCTION("""COMPUTED_VALUE"""),"")</f>
        <v/>
      </c>
    </row>
    <row r="87">
      <c r="G87" s="5" t="str">
        <f>IFERROR(__xludf.DUMMYFUNCTION("""COMPUTED_VALUE"""),"")</f>
        <v/>
      </c>
    </row>
    <row r="88">
      <c r="G88" s="5" t="str">
        <f>IFERROR(__xludf.DUMMYFUNCTION("""COMPUTED_VALUE"""),"")</f>
        <v/>
      </c>
    </row>
    <row r="89">
      <c r="G89" s="5" t="str">
        <f>IFERROR(__xludf.DUMMYFUNCTION("""COMPUTED_VALUE"""),"")</f>
        <v/>
      </c>
    </row>
    <row r="90">
      <c r="G90" s="5" t="str">
        <f>IFERROR(__xludf.DUMMYFUNCTION("""COMPUTED_VALUE"""),"")</f>
        <v/>
      </c>
    </row>
    <row r="91">
      <c r="G91" s="5" t="str">
        <f>IFERROR(__xludf.DUMMYFUNCTION("""COMPUTED_VALUE"""),"")</f>
        <v/>
      </c>
    </row>
    <row r="92">
      <c r="G92" s="5" t="str">
        <f>IFERROR(__xludf.DUMMYFUNCTION("""COMPUTED_VALUE"""),"")</f>
        <v/>
      </c>
    </row>
    <row r="93">
      <c r="G93" s="5" t="str">
        <f>IFERROR(__xludf.DUMMYFUNCTION("""COMPUTED_VALUE"""),"")</f>
        <v/>
      </c>
    </row>
    <row r="94">
      <c r="G94" s="5" t="str">
        <f>IFERROR(__xludf.DUMMYFUNCTION("""COMPUTED_VALUE"""),"")</f>
        <v/>
      </c>
    </row>
    <row r="95">
      <c r="G95" s="5" t="str">
        <f>IFERROR(__xludf.DUMMYFUNCTION("""COMPUTED_VALUE"""),"")</f>
        <v/>
      </c>
    </row>
    <row r="96">
      <c r="G96" s="5" t="str">
        <f>IFERROR(__xludf.DUMMYFUNCTION("""COMPUTED_VALUE"""),"")</f>
        <v/>
      </c>
    </row>
    <row r="97">
      <c r="G97" s="5" t="str">
        <f>IFERROR(__xludf.DUMMYFUNCTION("""COMPUTED_VALUE"""),"")</f>
        <v/>
      </c>
    </row>
    <row r="98">
      <c r="G98" s="5" t="str">
        <f>IFERROR(__xludf.DUMMYFUNCTION("""COMPUTED_VALUE"""),"")</f>
        <v/>
      </c>
    </row>
    <row r="99">
      <c r="G99" s="5" t="str">
        <f>IFERROR(__xludf.DUMMYFUNCTION("""COMPUTED_VALUE"""),"")</f>
        <v/>
      </c>
    </row>
    <row r="100">
      <c r="G100" s="5" t="str">
        <f>IFERROR(__xludf.DUMMYFUNCTION("""COMPUTED_VALUE"""),"")</f>
        <v/>
      </c>
    </row>
    <row r="101">
      <c r="G101" s="5" t="str">
        <f>IFERROR(__xludf.DUMMYFUNCTION("""COMPUTED_VALUE"""),"")</f>
        <v/>
      </c>
    </row>
    <row r="102">
      <c r="G102" s="5" t="str">
        <f>IFERROR(__xludf.DUMMYFUNCTION("""COMPUTED_VALUE"""),"")</f>
        <v/>
      </c>
    </row>
    <row r="103">
      <c r="G103" s="5" t="str">
        <f>IFERROR(__xludf.DUMMYFUNCTION("""COMPUTED_VALUE"""),"")</f>
        <v/>
      </c>
    </row>
    <row r="104">
      <c r="G104" s="5" t="str">
        <f>IFERROR(__xludf.DUMMYFUNCTION("""COMPUTED_VALUE"""),"")</f>
        <v/>
      </c>
    </row>
    <row r="105">
      <c r="G105" s="5" t="str">
        <f>IFERROR(__xludf.DUMMYFUNCTION("""COMPUTED_VALUE"""),"")</f>
        <v/>
      </c>
    </row>
    <row r="106">
      <c r="G106" s="5" t="str">
        <f>IFERROR(__xludf.DUMMYFUNCTION("""COMPUTED_VALUE"""),"")</f>
        <v/>
      </c>
    </row>
    <row r="107">
      <c r="G107" s="5" t="str">
        <f>IFERROR(__xludf.DUMMYFUNCTION("""COMPUTED_VALUE"""),"")</f>
        <v/>
      </c>
    </row>
    <row r="108">
      <c r="G108" s="5" t="str">
        <f>IFERROR(__xludf.DUMMYFUNCTION("""COMPUTED_VALUE"""),"")</f>
        <v/>
      </c>
    </row>
    <row r="109">
      <c r="G109" s="5" t="str">
        <f>IFERROR(__xludf.DUMMYFUNCTION("""COMPUTED_VALUE"""),"")</f>
        <v/>
      </c>
    </row>
    <row r="110">
      <c r="G110" s="5" t="str">
        <f>IFERROR(__xludf.DUMMYFUNCTION("""COMPUTED_VALUE"""),"")</f>
        <v/>
      </c>
    </row>
    <row r="111">
      <c r="G111" s="5" t="str">
        <f>IFERROR(__xludf.DUMMYFUNCTION("""COMPUTED_VALUE"""),"")</f>
        <v/>
      </c>
    </row>
    <row r="112">
      <c r="G112" s="5" t="str">
        <f>IFERROR(__xludf.DUMMYFUNCTION("""COMPUTED_VALUE"""),"")</f>
        <v/>
      </c>
    </row>
    <row r="113">
      <c r="G113" s="5" t="str">
        <f>IFERROR(__xludf.DUMMYFUNCTION("""COMPUTED_VALUE"""),"")</f>
        <v/>
      </c>
    </row>
    <row r="114">
      <c r="G114" s="5" t="str">
        <f>IFERROR(__xludf.DUMMYFUNCTION("""COMPUTED_VALUE"""),"")</f>
        <v/>
      </c>
    </row>
    <row r="115">
      <c r="G115" s="5" t="str">
        <f>IFERROR(__xludf.DUMMYFUNCTION("""COMPUTED_VALUE"""),"")</f>
        <v/>
      </c>
    </row>
    <row r="116">
      <c r="G116" s="5" t="str">
        <f>IFERROR(__xludf.DUMMYFUNCTION("""COMPUTED_VALUE"""),"")</f>
        <v/>
      </c>
    </row>
    <row r="117">
      <c r="G117" s="5" t="str">
        <f>IFERROR(__xludf.DUMMYFUNCTION("""COMPUTED_VALUE"""),"")</f>
        <v/>
      </c>
    </row>
    <row r="118">
      <c r="G118" s="5" t="str">
        <f>IFERROR(__xludf.DUMMYFUNCTION("""COMPUTED_VALUE"""),"")</f>
        <v/>
      </c>
    </row>
    <row r="119">
      <c r="G119" s="5" t="str">
        <f>IFERROR(__xludf.DUMMYFUNCTION("""COMPUTED_VALUE"""),"")</f>
        <v/>
      </c>
    </row>
    <row r="120">
      <c r="G120" s="5" t="str">
        <f>IFERROR(__xludf.DUMMYFUNCTION("""COMPUTED_VALUE"""),"")</f>
        <v/>
      </c>
    </row>
    <row r="121">
      <c r="G121" s="5" t="str">
        <f>IFERROR(__xludf.DUMMYFUNCTION("""COMPUTED_VALUE"""),"")</f>
        <v/>
      </c>
    </row>
    <row r="122">
      <c r="G122" s="5" t="str">
        <f>IFERROR(__xludf.DUMMYFUNCTION("""COMPUTED_VALUE"""),"")</f>
        <v/>
      </c>
    </row>
    <row r="123">
      <c r="G123" s="5" t="str">
        <f>IFERROR(__xludf.DUMMYFUNCTION("""COMPUTED_VALUE"""),"")</f>
        <v/>
      </c>
    </row>
    <row r="124">
      <c r="G124" s="5" t="str">
        <f>IFERROR(__xludf.DUMMYFUNCTION("""COMPUTED_VALUE"""),"")</f>
        <v/>
      </c>
    </row>
    <row r="125">
      <c r="G125" s="5" t="str">
        <f>IFERROR(__xludf.DUMMYFUNCTION("""COMPUTED_VALUE"""),"")</f>
        <v/>
      </c>
    </row>
    <row r="126">
      <c r="G126" s="5" t="str">
        <f>IFERROR(__xludf.DUMMYFUNCTION("""COMPUTED_VALUE"""),"")</f>
        <v/>
      </c>
    </row>
    <row r="127">
      <c r="G127" s="5" t="str">
        <f>IFERROR(__xludf.DUMMYFUNCTION("""COMPUTED_VALUE"""),"")</f>
        <v/>
      </c>
    </row>
    <row r="128">
      <c r="G128" s="5" t="str">
        <f>IFERROR(__xludf.DUMMYFUNCTION("""COMPUTED_VALUE"""),"")</f>
        <v/>
      </c>
    </row>
    <row r="129">
      <c r="G129" s="5" t="str">
        <f>IFERROR(__xludf.DUMMYFUNCTION("""COMPUTED_VALUE"""),"")</f>
        <v/>
      </c>
    </row>
    <row r="130">
      <c r="G130" s="5" t="str">
        <f>IFERROR(__xludf.DUMMYFUNCTION("""COMPUTED_VALUE"""),"")</f>
        <v/>
      </c>
    </row>
    <row r="131">
      <c r="G131" s="5" t="str">
        <f>IFERROR(__xludf.DUMMYFUNCTION("""COMPUTED_VALUE"""),"")</f>
        <v/>
      </c>
    </row>
    <row r="132">
      <c r="G132" s="5" t="str">
        <f>IFERROR(__xludf.DUMMYFUNCTION("""COMPUTED_VALUE"""),"")</f>
        <v/>
      </c>
    </row>
    <row r="133">
      <c r="G133" s="5" t="str">
        <f>IFERROR(__xludf.DUMMYFUNCTION("""COMPUTED_VALUE"""),"")</f>
        <v/>
      </c>
    </row>
    <row r="134">
      <c r="G134" s="5" t="str">
        <f>IFERROR(__xludf.DUMMYFUNCTION("""COMPUTED_VALUE"""),"")</f>
        <v/>
      </c>
    </row>
    <row r="135">
      <c r="G135" s="5" t="str">
        <f>IFERROR(__xludf.DUMMYFUNCTION("""COMPUTED_VALUE"""),"")</f>
        <v/>
      </c>
    </row>
    <row r="136">
      <c r="G136" s="5" t="str">
        <f>IFERROR(__xludf.DUMMYFUNCTION("""COMPUTED_VALUE"""),"")</f>
        <v/>
      </c>
    </row>
    <row r="137">
      <c r="G137" s="5" t="str">
        <f>IFERROR(__xludf.DUMMYFUNCTION("""COMPUTED_VALUE"""),"")</f>
        <v/>
      </c>
    </row>
    <row r="138">
      <c r="G138" s="5" t="str">
        <f>IFERROR(__xludf.DUMMYFUNCTION("""COMPUTED_VALUE"""),"")</f>
        <v/>
      </c>
    </row>
    <row r="139">
      <c r="G139" s="5" t="str">
        <f>IFERROR(__xludf.DUMMYFUNCTION("""COMPUTED_VALUE"""),"")</f>
        <v/>
      </c>
    </row>
    <row r="140">
      <c r="G140" s="5" t="str">
        <f>IFERROR(__xludf.DUMMYFUNCTION("""COMPUTED_VALUE"""),"")</f>
        <v/>
      </c>
    </row>
    <row r="141">
      <c r="G141" s="5" t="str">
        <f>IFERROR(__xludf.DUMMYFUNCTION("""COMPUTED_VALUE"""),"")</f>
        <v/>
      </c>
    </row>
    <row r="142">
      <c r="G142" s="5" t="str">
        <f>IFERROR(__xludf.DUMMYFUNCTION("""COMPUTED_VALUE"""),"")</f>
        <v/>
      </c>
    </row>
    <row r="143">
      <c r="G143" s="5" t="str">
        <f>IFERROR(__xludf.DUMMYFUNCTION("""COMPUTED_VALUE"""),"")</f>
        <v/>
      </c>
    </row>
    <row r="144">
      <c r="G144" s="5" t="str">
        <f>IFERROR(__xludf.DUMMYFUNCTION("""COMPUTED_VALUE"""),"")</f>
        <v/>
      </c>
    </row>
    <row r="145">
      <c r="G145" s="5" t="str">
        <f>IFERROR(__xludf.DUMMYFUNCTION("""COMPUTED_VALUE"""),"")</f>
        <v/>
      </c>
    </row>
    <row r="146">
      <c r="G146" s="5" t="str">
        <f>IFERROR(__xludf.DUMMYFUNCTION("""COMPUTED_VALUE"""),"")</f>
        <v/>
      </c>
    </row>
    <row r="147">
      <c r="G147" s="5" t="str">
        <f>IFERROR(__xludf.DUMMYFUNCTION("""COMPUTED_VALUE"""),"")</f>
        <v/>
      </c>
    </row>
    <row r="148">
      <c r="G148" s="5" t="str">
        <f>IFERROR(__xludf.DUMMYFUNCTION("""COMPUTED_VALUE"""),"")</f>
        <v/>
      </c>
    </row>
    <row r="149">
      <c r="G149" s="5" t="str">
        <f>IFERROR(__xludf.DUMMYFUNCTION("""COMPUTED_VALUE"""),"")</f>
        <v/>
      </c>
    </row>
    <row r="150">
      <c r="G150" s="5" t="str">
        <f>IFERROR(__xludf.DUMMYFUNCTION("""COMPUTED_VALUE"""),"")</f>
        <v/>
      </c>
    </row>
    <row r="151">
      <c r="G151" s="5" t="str">
        <f>IFERROR(__xludf.DUMMYFUNCTION("""COMPUTED_VALUE"""),"")</f>
        <v/>
      </c>
    </row>
    <row r="152">
      <c r="G152" s="5" t="str">
        <f>IFERROR(__xludf.DUMMYFUNCTION("""COMPUTED_VALUE"""),"")</f>
        <v/>
      </c>
    </row>
    <row r="153">
      <c r="G153" s="5" t="str">
        <f>IFERROR(__xludf.DUMMYFUNCTION("""COMPUTED_VALUE"""),"")</f>
        <v/>
      </c>
    </row>
    <row r="154">
      <c r="G154" s="5" t="str">
        <f>IFERROR(__xludf.DUMMYFUNCTION("""COMPUTED_VALUE"""),"")</f>
        <v/>
      </c>
    </row>
    <row r="155">
      <c r="G155" s="5" t="str">
        <f>IFERROR(__xludf.DUMMYFUNCTION("""COMPUTED_VALUE"""),"")</f>
        <v/>
      </c>
    </row>
    <row r="156">
      <c r="G156" s="5" t="str">
        <f>IFERROR(__xludf.DUMMYFUNCTION("""COMPUTED_VALUE"""),"")</f>
        <v/>
      </c>
    </row>
    <row r="157">
      <c r="G157" s="5" t="str">
        <f>IFERROR(__xludf.DUMMYFUNCTION("""COMPUTED_VALUE"""),"")</f>
        <v/>
      </c>
    </row>
    <row r="158">
      <c r="G158" s="5" t="str">
        <f>IFERROR(__xludf.DUMMYFUNCTION("""COMPUTED_VALUE"""),"")</f>
        <v/>
      </c>
    </row>
    <row r="159">
      <c r="G159" s="5" t="str">
        <f>IFERROR(__xludf.DUMMYFUNCTION("""COMPUTED_VALUE"""),"")</f>
        <v/>
      </c>
    </row>
    <row r="160">
      <c r="G160" s="5" t="str">
        <f>IFERROR(__xludf.DUMMYFUNCTION("""COMPUTED_VALUE"""),"")</f>
        <v/>
      </c>
    </row>
    <row r="161">
      <c r="G161" s="5" t="str">
        <f>IFERROR(__xludf.DUMMYFUNCTION("""COMPUTED_VALUE"""),"")</f>
        <v/>
      </c>
    </row>
    <row r="162">
      <c r="G162" s="5" t="str">
        <f>IFERROR(__xludf.DUMMYFUNCTION("""COMPUTED_VALUE"""),"")</f>
        <v/>
      </c>
    </row>
    <row r="163">
      <c r="G163" s="5" t="str">
        <f>IFERROR(__xludf.DUMMYFUNCTION("""COMPUTED_VALUE"""),"")</f>
        <v/>
      </c>
    </row>
    <row r="164">
      <c r="G164" s="5" t="str">
        <f>IFERROR(__xludf.DUMMYFUNCTION("""COMPUTED_VALUE"""),"")</f>
        <v/>
      </c>
    </row>
    <row r="165">
      <c r="G165" s="5" t="str">
        <f>IFERROR(__xludf.DUMMYFUNCTION("""COMPUTED_VALUE"""),"")</f>
        <v/>
      </c>
    </row>
    <row r="166">
      <c r="G166" s="5" t="str">
        <f>IFERROR(__xludf.DUMMYFUNCTION("""COMPUTED_VALUE"""),"")</f>
        <v/>
      </c>
    </row>
    <row r="167">
      <c r="G167" s="5" t="str">
        <f>IFERROR(__xludf.DUMMYFUNCTION("""COMPUTED_VALUE"""),"")</f>
        <v/>
      </c>
    </row>
    <row r="168">
      <c r="G168" s="5" t="str">
        <f>IFERROR(__xludf.DUMMYFUNCTION("""COMPUTED_VALUE"""),"")</f>
        <v/>
      </c>
    </row>
    <row r="169">
      <c r="G169" s="5" t="str">
        <f>IFERROR(__xludf.DUMMYFUNCTION("""COMPUTED_VALUE"""),"")</f>
        <v/>
      </c>
    </row>
    <row r="170">
      <c r="G170" s="5" t="str">
        <f>IFERROR(__xludf.DUMMYFUNCTION("""COMPUTED_VALUE"""),"")</f>
        <v/>
      </c>
    </row>
    <row r="171">
      <c r="G171" s="5" t="str">
        <f>IFERROR(__xludf.DUMMYFUNCTION("""COMPUTED_VALUE"""),"")</f>
        <v/>
      </c>
    </row>
    <row r="172">
      <c r="G172" s="5" t="str">
        <f>IFERROR(__xludf.DUMMYFUNCTION("""COMPUTED_VALUE"""),"")</f>
        <v/>
      </c>
    </row>
    <row r="173">
      <c r="G173" s="5" t="str">
        <f>IFERROR(__xludf.DUMMYFUNCTION("""COMPUTED_VALUE"""),"")</f>
        <v/>
      </c>
    </row>
    <row r="174">
      <c r="G174" s="5" t="str">
        <f>IFERROR(__xludf.DUMMYFUNCTION("""COMPUTED_VALUE"""),"")</f>
        <v/>
      </c>
    </row>
    <row r="175">
      <c r="G175" s="5" t="str">
        <f>IFERROR(__xludf.DUMMYFUNCTION("""COMPUTED_VALUE"""),"")</f>
        <v/>
      </c>
    </row>
    <row r="176">
      <c r="G176" s="5" t="str">
        <f>IFERROR(__xludf.DUMMYFUNCTION("""COMPUTED_VALUE"""),"")</f>
        <v/>
      </c>
    </row>
    <row r="177">
      <c r="G177" s="5" t="str">
        <f>IFERROR(__xludf.DUMMYFUNCTION("""COMPUTED_VALUE"""),"")</f>
        <v/>
      </c>
    </row>
    <row r="178">
      <c r="G178" s="5" t="str">
        <f>IFERROR(__xludf.DUMMYFUNCTION("""COMPUTED_VALUE"""),"")</f>
        <v/>
      </c>
    </row>
    <row r="179">
      <c r="G179" s="5" t="str">
        <f>IFERROR(__xludf.DUMMYFUNCTION("""COMPUTED_VALUE"""),"")</f>
        <v/>
      </c>
    </row>
    <row r="180">
      <c r="G180" s="5" t="str">
        <f>IFERROR(__xludf.DUMMYFUNCTION("""COMPUTED_VALUE"""),"")</f>
        <v/>
      </c>
    </row>
    <row r="181">
      <c r="G181" s="5" t="str">
        <f>IFERROR(__xludf.DUMMYFUNCTION("""COMPUTED_VALUE"""),"")</f>
        <v/>
      </c>
    </row>
    <row r="182">
      <c r="G182" s="5" t="str">
        <f>IFERROR(__xludf.DUMMYFUNCTION("""COMPUTED_VALUE"""),"")</f>
        <v/>
      </c>
    </row>
    <row r="183">
      <c r="G183" s="5" t="str">
        <f>IFERROR(__xludf.DUMMYFUNCTION("""COMPUTED_VALUE"""),"")</f>
        <v/>
      </c>
    </row>
    <row r="184">
      <c r="G184" s="5" t="str">
        <f>IFERROR(__xludf.DUMMYFUNCTION("""COMPUTED_VALUE"""),"")</f>
        <v/>
      </c>
    </row>
    <row r="185">
      <c r="G185" s="5" t="str">
        <f>IFERROR(__xludf.DUMMYFUNCTION("""COMPUTED_VALUE"""),"")</f>
        <v/>
      </c>
    </row>
    <row r="186">
      <c r="G186" s="5" t="str">
        <f>IFERROR(__xludf.DUMMYFUNCTION("""COMPUTED_VALUE"""),"")</f>
        <v/>
      </c>
    </row>
    <row r="187">
      <c r="G187" s="5" t="str">
        <f>IFERROR(__xludf.DUMMYFUNCTION("""COMPUTED_VALUE"""),"")</f>
        <v/>
      </c>
    </row>
    <row r="188">
      <c r="G188" s="5" t="str">
        <f>IFERROR(__xludf.DUMMYFUNCTION("""COMPUTED_VALUE"""),"")</f>
        <v/>
      </c>
    </row>
    <row r="189">
      <c r="G189" s="5" t="str">
        <f>IFERROR(__xludf.DUMMYFUNCTION("""COMPUTED_VALUE"""),"")</f>
        <v/>
      </c>
    </row>
    <row r="190">
      <c r="G190" s="5" t="str">
        <f>IFERROR(__xludf.DUMMYFUNCTION("""COMPUTED_VALUE"""),"")</f>
        <v/>
      </c>
    </row>
    <row r="191">
      <c r="G191" s="5" t="str">
        <f>IFERROR(__xludf.DUMMYFUNCTION("""COMPUTED_VALUE"""),"")</f>
        <v/>
      </c>
    </row>
    <row r="192">
      <c r="G192" s="5" t="str">
        <f>IFERROR(__xludf.DUMMYFUNCTION("""COMPUTED_VALUE"""),"")</f>
        <v/>
      </c>
    </row>
    <row r="193">
      <c r="G193" s="5" t="str">
        <f>IFERROR(__xludf.DUMMYFUNCTION("""COMPUTED_VALUE"""),"")</f>
        <v/>
      </c>
    </row>
    <row r="194">
      <c r="G194" s="5" t="str">
        <f>IFERROR(__xludf.DUMMYFUNCTION("""COMPUTED_VALUE"""),"")</f>
        <v/>
      </c>
    </row>
    <row r="195">
      <c r="G195" s="5" t="str">
        <f>IFERROR(__xludf.DUMMYFUNCTION("""COMPUTED_VALUE"""),"")</f>
        <v/>
      </c>
    </row>
    <row r="196">
      <c r="G196" s="5" t="str">
        <f>IFERROR(__xludf.DUMMYFUNCTION("""COMPUTED_VALUE"""),"")</f>
        <v/>
      </c>
    </row>
    <row r="197">
      <c r="G197" s="5" t="str">
        <f>IFERROR(__xludf.DUMMYFUNCTION("""COMPUTED_VALUE"""),"")</f>
        <v/>
      </c>
    </row>
    <row r="198">
      <c r="G198" s="5" t="str">
        <f>IFERROR(__xludf.DUMMYFUNCTION("""COMPUTED_VALUE"""),"")</f>
        <v/>
      </c>
    </row>
    <row r="199">
      <c r="G199" s="5" t="str">
        <f>IFERROR(__xludf.DUMMYFUNCTION("""COMPUTED_VALUE"""),"")</f>
        <v/>
      </c>
    </row>
    <row r="200">
      <c r="G200" s="5" t="str">
        <f>IFERROR(__xludf.DUMMYFUNCTION("""COMPUTED_VALUE"""),"")</f>
        <v/>
      </c>
    </row>
    <row r="201">
      <c r="G201" s="5" t="str">
        <f>IFERROR(__xludf.DUMMYFUNCTION("""COMPUTED_VALUE"""),"")</f>
        <v/>
      </c>
    </row>
    <row r="202">
      <c r="G202" s="5" t="str">
        <f>IFERROR(__xludf.DUMMYFUNCTION("""COMPUTED_VALUE"""),"")</f>
        <v/>
      </c>
    </row>
    <row r="203">
      <c r="G203" s="5" t="str">
        <f>IFERROR(__xludf.DUMMYFUNCTION("""COMPUTED_VALUE"""),"")</f>
        <v/>
      </c>
    </row>
    <row r="204">
      <c r="G204" s="5" t="str">
        <f>IFERROR(__xludf.DUMMYFUNCTION("""COMPUTED_VALUE"""),"")</f>
        <v/>
      </c>
    </row>
    <row r="205">
      <c r="G205" s="5" t="str">
        <f>IFERROR(__xludf.DUMMYFUNCTION("""COMPUTED_VALUE"""),"")</f>
        <v/>
      </c>
    </row>
    <row r="206">
      <c r="G206" s="5" t="str">
        <f>IFERROR(__xludf.DUMMYFUNCTION("""COMPUTED_VALUE"""),"")</f>
        <v/>
      </c>
    </row>
    <row r="207">
      <c r="G207" s="5" t="str">
        <f>IFERROR(__xludf.DUMMYFUNCTION("""COMPUTED_VALUE"""),"")</f>
        <v/>
      </c>
    </row>
    <row r="208">
      <c r="G208" s="5" t="str">
        <f>IFERROR(__xludf.DUMMYFUNCTION("""COMPUTED_VALUE"""),"")</f>
        <v/>
      </c>
    </row>
    <row r="209">
      <c r="G209" s="5" t="str">
        <f>IFERROR(__xludf.DUMMYFUNCTION("""COMPUTED_VALUE"""),"")</f>
        <v/>
      </c>
    </row>
    <row r="210">
      <c r="G210" s="5" t="str">
        <f>IFERROR(__xludf.DUMMYFUNCTION("""COMPUTED_VALUE"""),"")</f>
        <v/>
      </c>
    </row>
    <row r="211">
      <c r="G211" s="5" t="str">
        <f>IFERROR(__xludf.DUMMYFUNCTION("""COMPUTED_VALUE"""),"")</f>
        <v/>
      </c>
    </row>
    <row r="212">
      <c r="G212" s="5" t="str">
        <f>IFERROR(__xludf.DUMMYFUNCTION("""COMPUTED_VALUE"""),"")</f>
        <v/>
      </c>
    </row>
    <row r="213">
      <c r="G213" s="5" t="str">
        <f>IFERROR(__xludf.DUMMYFUNCTION("""COMPUTED_VALUE"""),"")</f>
        <v/>
      </c>
    </row>
    <row r="214">
      <c r="G214" s="5" t="str">
        <f>IFERROR(__xludf.DUMMYFUNCTION("""COMPUTED_VALUE"""),"")</f>
        <v/>
      </c>
    </row>
    <row r="215">
      <c r="G215" s="5" t="str">
        <f>IFERROR(__xludf.DUMMYFUNCTION("""COMPUTED_VALUE"""),"")</f>
        <v/>
      </c>
    </row>
    <row r="216">
      <c r="G216" s="5" t="str">
        <f>IFERROR(__xludf.DUMMYFUNCTION("""COMPUTED_VALUE"""),"")</f>
        <v/>
      </c>
    </row>
    <row r="217">
      <c r="G217" s="5" t="str">
        <f>IFERROR(__xludf.DUMMYFUNCTION("""COMPUTED_VALUE"""),"")</f>
        <v/>
      </c>
    </row>
    <row r="218">
      <c r="G218" s="5" t="str">
        <f>IFERROR(__xludf.DUMMYFUNCTION("""COMPUTED_VALUE"""),"")</f>
        <v/>
      </c>
    </row>
    <row r="219">
      <c r="G219" s="5" t="str">
        <f>IFERROR(__xludf.DUMMYFUNCTION("""COMPUTED_VALUE"""),"")</f>
        <v/>
      </c>
    </row>
    <row r="220">
      <c r="G220" s="5" t="str">
        <f>IFERROR(__xludf.DUMMYFUNCTION("""COMPUTED_VALUE"""),"")</f>
        <v/>
      </c>
    </row>
    <row r="221">
      <c r="G221" s="5" t="str">
        <f>IFERROR(__xludf.DUMMYFUNCTION("""COMPUTED_VALUE"""),"")</f>
        <v/>
      </c>
    </row>
    <row r="222">
      <c r="G222" s="5" t="str">
        <f>IFERROR(__xludf.DUMMYFUNCTION("""COMPUTED_VALUE"""),"")</f>
        <v/>
      </c>
    </row>
    <row r="223">
      <c r="G223" s="5" t="str">
        <f>IFERROR(__xludf.DUMMYFUNCTION("""COMPUTED_VALUE"""),"")</f>
        <v/>
      </c>
    </row>
    <row r="224">
      <c r="G224" s="5" t="str">
        <f>IFERROR(__xludf.DUMMYFUNCTION("""COMPUTED_VALUE"""),"")</f>
        <v/>
      </c>
    </row>
    <row r="225">
      <c r="G225" s="5" t="str">
        <f>IFERROR(__xludf.DUMMYFUNCTION("""COMPUTED_VALUE"""),"")</f>
        <v/>
      </c>
    </row>
    <row r="226">
      <c r="G226" s="5" t="str">
        <f>IFERROR(__xludf.DUMMYFUNCTION("""COMPUTED_VALUE"""),"")</f>
        <v/>
      </c>
    </row>
    <row r="227">
      <c r="G227" s="5" t="str">
        <f>IFERROR(__xludf.DUMMYFUNCTION("""COMPUTED_VALUE"""),"")</f>
        <v/>
      </c>
    </row>
    <row r="228">
      <c r="G228" s="5" t="str">
        <f>IFERROR(__xludf.DUMMYFUNCTION("""COMPUTED_VALUE"""),"")</f>
        <v/>
      </c>
    </row>
    <row r="229">
      <c r="G229" s="5" t="str">
        <f>IFERROR(__xludf.DUMMYFUNCTION("""COMPUTED_VALUE"""),"")</f>
        <v/>
      </c>
    </row>
    <row r="230">
      <c r="G230" s="5" t="str">
        <f>IFERROR(__xludf.DUMMYFUNCTION("""COMPUTED_VALUE"""),"")</f>
        <v/>
      </c>
    </row>
    <row r="231">
      <c r="G231" s="5" t="str">
        <f>IFERROR(__xludf.DUMMYFUNCTION("""COMPUTED_VALUE"""),"")</f>
        <v/>
      </c>
    </row>
    <row r="232">
      <c r="G232" s="5" t="str">
        <f>IFERROR(__xludf.DUMMYFUNCTION("""COMPUTED_VALUE"""),"")</f>
        <v/>
      </c>
    </row>
    <row r="233">
      <c r="G233" s="5" t="str">
        <f>IFERROR(__xludf.DUMMYFUNCTION("""COMPUTED_VALUE"""),"")</f>
        <v/>
      </c>
    </row>
    <row r="234">
      <c r="G234" s="5" t="str">
        <f>IFERROR(__xludf.DUMMYFUNCTION("""COMPUTED_VALUE"""),"")</f>
        <v/>
      </c>
    </row>
    <row r="235">
      <c r="G235" s="5" t="str">
        <f>IFERROR(__xludf.DUMMYFUNCTION("""COMPUTED_VALUE"""),"")</f>
        <v/>
      </c>
    </row>
    <row r="236">
      <c r="G236" s="5" t="str">
        <f>IFERROR(__xludf.DUMMYFUNCTION("""COMPUTED_VALUE"""),"")</f>
        <v/>
      </c>
    </row>
    <row r="237">
      <c r="G237" s="5" t="str">
        <f>IFERROR(__xludf.DUMMYFUNCTION("""COMPUTED_VALUE"""),"")</f>
        <v/>
      </c>
    </row>
    <row r="238">
      <c r="G238" s="5" t="str">
        <f>IFERROR(__xludf.DUMMYFUNCTION("""COMPUTED_VALUE"""),"")</f>
        <v/>
      </c>
    </row>
    <row r="239">
      <c r="G239" s="5" t="str">
        <f>IFERROR(__xludf.DUMMYFUNCTION("""COMPUTED_VALUE"""),"")</f>
        <v/>
      </c>
    </row>
    <row r="240">
      <c r="G240" s="5" t="str">
        <f>IFERROR(__xludf.DUMMYFUNCTION("""COMPUTED_VALUE"""),"")</f>
        <v/>
      </c>
    </row>
    <row r="241">
      <c r="G241" s="5" t="str">
        <f>IFERROR(__xludf.DUMMYFUNCTION("""COMPUTED_VALUE"""),"")</f>
        <v/>
      </c>
    </row>
    <row r="242">
      <c r="G242" s="5" t="str">
        <f>IFERROR(__xludf.DUMMYFUNCTION("""COMPUTED_VALUE"""),"")</f>
        <v/>
      </c>
    </row>
    <row r="243">
      <c r="G243" s="5" t="str">
        <f>IFERROR(__xludf.DUMMYFUNCTION("""COMPUTED_VALUE"""),"")</f>
        <v/>
      </c>
    </row>
    <row r="244">
      <c r="G244" s="5" t="str">
        <f>IFERROR(__xludf.DUMMYFUNCTION("""COMPUTED_VALUE"""),"")</f>
        <v/>
      </c>
    </row>
    <row r="245">
      <c r="G245" s="5" t="str">
        <f>IFERROR(__xludf.DUMMYFUNCTION("""COMPUTED_VALUE"""),"")</f>
        <v/>
      </c>
    </row>
    <row r="246">
      <c r="G246" s="5" t="str">
        <f>IFERROR(__xludf.DUMMYFUNCTION("""COMPUTED_VALUE"""),"")</f>
        <v/>
      </c>
    </row>
    <row r="247">
      <c r="G247" s="5" t="str">
        <f>IFERROR(__xludf.DUMMYFUNCTION("""COMPUTED_VALUE"""),"")</f>
        <v/>
      </c>
    </row>
    <row r="248">
      <c r="G248" s="5" t="str">
        <f>IFERROR(__xludf.DUMMYFUNCTION("""COMPUTED_VALUE"""),"")</f>
        <v/>
      </c>
    </row>
    <row r="249">
      <c r="G249" s="5" t="str">
        <f>IFERROR(__xludf.DUMMYFUNCTION("""COMPUTED_VALUE"""),"")</f>
        <v/>
      </c>
    </row>
    <row r="250">
      <c r="G250" s="5" t="str">
        <f>IFERROR(__xludf.DUMMYFUNCTION("""COMPUTED_VALUE"""),"")</f>
        <v/>
      </c>
    </row>
    <row r="251">
      <c r="G251" s="5" t="str">
        <f>IFERROR(__xludf.DUMMYFUNCTION("""COMPUTED_VALUE"""),"")</f>
        <v/>
      </c>
    </row>
    <row r="252">
      <c r="G252" s="5" t="str">
        <f>IFERROR(__xludf.DUMMYFUNCTION("""COMPUTED_VALUE"""),"")</f>
        <v/>
      </c>
    </row>
    <row r="253">
      <c r="G253" s="5" t="str">
        <f>IFERROR(__xludf.DUMMYFUNCTION("""COMPUTED_VALUE"""),"")</f>
        <v/>
      </c>
    </row>
    <row r="254">
      <c r="G254" s="5" t="str">
        <f>IFERROR(__xludf.DUMMYFUNCTION("""COMPUTED_VALUE"""),"")</f>
        <v/>
      </c>
    </row>
    <row r="255">
      <c r="G255" s="5" t="str">
        <f>IFERROR(__xludf.DUMMYFUNCTION("""COMPUTED_VALUE"""),"")</f>
        <v/>
      </c>
    </row>
    <row r="256">
      <c r="G256" s="5" t="str">
        <f>IFERROR(__xludf.DUMMYFUNCTION("""COMPUTED_VALUE"""),"")</f>
        <v/>
      </c>
    </row>
    <row r="257">
      <c r="G257" s="5" t="str">
        <f>IFERROR(__xludf.DUMMYFUNCTION("""COMPUTED_VALUE"""),"")</f>
        <v/>
      </c>
    </row>
    <row r="258">
      <c r="G258" s="5" t="str">
        <f>IFERROR(__xludf.DUMMYFUNCTION("""COMPUTED_VALUE"""),"")</f>
        <v/>
      </c>
    </row>
    <row r="259">
      <c r="G259" s="5" t="str">
        <f>IFERROR(__xludf.DUMMYFUNCTION("""COMPUTED_VALUE"""),"")</f>
        <v/>
      </c>
    </row>
    <row r="260">
      <c r="G260" s="5" t="str">
        <f>IFERROR(__xludf.DUMMYFUNCTION("""COMPUTED_VALUE"""),"")</f>
        <v/>
      </c>
    </row>
    <row r="261">
      <c r="G261" s="5" t="str">
        <f>IFERROR(__xludf.DUMMYFUNCTION("""COMPUTED_VALUE"""),"")</f>
        <v/>
      </c>
    </row>
    <row r="262">
      <c r="G262" s="5" t="str">
        <f>IFERROR(__xludf.DUMMYFUNCTION("""COMPUTED_VALUE"""),"")</f>
        <v/>
      </c>
    </row>
    <row r="263">
      <c r="G263" s="5" t="str">
        <f>IFERROR(__xludf.DUMMYFUNCTION("""COMPUTED_VALUE"""),"")</f>
        <v/>
      </c>
    </row>
    <row r="264">
      <c r="G264" s="5" t="str">
        <f>IFERROR(__xludf.DUMMYFUNCTION("""COMPUTED_VALUE"""),"")</f>
        <v/>
      </c>
    </row>
    <row r="265">
      <c r="G265" s="5" t="str">
        <f>IFERROR(__xludf.DUMMYFUNCTION("""COMPUTED_VALUE"""),"")</f>
        <v/>
      </c>
    </row>
    <row r="266">
      <c r="G266" s="5" t="str">
        <f>IFERROR(__xludf.DUMMYFUNCTION("""COMPUTED_VALUE"""),"")</f>
        <v/>
      </c>
    </row>
    <row r="267">
      <c r="G267" s="5" t="str">
        <f>IFERROR(__xludf.DUMMYFUNCTION("""COMPUTED_VALUE"""),"")</f>
        <v/>
      </c>
    </row>
    <row r="268">
      <c r="G268" s="5" t="str">
        <f>IFERROR(__xludf.DUMMYFUNCTION("""COMPUTED_VALUE"""),"")</f>
        <v/>
      </c>
    </row>
    <row r="269">
      <c r="G269" s="5" t="str">
        <f>IFERROR(__xludf.DUMMYFUNCTION("""COMPUTED_VALUE"""),"")</f>
        <v/>
      </c>
    </row>
    <row r="270">
      <c r="G270" s="5" t="str">
        <f>IFERROR(__xludf.DUMMYFUNCTION("""COMPUTED_VALUE"""),"")</f>
        <v/>
      </c>
    </row>
    <row r="271">
      <c r="G271" s="5" t="str">
        <f>IFERROR(__xludf.DUMMYFUNCTION("""COMPUTED_VALUE"""),"")</f>
        <v/>
      </c>
    </row>
    <row r="272">
      <c r="G272" s="5" t="str">
        <f>IFERROR(__xludf.DUMMYFUNCTION("""COMPUTED_VALUE"""),"")</f>
        <v/>
      </c>
    </row>
    <row r="273">
      <c r="G273" s="5" t="str">
        <f>IFERROR(__xludf.DUMMYFUNCTION("""COMPUTED_VALUE"""),"")</f>
        <v/>
      </c>
    </row>
    <row r="274">
      <c r="G274" s="5" t="str">
        <f>IFERROR(__xludf.DUMMYFUNCTION("""COMPUTED_VALUE"""),"")</f>
        <v/>
      </c>
    </row>
    <row r="275">
      <c r="G275" s="5" t="str">
        <f>IFERROR(__xludf.DUMMYFUNCTION("""COMPUTED_VALUE"""),"")</f>
        <v/>
      </c>
    </row>
    <row r="276">
      <c r="G276" s="5" t="str">
        <f>IFERROR(__xludf.DUMMYFUNCTION("""COMPUTED_VALUE"""),"")</f>
        <v/>
      </c>
    </row>
    <row r="277">
      <c r="G277" s="5" t="str">
        <f>IFERROR(__xludf.DUMMYFUNCTION("""COMPUTED_VALUE"""),"")</f>
        <v/>
      </c>
    </row>
    <row r="278">
      <c r="G278" s="5" t="str">
        <f>IFERROR(__xludf.DUMMYFUNCTION("""COMPUTED_VALUE"""),"")</f>
        <v/>
      </c>
    </row>
    <row r="279">
      <c r="G279" s="5" t="str">
        <f>IFERROR(__xludf.DUMMYFUNCTION("""COMPUTED_VALUE"""),"")</f>
        <v/>
      </c>
    </row>
    <row r="280">
      <c r="G280" s="5" t="str">
        <f>IFERROR(__xludf.DUMMYFUNCTION("""COMPUTED_VALUE"""),"")</f>
        <v/>
      </c>
    </row>
    <row r="281">
      <c r="G281" s="5" t="str">
        <f>IFERROR(__xludf.DUMMYFUNCTION("""COMPUTED_VALUE"""),"")</f>
        <v/>
      </c>
    </row>
    <row r="282">
      <c r="G282" s="5" t="str">
        <f>IFERROR(__xludf.DUMMYFUNCTION("""COMPUTED_VALUE"""),"")</f>
        <v/>
      </c>
    </row>
    <row r="283">
      <c r="G283" s="5" t="str">
        <f>IFERROR(__xludf.DUMMYFUNCTION("""COMPUTED_VALUE"""),"")</f>
        <v/>
      </c>
    </row>
    <row r="284">
      <c r="G284" s="5" t="str">
        <f>IFERROR(__xludf.DUMMYFUNCTION("""COMPUTED_VALUE"""),"")</f>
        <v/>
      </c>
    </row>
    <row r="285">
      <c r="G285" s="5" t="str">
        <f>IFERROR(__xludf.DUMMYFUNCTION("""COMPUTED_VALUE"""),"")</f>
        <v/>
      </c>
    </row>
    <row r="286">
      <c r="G286" s="5" t="str">
        <f>IFERROR(__xludf.DUMMYFUNCTION("""COMPUTED_VALUE"""),"")</f>
        <v/>
      </c>
    </row>
    <row r="287">
      <c r="G287" s="5" t="str">
        <f>IFERROR(__xludf.DUMMYFUNCTION("""COMPUTED_VALUE"""),"")</f>
        <v/>
      </c>
    </row>
    <row r="288">
      <c r="G288" s="5" t="str">
        <f>IFERROR(__xludf.DUMMYFUNCTION("""COMPUTED_VALUE"""),"")</f>
        <v/>
      </c>
    </row>
    <row r="289">
      <c r="G289" s="5" t="str">
        <f>IFERROR(__xludf.DUMMYFUNCTION("""COMPUTED_VALUE"""),"")</f>
        <v/>
      </c>
    </row>
    <row r="290">
      <c r="G290" s="5" t="str">
        <f>IFERROR(__xludf.DUMMYFUNCTION("""COMPUTED_VALUE"""),"")</f>
        <v/>
      </c>
    </row>
    <row r="291">
      <c r="G291" s="5" t="str">
        <f>IFERROR(__xludf.DUMMYFUNCTION("""COMPUTED_VALUE"""),"")</f>
        <v/>
      </c>
    </row>
    <row r="292">
      <c r="G292" s="5" t="str">
        <f>IFERROR(__xludf.DUMMYFUNCTION("""COMPUTED_VALUE"""),"")</f>
        <v/>
      </c>
    </row>
    <row r="293">
      <c r="G293" s="5" t="str">
        <f>IFERROR(__xludf.DUMMYFUNCTION("""COMPUTED_VALUE"""),"")</f>
        <v/>
      </c>
    </row>
    <row r="294">
      <c r="G294" s="5" t="str">
        <f>IFERROR(__xludf.DUMMYFUNCTION("""COMPUTED_VALUE"""),"")</f>
        <v/>
      </c>
    </row>
    <row r="295">
      <c r="G295" s="5" t="str">
        <f>IFERROR(__xludf.DUMMYFUNCTION("""COMPUTED_VALUE"""),"")</f>
        <v/>
      </c>
    </row>
    <row r="296">
      <c r="G296" s="5" t="str">
        <f>IFERROR(__xludf.DUMMYFUNCTION("""COMPUTED_VALUE"""),"")</f>
        <v/>
      </c>
    </row>
    <row r="297">
      <c r="G297" s="5" t="str">
        <f>IFERROR(__xludf.DUMMYFUNCTION("""COMPUTED_VALUE"""),"")</f>
        <v/>
      </c>
    </row>
    <row r="298">
      <c r="G298" s="5" t="str">
        <f>IFERROR(__xludf.DUMMYFUNCTION("""COMPUTED_VALUE"""),"")</f>
        <v/>
      </c>
    </row>
    <row r="299">
      <c r="G299" s="5" t="str">
        <f>IFERROR(__xludf.DUMMYFUNCTION("""COMPUTED_VALUE"""),"")</f>
        <v/>
      </c>
    </row>
    <row r="300">
      <c r="G300" s="5" t="str">
        <f>IFERROR(__xludf.DUMMYFUNCTION("""COMPUTED_VALUE"""),"")</f>
        <v/>
      </c>
    </row>
    <row r="301">
      <c r="G301" s="5" t="str">
        <f>IFERROR(__xludf.DUMMYFUNCTION("""COMPUTED_VALUE"""),"")</f>
        <v/>
      </c>
    </row>
    <row r="302">
      <c r="G302" s="5" t="str">
        <f>IFERROR(__xludf.DUMMYFUNCTION("""COMPUTED_VALUE"""),"")</f>
        <v/>
      </c>
    </row>
    <row r="303">
      <c r="G303" s="5" t="str">
        <f>IFERROR(__xludf.DUMMYFUNCTION("""COMPUTED_VALUE"""),"")</f>
        <v/>
      </c>
    </row>
    <row r="304">
      <c r="G304" s="5" t="str">
        <f>IFERROR(__xludf.DUMMYFUNCTION("""COMPUTED_VALUE"""),"")</f>
        <v/>
      </c>
    </row>
    <row r="305">
      <c r="G305" s="5" t="str">
        <f>IFERROR(__xludf.DUMMYFUNCTION("""COMPUTED_VALUE"""),"")</f>
        <v/>
      </c>
    </row>
    <row r="306">
      <c r="G306" s="5" t="str">
        <f>IFERROR(__xludf.DUMMYFUNCTION("""COMPUTED_VALUE"""),"")</f>
        <v/>
      </c>
    </row>
    <row r="307">
      <c r="G307" s="5" t="str">
        <f>IFERROR(__xludf.DUMMYFUNCTION("""COMPUTED_VALUE"""),"")</f>
        <v/>
      </c>
    </row>
    <row r="308">
      <c r="G308" s="5" t="str">
        <f>IFERROR(__xludf.DUMMYFUNCTION("""COMPUTED_VALUE"""),"")</f>
        <v/>
      </c>
    </row>
    <row r="309">
      <c r="G309" s="5" t="str">
        <f>IFERROR(__xludf.DUMMYFUNCTION("""COMPUTED_VALUE"""),"")</f>
        <v/>
      </c>
    </row>
    <row r="310">
      <c r="G310" s="5" t="str">
        <f>IFERROR(__xludf.DUMMYFUNCTION("""COMPUTED_VALUE"""),"")</f>
        <v/>
      </c>
    </row>
    <row r="311">
      <c r="G311" s="5" t="str">
        <f>IFERROR(__xludf.DUMMYFUNCTION("""COMPUTED_VALUE"""),"")</f>
        <v/>
      </c>
    </row>
    <row r="312">
      <c r="G312" s="5" t="str">
        <f>IFERROR(__xludf.DUMMYFUNCTION("""COMPUTED_VALUE"""),"")</f>
        <v/>
      </c>
    </row>
    <row r="313">
      <c r="G313" s="5" t="str">
        <f>IFERROR(__xludf.DUMMYFUNCTION("""COMPUTED_VALUE"""),"")</f>
        <v/>
      </c>
    </row>
    <row r="314">
      <c r="G314" s="5" t="str">
        <f>IFERROR(__xludf.DUMMYFUNCTION("""COMPUTED_VALUE"""),"")</f>
        <v/>
      </c>
    </row>
    <row r="315">
      <c r="G315" s="5" t="str">
        <f>IFERROR(__xludf.DUMMYFUNCTION("""COMPUTED_VALUE"""),"")</f>
        <v/>
      </c>
    </row>
    <row r="316">
      <c r="G316" s="5" t="str">
        <f>IFERROR(__xludf.DUMMYFUNCTION("""COMPUTED_VALUE"""),"")</f>
        <v/>
      </c>
    </row>
    <row r="317">
      <c r="G317" s="5" t="str">
        <f>IFERROR(__xludf.DUMMYFUNCTION("""COMPUTED_VALUE"""),"")</f>
        <v/>
      </c>
    </row>
    <row r="318">
      <c r="G318" s="5" t="str">
        <f>IFERROR(__xludf.DUMMYFUNCTION("""COMPUTED_VALUE"""),"")</f>
        <v/>
      </c>
    </row>
    <row r="319">
      <c r="G319" s="5" t="str">
        <f>IFERROR(__xludf.DUMMYFUNCTION("""COMPUTED_VALUE"""),"")</f>
        <v/>
      </c>
    </row>
    <row r="320">
      <c r="G320" s="5" t="str">
        <f>IFERROR(__xludf.DUMMYFUNCTION("""COMPUTED_VALUE"""),"")</f>
        <v/>
      </c>
    </row>
    <row r="321">
      <c r="G321" s="5" t="str">
        <f>IFERROR(__xludf.DUMMYFUNCTION("""COMPUTED_VALUE"""),"")</f>
        <v/>
      </c>
    </row>
    <row r="322">
      <c r="G322" s="5" t="str">
        <f>IFERROR(__xludf.DUMMYFUNCTION("""COMPUTED_VALUE"""),"")</f>
        <v/>
      </c>
    </row>
    <row r="323">
      <c r="G323" s="5" t="str">
        <f>IFERROR(__xludf.DUMMYFUNCTION("""COMPUTED_VALUE"""),"")</f>
        <v/>
      </c>
    </row>
    <row r="324">
      <c r="G324" s="5" t="str">
        <f>IFERROR(__xludf.DUMMYFUNCTION("""COMPUTED_VALUE"""),"")</f>
        <v/>
      </c>
    </row>
    <row r="325">
      <c r="G325" s="5" t="str">
        <f>IFERROR(__xludf.DUMMYFUNCTION("""COMPUTED_VALUE"""),"")</f>
        <v/>
      </c>
    </row>
    <row r="326">
      <c r="G326" s="5" t="str">
        <f>IFERROR(__xludf.DUMMYFUNCTION("""COMPUTED_VALUE"""),"")</f>
        <v/>
      </c>
    </row>
    <row r="327">
      <c r="G327" s="5" t="str">
        <f>IFERROR(__xludf.DUMMYFUNCTION("""COMPUTED_VALUE"""),"")</f>
        <v/>
      </c>
    </row>
    <row r="328">
      <c r="G328" s="5" t="str">
        <f>IFERROR(__xludf.DUMMYFUNCTION("""COMPUTED_VALUE"""),"")</f>
        <v/>
      </c>
    </row>
    <row r="329">
      <c r="G329" s="5" t="str">
        <f>IFERROR(__xludf.DUMMYFUNCTION("""COMPUTED_VALUE"""),"")</f>
        <v/>
      </c>
    </row>
    <row r="330">
      <c r="G330" s="5" t="str">
        <f>IFERROR(__xludf.DUMMYFUNCTION("""COMPUTED_VALUE"""),"")</f>
        <v/>
      </c>
    </row>
    <row r="331">
      <c r="G331" s="5" t="str">
        <f>IFERROR(__xludf.DUMMYFUNCTION("""COMPUTED_VALUE"""),"")</f>
        <v/>
      </c>
    </row>
    <row r="332">
      <c r="G332" s="5" t="str">
        <f>IFERROR(__xludf.DUMMYFUNCTION("""COMPUTED_VALUE"""),"")</f>
        <v/>
      </c>
    </row>
    <row r="333">
      <c r="G333" s="5" t="str">
        <f>IFERROR(__xludf.DUMMYFUNCTION("""COMPUTED_VALUE"""),"")</f>
        <v/>
      </c>
    </row>
    <row r="334">
      <c r="G334" s="5" t="str">
        <f>IFERROR(__xludf.DUMMYFUNCTION("""COMPUTED_VALUE"""),"")</f>
        <v/>
      </c>
    </row>
    <row r="335">
      <c r="G335" s="5" t="str">
        <f>IFERROR(__xludf.DUMMYFUNCTION("""COMPUTED_VALUE"""),"")</f>
        <v/>
      </c>
    </row>
    <row r="336">
      <c r="G336" s="5" t="str">
        <f>IFERROR(__xludf.DUMMYFUNCTION("""COMPUTED_VALUE"""),"")</f>
        <v/>
      </c>
    </row>
    <row r="337">
      <c r="G337" s="5" t="str">
        <f>IFERROR(__xludf.DUMMYFUNCTION("""COMPUTED_VALUE"""),"")</f>
        <v/>
      </c>
    </row>
    <row r="338">
      <c r="G338" s="5" t="str">
        <f>IFERROR(__xludf.DUMMYFUNCTION("""COMPUTED_VALUE"""),"")</f>
        <v/>
      </c>
    </row>
    <row r="339">
      <c r="G339" s="5" t="str">
        <f>IFERROR(__xludf.DUMMYFUNCTION("""COMPUTED_VALUE"""),"")</f>
        <v/>
      </c>
    </row>
    <row r="340">
      <c r="G340" s="5" t="str">
        <f>IFERROR(__xludf.DUMMYFUNCTION("""COMPUTED_VALUE"""),"")</f>
        <v/>
      </c>
    </row>
    <row r="341">
      <c r="G341" s="5" t="str">
        <f>IFERROR(__xludf.DUMMYFUNCTION("""COMPUTED_VALUE"""),"")</f>
        <v/>
      </c>
    </row>
    <row r="342">
      <c r="G342" s="5" t="str">
        <f>IFERROR(__xludf.DUMMYFUNCTION("""COMPUTED_VALUE"""),"")</f>
        <v/>
      </c>
    </row>
    <row r="343">
      <c r="G343" s="5" t="str">
        <f>IFERROR(__xludf.DUMMYFUNCTION("""COMPUTED_VALUE"""),"")</f>
        <v/>
      </c>
    </row>
    <row r="344">
      <c r="G344" s="5" t="str">
        <f>IFERROR(__xludf.DUMMYFUNCTION("""COMPUTED_VALUE"""),"")</f>
        <v/>
      </c>
    </row>
    <row r="345">
      <c r="G345" s="5" t="str">
        <f>IFERROR(__xludf.DUMMYFUNCTION("""COMPUTED_VALUE"""),"")</f>
        <v/>
      </c>
    </row>
    <row r="346">
      <c r="G346" s="5" t="str">
        <f>IFERROR(__xludf.DUMMYFUNCTION("""COMPUTED_VALUE"""),"")</f>
        <v/>
      </c>
    </row>
    <row r="347">
      <c r="G347" s="5" t="str">
        <f>IFERROR(__xludf.DUMMYFUNCTION("""COMPUTED_VALUE"""),"")</f>
        <v/>
      </c>
    </row>
    <row r="348">
      <c r="G348" s="5" t="str">
        <f>IFERROR(__xludf.DUMMYFUNCTION("""COMPUTED_VALUE"""),"")</f>
        <v/>
      </c>
    </row>
    <row r="349">
      <c r="G349" s="5" t="str">
        <f>IFERROR(__xludf.DUMMYFUNCTION("""COMPUTED_VALUE"""),"")</f>
        <v/>
      </c>
    </row>
    <row r="350">
      <c r="G350" s="5" t="str">
        <f>IFERROR(__xludf.DUMMYFUNCTION("""COMPUTED_VALUE"""),"")</f>
        <v/>
      </c>
    </row>
    <row r="351">
      <c r="G351" s="5" t="str">
        <f>IFERROR(__xludf.DUMMYFUNCTION("""COMPUTED_VALUE"""),"")</f>
        <v/>
      </c>
    </row>
    <row r="352">
      <c r="G352" s="5" t="str">
        <f>IFERROR(__xludf.DUMMYFUNCTION("""COMPUTED_VALUE"""),"")</f>
        <v/>
      </c>
    </row>
    <row r="353">
      <c r="G353" s="5" t="str">
        <f>IFERROR(__xludf.DUMMYFUNCTION("""COMPUTED_VALUE"""),"")</f>
        <v/>
      </c>
    </row>
    <row r="354">
      <c r="G354" s="5" t="str">
        <f>IFERROR(__xludf.DUMMYFUNCTION("""COMPUTED_VALUE"""),"")</f>
        <v/>
      </c>
    </row>
    <row r="355">
      <c r="G355" s="5" t="str">
        <f>IFERROR(__xludf.DUMMYFUNCTION("""COMPUTED_VALUE"""),"")</f>
        <v/>
      </c>
    </row>
    <row r="356">
      <c r="G356" s="5" t="str">
        <f>IFERROR(__xludf.DUMMYFUNCTION("""COMPUTED_VALUE"""),"")</f>
        <v/>
      </c>
    </row>
    <row r="357">
      <c r="G357" s="5" t="str">
        <f>IFERROR(__xludf.DUMMYFUNCTION("""COMPUTED_VALUE"""),"")</f>
        <v/>
      </c>
    </row>
    <row r="358">
      <c r="G358" s="5" t="str">
        <f>IFERROR(__xludf.DUMMYFUNCTION("""COMPUTED_VALUE"""),"")</f>
        <v/>
      </c>
    </row>
    <row r="359">
      <c r="G359" s="5" t="str">
        <f>IFERROR(__xludf.DUMMYFUNCTION("""COMPUTED_VALUE"""),"")</f>
        <v/>
      </c>
    </row>
    <row r="360">
      <c r="G360" s="5" t="str">
        <f>IFERROR(__xludf.DUMMYFUNCTION("""COMPUTED_VALUE"""),"")</f>
        <v/>
      </c>
    </row>
    <row r="361">
      <c r="G361" s="5" t="str">
        <f>IFERROR(__xludf.DUMMYFUNCTION("""COMPUTED_VALUE"""),"")</f>
        <v/>
      </c>
    </row>
    <row r="362">
      <c r="G362" s="5" t="str">
        <f>IFERROR(__xludf.DUMMYFUNCTION("""COMPUTED_VALUE"""),"")</f>
        <v/>
      </c>
    </row>
    <row r="363">
      <c r="G363" s="5" t="str">
        <f>IFERROR(__xludf.DUMMYFUNCTION("""COMPUTED_VALUE"""),"")</f>
        <v/>
      </c>
    </row>
    <row r="364">
      <c r="G364" s="5" t="str">
        <f>IFERROR(__xludf.DUMMYFUNCTION("""COMPUTED_VALUE"""),"")</f>
        <v/>
      </c>
    </row>
    <row r="365">
      <c r="G365" s="5" t="str">
        <f>IFERROR(__xludf.DUMMYFUNCTION("""COMPUTED_VALUE"""),"")</f>
        <v/>
      </c>
    </row>
    <row r="366">
      <c r="G366" s="5" t="str">
        <f>IFERROR(__xludf.DUMMYFUNCTION("""COMPUTED_VALUE"""),"")</f>
        <v/>
      </c>
    </row>
    <row r="367">
      <c r="G367" s="5" t="str">
        <f>IFERROR(__xludf.DUMMYFUNCTION("""COMPUTED_VALUE"""),"")</f>
        <v/>
      </c>
    </row>
    <row r="368">
      <c r="G368" s="5" t="str">
        <f>IFERROR(__xludf.DUMMYFUNCTION("""COMPUTED_VALUE"""),"")</f>
        <v/>
      </c>
    </row>
    <row r="369">
      <c r="G369" s="5" t="str">
        <f>IFERROR(__xludf.DUMMYFUNCTION("""COMPUTED_VALUE"""),"")</f>
        <v/>
      </c>
    </row>
    <row r="370">
      <c r="G370" s="5" t="str">
        <f>IFERROR(__xludf.DUMMYFUNCTION("""COMPUTED_VALUE"""),"")</f>
        <v/>
      </c>
    </row>
    <row r="371">
      <c r="G371" s="5" t="str">
        <f>IFERROR(__xludf.DUMMYFUNCTION("""COMPUTED_VALUE"""),"")</f>
        <v/>
      </c>
    </row>
    <row r="372">
      <c r="G372" s="5" t="str">
        <f>IFERROR(__xludf.DUMMYFUNCTION("""COMPUTED_VALUE"""),"")</f>
        <v/>
      </c>
    </row>
    <row r="373">
      <c r="G373" s="5" t="str">
        <f>IFERROR(__xludf.DUMMYFUNCTION("""COMPUTED_VALUE"""),"")</f>
        <v/>
      </c>
    </row>
    <row r="374">
      <c r="G374" s="5" t="str">
        <f>IFERROR(__xludf.DUMMYFUNCTION("""COMPUTED_VALUE"""),"")</f>
        <v/>
      </c>
    </row>
    <row r="375">
      <c r="G375" s="5" t="str">
        <f>IFERROR(__xludf.DUMMYFUNCTION("""COMPUTED_VALUE"""),"")</f>
        <v/>
      </c>
    </row>
    <row r="376">
      <c r="G376" s="5" t="str">
        <f>IFERROR(__xludf.DUMMYFUNCTION("""COMPUTED_VALUE"""),"")</f>
        <v/>
      </c>
    </row>
    <row r="377">
      <c r="G377" s="5" t="str">
        <f>IFERROR(__xludf.DUMMYFUNCTION("""COMPUTED_VALUE"""),"")</f>
        <v/>
      </c>
    </row>
    <row r="378">
      <c r="G378" s="5" t="str">
        <f>IFERROR(__xludf.DUMMYFUNCTION("""COMPUTED_VALUE"""),"")</f>
        <v/>
      </c>
    </row>
    <row r="379">
      <c r="G379" s="5" t="str">
        <f>IFERROR(__xludf.DUMMYFUNCTION("""COMPUTED_VALUE"""),"")</f>
        <v/>
      </c>
    </row>
    <row r="380">
      <c r="G380" s="5" t="str">
        <f>IFERROR(__xludf.DUMMYFUNCTION("""COMPUTED_VALUE"""),"")</f>
        <v/>
      </c>
    </row>
    <row r="381">
      <c r="G381" s="5" t="str">
        <f>IFERROR(__xludf.DUMMYFUNCTION("""COMPUTED_VALUE"""),"")</f>
        <v/>
      </c>
    </row>
    <row r="382">
      <c r="G382" s="5" t="str">
        <f>IFERROR(__xludf.DUMMYFUNCTION("""COMPUTED_VALUE"""),"")</f>
        <v/>
      </c>
    </row>
    <row r="383">
      <c r="G383" s="5" t="str">
        <f>IFERROR(__xludf.DUMMYFUNCTION("""COMPUTED_VALUE"""),"")</f>
        <v/>
      </c>
    </row>
    <row r="384">
      <c r="G384" s="5" t="str">
        <f>IFERROR(__xludf.DUMMYFUNCTION("""COMPUTED_VALUE"""),"")</f>
        <v/>
      </c>
    </row>
    <row r="385">
      <c r="G385" s="5" t="str">
        <f>IFERROR(__xludf.DUMMYFUNCTION("""COMPUTED_VALUE"""),"")</f>
        <v/>
      </c>
    </row>
    <row r="386">
      <c r="G386" s="5" t="str">
        <f>IFERROR(__xludf.DUMMYFUNCTION("""COMPUTED_VALUE"""),"")</f>
        <v/>
      </c>
    </row>
    <row r="387">
      <c r="G387" s="5" t="str">
        <f>IFERROR(__xludf.DUMMYFUNCTION("""COMPUTED_VALUE"""),"")</f>
        <v/>
      </c>
    </row>
    <row r="388">
      <c r="G388" s="5" t="str">
        <f>IFERROR(__xludf.DUMMYFUNCTION("""COMPUTED_VALUE"""),"")</f>
        <v/>
      </c>
    </row>
    <row r="389">
      <c r="G389" s="5" t="str">
        <f>IFERROR(__xludf.DUMMYFUNCTION("""COMPUTED_VALUE"""),"")</f>
        <v/>
      </c>
    </row>
    <row r="390">
      <c r="G390" s="5" t="str">
        <f>IFERROR(__xludf.DUMMYFUNCTION("""COMPUTED_VALUE"""),"")</f>
        <v/>
      </c>
    </row>
    <row r="391">
      <c r="G391" s="5" t="str">
        <f>IFERROR(__xludf.DUMMYFUNCTION("""COMPUTED_VALUE"""),"")</f>
        <v/>
      </c>
    </row>
    <row r="392">
      <c r="G392" s="5" t="str">
        <f>IFERROR(__xludf.DUMMYFUNCTION("""COMPUTED_VALUE"""),"")</f>
        <v/>
      </c>
    </row>
    <row r="393">
      <c r="G393" s="5" t="str">
        <f>IFERROR(__xludf.DUMMYFUNCTION("""COMPUTED_VALUE"""),"")</f>
        <v/>
      </c>
    </row>
    <row r="394">
      <c r="G394" s="5" t="str">
        <f>IFERROR(__xludf.DUMMYFUNCTION("""COMPUTED_VALUE"""),"")</f>
        <v/>
      </c>
    </row>
    <row r="395">
      <c r="G395" s="5" t="str">
        <f>IFERROR(__xludf.DUMMYFUNCTION("""COMPUTED_VALUE"""),"")</f>
        <v/>
      </c>
    </row>
    <row r="396">
      <c r="G396" s="5" t="str">
        <f>IFERROR(__xludf.DUMMYFUNCTION("""COMPUTED_VALUE"""),"")</f>
        <v/>
      </c>
    </row>
    <row r="397">
      <c r="G397" s="5" t="str">
        <f>IFERROR(__xludf.DUMMYFUNCTION("""COMPUTED_VALUE"""),"")</f>
        <v/>
      </c>
    </row>
    <row r="398">
      <c r="G398" s="5" t="str">
        <f>IFERROR(__xludf.DUMMYFUNCTION("""COMPUTED_VALUE"""),"")</f>
        <v/>
      </c>
    </row>
    <row r="399">
      <c r="G399" s="5" t="str">
        <f>IFERROR(__xludf.DUMMYFUNCTION("""COMPUTED_VALUE"""),"")</f>
        <v/>
      </c>
    </row>
    <row r="400">
      <c r="G400" s="5" t="str">
        <f>IFERROR(__xludf.DUMMYFUNCTION("""COMPUTED_VALUE"""),"")</f>
        <v/>
      </c>
    </row>
    <row r="401">
      <c r="G401" s="5" t="str">
        <f>IFERROR(__xludf.DUMMYFUNCTION("""COMPUTED_VALUE"""),"")</f>
        <v/>
      </c>
    </row>
    <row r="402">
      <c r="G402" s="5" t="str">
        <f>IFERROR(__xludf.DUMMYFUNCTION("""COMPUTED_VALUE"""),"")</f>
        <v/>
      </c>
    </row>
    <row r="403">
      <c r="G403" s="5" t="str">
        <f>IFERROR(__xludf.DUMMYFUNCTION("""COMPUTED_VALUE"""),"")</f>
        <v/>
      </c>
    </row>
    <row r="404">
      <c r="G404" s="5" t="str">
        <f>IFERROR(__xludf.DUMMYFUNCTION("""COMPUTED_VALUE"""),"")</f>
        <v/>
      </c>
    </row>
    <row r="405">
      <c r="G405" s="5" t="str">
        <f>IFERROR(__xludf.DUMMYFUNCTION("""COMPUTED_VALUE"""),"")</f>
        <v/>
      </c>
    </row>
    <row r="406">
      <c r="G406" s="5" t="str">
        <f>IFERROR(__xludf.DUMMYFUNCTION("""COMPUTED_VALUE"""),"")</f>
        <v/>
      </c>
    </row>
    <row r="407">
      <c r="G407" s="5" t="str">
        <f>IFERROR(__xludf.DUMMYFUNCTION("""COMPUTED_VALUE"""),"")</f>
        <v/>
      </c>
    </row>
    <row r="408">
      <c r="G408" s="5" t="str">
        <f>IFERROR(__xludf.DUMMYFUNCTION("""COMPUTED_VALUE"""),"")</f>
        <v/>
      </c>
    </row>
    <row r="409">
      <c r="G409" s="5" t="str">
        <f>IFERROR(__xludf.DUMMYFUNCTION("""COMPUTED_VALUE"""),"")</f>
        <v/>
      </c>
    </row>
    <row r="410">
      <c r="G410" s="5" t="str">
        <f>IFERROR(__xludf.DUMMYFUNCTION("""COMPUTED_VALUE"""),"")</f>
        <v/>
      </c>
    </row>
    <row r="411">
      <c r="G411" s="5" t="str">
        <f>IFERROR(__xludf.DUMMYFUNCTION("""COMPUTED_VALUE"""),"")</f>
        <v/>
      </c>
    </row>
    <row r="412">
      <c r="G412" s="5" t="str">
        <f>IFERROR(__xludf.DUMMYFUNCTION("""COMPUTED_VALUE"""),"")</f>
        <v/>
      </c>
    </row>
    <row r="413">
      <c r="G413" s="5" t="str">
        <f>IFERROR(__xludf.DUMMYFUNCTION("""COMPUTED_VALUE"""),"")</f>
        <v/>
      </c>
    </row>
    <row r="414">
      <c r="G414" s="5" t="str">
        <f>IFERROR(__xludf.DUMMYFUNCTION("""COMPUTED_VALUE"""),"")</f>
        <v/>
      </c>
    </row>
    <row r="415">
      <c r="G415" s="5" t="str">
        <f>IFERROR(__xludf.DUMMYFUNCTION("""COMPUTED_VALUE"""),"")</f>
        <v/>
      </c>
    </row>
    <row r="416">
      <c r="G416" s="5" t="str">
        <f>IFERROR(__xludf.DUMMYFUNCTION("""COMPUTED_VALUE"""),"")</f>
        <v/>
      </c>
    </row>
    <row r="417">
      <c r="G417" s="5" t="str">
        <f>IFERROR(__xludf.DUMMYFUNCTION("""COMPUTED_VALUE"""),"")</f>
        <v/>
      </c>
    </row>
    <row r="418">
      <c r="G418" s="5" t="str">
        <f>IFERROR(__xludf.DUMMYFUNCTION("""COMPUTED_VALUE"""),"")</f>
        <v/>
      </c>
    </row>
    <row r="419">
      <c r="G419" s="5" t="str">
        <f>IFERROR(__xludf.DUMMYFUNCTION("""COMPUTED_VALUE"""),"")</f>
        <v/>
      </c>
    </row>
    <row r="420">
      <c r="G420" s="5" t="str">
        <f>IFERROR(__xludf.DUMMYFUNCTION("""COMPUTED_VALUE"""),"")</f>
        <v/>
      </c>
    </row>
    <row r="421">
      <c r="G421" s="5" t="str">
        <f>IFERROR(__xludf.DUMMYFUNCTION("""COMPUTED_VALUE"""),"")</f>
        <v/>
      </c>
    </row>
    <row r="422">
      <c r="G422" s="5" t="str">
        <f>IFERROR(__xludf.DUMMYFUNCTION("""COMPUTED_VALUE"""),"")</f>
        <v/>
      </c>
    </row>
    <row r="423">
      <c r="G423" s="5" t="str">
        <f>IFERROR(__xludf.DUMMYFUNCTION("""COMPUTED_VALUE"""),"")</f>
        <v/>
      </c>
    </row>
    <row r="424">
      <c r="G424" s="5" t="str">
        <f>IFERROR(__xludf.DUMMYFUNCTION("""COMPUTED_VALUE"""),"")</f>
        <v/>
      </c>
    </row>
    <row r="425">
      <c r="G425" s="5" t="str">
        <f>IFERROR(__xludf.DUMMYFUNCTION("""COMPUTED_VALUE"""),"")</f>
        <v/>
      </c>
    </row>
    <row r="426">
      <c r="G426" s="5" t="str">
        <f>IFERROR(__xludf.DUMMYFUNCTION("""COMPUTED_VALUE"""),"")</f>
        <v/>
      </c>
    </row>
    <row r="427">
      <c r="G427" s="5" t="str">
        <f>IFERROR(__xludf.DUMMYFUNCTION("""COMPUTED_VALUE"""),"")</f>
        <v/>
      </c>
    </row>
    <row r="428">
      <c r="G428" s="5" t="str">
        <f>IFERROR(__xludf.DUMMYFUNCTION("""COMPUTED_VALUE"""),"")</f>
        <v/>
      </c>
    </row>
    <row r="429">
      <c r="G429" s="5" t="str">
        <f>IFERROR(__xludf.DUMMYFUNCTION("""COMPUTED_VALUE"""),"")</f>
        <v/>
      </c>
    </row>
    <row r="430">
      <c r="G430" s="5" t="str">
        <f>IFERROR(__xludf.DUMMYFUNCTION("""COMPUTED_VALUE"""),"")</f>
        <v/>
      </c>
    </row>
    <row r="431">
      <c r="G431" s="5" t="str">
        <f>IFERROR(__xludf.DUMMYFUNCTION("""COMPUTED_VALUE"""),"")</f>
        <v/>
      </c>
    </row>
    <row r="432">
      <c r="G432" s="5" t="str">
        <f>IFERROR(__xludf.DUMMYFUNCTION("""COMPUTED_VALUE"""),"")</f>
        <v/>
      </c>
    </row>
    <row r="433">
      <c r="G433" s="5" t="str">
        <f>IFERROR(__xludf.DUMMYFUNCTION("""COMPUTED_VALUE"""),"")</f>
        <v/>
      </c>
    </row>
    <row r="434">
      <c r="G434" s="5" t="str">
        <f>IFERROR(__xludf.DUMMYFUNCTION("""COMPUTED_VALUE"""),"")</f>
        <v/>
      </c>
    </row>
    <row r="435">
      <c r="G435" s="5" t="str">
        <f>IFERROR(__xludf.DUMMYFUNCTION("""COMPUTED_VALUE"""),"")</f>
        <v/>
      </c>
    </row>
    <row r="436">
      <c r="G436" s="5" t="str">
        <f>IFERROR(__xludf.DUMMYFUNCTION("""COMPUTED_VALUE"""),"")</f>
        <v/>
      </c>
    </row>
    <row r="437">
      <c r="G437" s="5" t="str">
        <f>IFERROR(__xludf.DUMMYFUNCTION("""COMPUTED_VALUE"""),"")</f>
        <v/>
      </c>
    </row>
    <row r="438">
      <c r="G438" s="5" t="str">
        <f>IFERROR(__xludf.DUMMYFUNCTION("""COMPUTED_VALUE"""),"")</f>
        <v/>
      </c>
    </row>
    <row r="439">
      <c r="G439" s="5" t="str">
        <f>IFERROR(__xludf.DUMMYFUNCTION("""COMPUTED_VALUE"""),"")</f>
        <v/>
      </c>
    </row>
    <row r="440">
      <c r="G440" s="5" t="str">
        <f>IFERROR(__xludf.DUMMYFUNCTION("""COMPUTED_VALUE"""),"")</f>
        <v/>
      </c>
    </row>
    <row r="441">
      <c r="G441" s="5" t="str">
        <f>IFERROR(__xludf.DUMMYFUNCTION("""COMPUTED_VALUE"""),"")</f>
        <v/>
      </c>
    </row>
    <row r="442">
      <c r="G442" s="5" t="str">
        <f>IFERROR(__xludf.DUMMYFUNCTION("""COMPUTED_VALUE"""),"")</f>
        <v/>
      </c>
    </row>
    <row r="443">
      <c r="G443" s="5" t="str">
        <f>IFERROR(__xludf.DUMMYFUNCTION("""COMPUTED_VALUE"""),"")</f>
        <v/>
      </c>
    </row>
    <row r="444">
      <c r="G444" s="5" t="str">
        <f>IFERROR(__xludf.DUMMYFUNCTION("""COMPUTED_VALUE"""),"")</f>
        <v/>
      </c>
    </row>
    <row r="445">
      <c r="G445" s="5" t="str">
        <f>IFERROR(__xludf.DUMMYFUNCTION("""COMPUTED_VALUE"""),"")</f>
        <v/>
      </c>
    </row>
    <row r="446">
      <c r="G446" s="5" t="str">
        <f>IFERROR(__xludf.DUMMYFUNCTION("""COMPUTED_VALUE"""),"")</f>
        <v/>
      </c>
    </row>
    <row r="447">
      <c r="G447" s="5" t="str">
        <f>IFERROR(__xludf.DUMMYFUNCTION("""COMPUTED_VALUE"""),"")</f>
        <v/>
      </c>
    </row>
    <row r="448">
      <c r="G448" s="5" t="str">
        <f>IFERROR(__xludf.DUMMYFUNCTION("""COMPUTED_VALUE"""),"")</f>
        <v/>
      </c>
    </row>
    <row r="449">
      <c r="G449" s="5" t="str">
        <f>IFERROR(__xludf.DUMMYFUNCTION("""COMPUTED_VALUE"""),"")</f>
        <v/>
      </c>
    </row>
    <row r="450">
      <c r="G450" s="5" t="str">
        <f>IFERROR(__xludf.DUMMYFUNCTION("""COMPUTED_VALUE"""),"")</f>
        <v/>
      </c>
    </row>
    <row r="451">
      <c r="G451" s="5" t="str">
        <f>IFERROR(__xludf.DUMMYFUNCTION("""COMPUTED_VALUE"""),"")</f>
        <v/>
      </c>
    </row>
    <row r="452">
      <c r="G452" s="5" t="str">
        <f>IFERROR(__xludf.DUMMYFUNCTION("""COMPUTED_VALUE"""),"")</f>
        <v/>
      </c>
    </row>
    <row r="453">
      <c r="G453" s="5" t="str">
        <f>IFERROR(__xludf.DUMMYFUNCTION("""COMPUTED_VALUE"""),"")</f>
        <v/>
      </c>
    </row>
    <row r="454">
      <c r="G454" s="5" t="str">
        <f>IFERROR(__xludf.DUMMYFUNCTION("""COMPUTED_VALUE"""),"")</f>
        <v/>
      </c>
    </row>
    <row r="455">
      <c r="G455" s="5" t="str">
        <f>IFERROR(__xludf.DUMMYFUNCTION("""COMPUTED_VALUE"""),"")</f>
        <v/>
      </c>
    </row>
    <row r="456">
      <c r="G456" s="5" t="str">
        <f>IFERROR(__xludf.DUMMYFUNCTION("""COMPUTED_VALUE"""),"")</f>
        <v/>
      </c>
    </row>
    <row r="457">
      <c r="G457" s="5" t="str">
        <f>IFERROR(__xludf.DUMMYFUNCTION("""COMPUTED_VALUE"""),"")</f>
        <v/>
      </c>
    </row>
    <row r="458">
      <c r="G458" s="5" t="str">
        <f>IFERROR(__xludf.DUMMYFUNCTION("""COMPUTED_VALUE"""),"")</f>
        <v/>
      </c>
    </row>
    <row r="459">
      <c r="G459" s="5" t="str">
        <f>IFERROR(__xludf.DUMMYFUNCTION("""COMPUTED_VALUE"""),"")</f>
        <v/>
      </c>
    </row>
    <row r="460">
      <c r="G460" s="5" t="str">
        <f>IFERROR(__xludf.DUMMYFUNCTION("""COMPUTED_VALUE"""),"")</f>
        <v/>
      </c>
    </row>
    <row r="461">
      <c r="G461" s="5" t="str">
        <f>IFERROR(__xludf.DUMMYFUNCTION("""COMPUTED_VALUE"""),"")</f>
        <v/>
      </c>
    </row>
    <row r="462">
      <c r="G462" s="5" t="str">
        <f>IFERROR(__xludf.DUMMYFUNCTION("""COMPUTED_VALUE"""),"")</f>
        <v/>
      </c>
    </row>
    <row r="463">
      <c r="G463" s="5" t="str">
        <f>IFERROR(__xludf.DUMMYFUNCTION("""COMPUTED_VALUE"""),"")</f>
        <v/>
      </c>
    </row>
    <row r="464">
      <c r="G464" s="5" t="str">
        <f>IFERROR(__xludf.DUMMYFUNCTION("""COMPUTED_VALUE"""),"")</f>
        <v/>
      </c>
    </row>
    <row r="465">
      <c r="G465" s="5" t="str">
        <f>IFERROR(__xludf.DUMMYFUNCTION("""COMPUTED_VALUE"""),"")</f>
        <v/>
      </c>
    </row>
    <row r="466">
      <c r="G466" s="5" t="str">
        <f>IFERROR(__xludf.DUMMYFUNCTION("""COMPUTED_VALUE"""),"")</f>
        <v/>
      </c>
    </row>
    <row r="467">
      <c r="G467" s="5" t="str">
        <f>IFERROR(__xludf.DUMMYFUNCTION("""COMPUTED_VALUE"""),"")</f>
        <v/>
      </c>
    </row>
    <row r="468">
      <c r="G468" s="5" t="str">
        <f>IFERROR(__xludf.DUMMYFUNCTION("""COMPUTED_VALUE"""),"")</f>
        <v/>
      </c>
    </row>
    <row r="469">
      <c r="G469" s="5" t="str">
        <f>IFERROR(__xludf.DUMMYFUNCTION("""COMPUTED_VALUE"""),"")</f>
        <v/>
      </c>
    </row>
    <row r="470">
      <c r="G470" s="5" t="str">
        <f>IFERROR(__xludf.DUMMYFUNCTION("""COMPUTED_VALUE"""),"")</f>
        <v/>
      </c>
    </row>
    <row r="471">
      <c r="G471" s="5" t="str">
        <f>IFERROR(__xludf.DUMMYFUNCTION("""COMPUTED_VALUE"""),"")</f>
        <v/>
      </c>
    </row>
    <row r="472">
      <c r="G472" s="5" t="str">
        <f>IFERROR(__xludf.DUMMYFUNCTION("""COMPUTED_VALUE"""),"")</f>
        <v/>
      </c>
    </row>
    <row r="473">
      <c r="G473" s="5" t="str">
        <f>IFERROR(__xludf.DUMMYFUNCTION("""COMPUTED_VALUE"""),"")</f>
        <v/>
      </c>
    </row>
    <row r="474">
      <c r="G474" s="5" t="str">
        <f>IFERROR(__xludf.DUMMYFUNCTION("""COMPUTED_VALUE"""),"")</f>
        <v/>
      </c>
    </row>
    <row r="475">
      <c r="G475" s="5" t="str">
        <f>IFERROR(__xludf.DUMMYFUNCTION("""COMPUTED_VALUE"""),"")</f>
        <v/>
      </c>
    </row>
    <row r="476">
      <c r="G476" s="5" t="str">
        <f>IFERROR(__xludf.DUMMYFUNCTION("""COMPUTED_VALUE"""),"")</f>
        <v/>
      </c>
    </row>
    <row r="477">
      <c r="G477" s="5" t="str">
        <f>IFERROR(__xludf.DUMMYFUNCTION("""COMPUTED_VALUE"""),"")</f>
        <v/>
      </c>
    </row>
    <row r="478">
      <c r="G478" s="5" t="str">
        <f>IFERROR(__xludf.DUMMYFUNCTION("""COMPUTED_VALUE"""),"")</f>
        <v/>
      </c>
    </row>
    <row r="479">
      <c r="G479" s="5" t="str">
        <f>IFERROR(__xludf.DUMMYFUNCTION("""COMPUTED_VALUE"""),"")</f>
        <v/>
      </c>
    </row>
    <row r="480">
      <c r="G480" s="5" t="str">
        <f>IFERROR(__xludf.DUMMYFUNCTION("""COMPUTED_VALUE"""),"")</f>
        <v/>
      </c>
    </row>
    <row r="481">
      <c r="G481" s="5" t="str">
        <f>IFERROR(__xludf.DUMMYFUNCTION("""COMPUTED_VALUE"""),"")</f>
        <v/>
      </c>
    </row>
    <row r="482">
      <c r="G482" s="5" t="str">
        <f>IFERROR(__xludf.DUMMYFUNCTION("""COMPUTED_VALUE"""),"")</f>
        <v/>
      </c>
    </row>
    <row r="483">
      <c r="G483" s="5" t="str">
        <f>IFERROR(__xludf.DUMMYFUNCTION("""COMPUTED_VALUE"""),"")</f>
        <v/>
      </c>
    </row>
    <row r="484">
      <c r="G484" s="5" t="str">
        <f>IFERROR(__xludf.DUMMYFUNCTION("""COMPUTED_VALUE"""),"")</f>
        <v/>
      </c>
    </row>
    <row r="485">
      <c r="G485" s="5" t="str">
        <f>IFERROR(__xludf.DUMMYFUNCTION("""COMPUTED_VALUE"""),"")</f>
        <v/>
      </c>
    </row>
    <row r="486">
      <c r="G486" s="5" t="str">
        <f>IFERROR(__xludf.DUMMYFUNCTION("""COMPUTED_VALUE"""),"")</f>
        <v/>
      </c>
    </row>
    <row r="487">
      <c r="G487" s="5" t="str">
        <f>IFERROR(__xludf.DUMMYFUNCTION("""COMPUTED_VALUE"""),"")</f>
        <v/>
      </c>
    </row>
    <row r="488">
      <c r="G488" s="5" t="str">
        <f>IFERROR(__xludf.DUMMYFUNCTION("""COMPUTED_VALUE"""),"")</f>
        <v/>
      </c>
    </row>
    <row r="489">
      <c r="G489" s="5" t="str">
        <f>IFERROR(__xludf.DUMMYFUNCTION("""COMPUTED_VALUE"""),"")</f>
        <v/>
      </c>
    </row>
    <row r="490">
      <c r="G490" s="5" t="str">
        <f>IFERROR(__xludf.DUMMYFUNCTION("""COMPUTED_VALUE"""),"")</f>
        <v/>
      </c>
    </row>
    <row r="491">
      <c r="G491" s="5" t="str">
        <f>IFERROR(__xludf.DUMMYFUNCTION("""COMPUTED_VALUE"""),"")</f>
        <v/>
      </c>
    </row>
    <row r="492">
      <c r="G492" s="5" t="str">
        <f>IFERROR(__xludf.DUMMYFUNCTION("""COMPUTED_VALUE"""),"")</f>
        <v/>
      </c>
    </row>
    <row r="493">
      <c r="G493" s="5" t="str">
        <f>IFERROR(__xludf.DUMMYFUNCTION("""COMPUTED_VALUE"""),"")</f>
        <v/>
      </c>
    </row>
    <row r="494">
      <c r="G494" s="5" t="str">
        <f>IFERROR(__xludf.DUMMYFUNCTION("""COMPUTED_VALUE"""),"")</f>
        <v/>
      </c>
    </row>
    <row r="495">
      <c r="G495" s="5" t="str">
        <f>IFERROR(__xludf.DUMMYFUNCTION("""COMPUTED_VALUE"""),"")</f>
        <v/>
      </c>
    </row>
    <row r="496">
      <c r="G496" s="5" t="str">
        <f>IFERROR(__xludf.DUMMYFUNCTION("""COMPUTED_VALUE"""),"")</f>
        <v/>
      </c>
    </row>
    <row r="497">
      <c r="G497" s="5" t="str">
        <f>IFERROR(__xludf.DUMMYFUNCTION("""COMPUTED_VALUE"""),"")</f>
        <v/>
      </c>
    </row>
    <row r="498">
      <c r="G498" s="5" t="str">
        <f>IFERROR(__xludf.DUMMYFUNCTION("""COMPUTED_VALUE"""),"")</f>
        <v/>
      </c>
    </row>
    <row r="499">
      <c r="G499" s="5" t="str">
        <f>IFERROR(__xludf.DUMMYFUNCTION("""COMPUTED_VALUE"""),"")</f>
        <v/>
      </c>
    </row>
    <row r="500">
      <c r="G500" s="5" t="str">
        <f>IFERROR(__xludf.DUMMYFUNCTION("""COMPUTED_VALUE"""),"")</f>
        <v/>
      </c>
    </row>
    <row r="501">
      <c r="G501" s="5" t="str">
        <f>IFERROR(__xludf.DUMMYFUNCTION("""COMPUTED_VALUE"""),"")</f>
        <v/>
      </c>
    </row>
    <row r="502">
      <c r="G502" s="5" t="str">
        <f>IFERROR(__xludf.DUMMYFUNCTION("""COMPUTED_VALUE"""),"")</f>
        <v/>
      </c>
    </row>
    <row r="503">
      <c r="G503" s="5" t="str">
        <f>IFERROR(__xludf.DUMMYFUNCTION("""COMPUTED_VALUE"""),"")</f>
        <v/>
      </c>
    </row>
    <row r="504">
      <c r="G504" s="5" t="str">
        <f>IFERROR(__xludf.DUMMYFUNCTION("""COMPUTED_VALUE"""),"")</f>
        <v/>
      </c>
    </row>
    <row r="505">
      <c r="G505" s="5" t="str">
        <f>IFERROR(__xludf.DUMMYFUNCTION("""COMPUTED_VALUE"""),"")</f>
        <v/>
      </c>
    </row>
    <row r="506">
      <c r="G506" s="5" t="str">
        <f>IFERROR(__xludf.DUMMYFUNCTION("""COMPUTED_VALUE"""),"")</f>
        <v/>
      </c>
    </row>
    <row r="507">
      <c r="G507" s="5" t="str">
        <f>IFERROR(__xludf.DUMMYFUNCTION("""COMPUTED_VALUE"""),"")</f>
        <v/>
      </c>
    </row>
    <row r="508">
      <c r="G508" s="5" t="str">
        <f>IFERROR(__xludf.DUMMYFUNCTION("""COMPUTED_VALUE"""),"")</f>
        <v/>
      </c>
    </row>
    <row r="509">
      <c r="G509" s="5" t="str">
        <f>IFERROR(__xludf.DUMMYFUNCTION("""COMPUTED_VALUE"""),"")</f>
        <v/>
      </c>
    </row>
    <row r="510">
      <c r="G510" s="5" t="str">
        <f>IFERROR(__xludf.DUMMYFUNCTION("""COMPUTED_VALUE"""),"")</f>
        <v/>
      </c>
    </row>
    <row r="511">
      <c r="G511" s="5" t="str">
        <f>IFERROR(__xludf.DUMMYFUNCTION("""COMPUTED_VALUE"""),"")</f>
        <v/>
      </c>
    </row>
    <row r="512">
      <c r="G512" s="5" t="str">
        <f>IFERROR(__xludf.DUMMYFUNCTION("""COMPUTED_VALUE"""),"")</f>
        <v/>
      </c>
    </row>
    <row r="513">
      <c r="G513" s="5" t="str">
        <f>IFERROR(__xludf.DUMMYFUNCTION("""COMPUTED_VALUE"""),"")</f>
        <v/>
      </c>
    </row>
    <row r="514">
      <c r="G514" s="5" t="str">
        <f>IFERROR(__xludf.DUMMYFUNCTION("""COMPUTED_VALUE"""),"")</f>
        <v/>
      </c>
    </row>
    <row r="515">
      <c r="G515" s="5" t="str">
        <f>IFERROR(__xludf.DUMMYFUNCTION("""COMPUTED_VALUE"""),"")</f>
        <v/>
      </c>
    </row>
    <row r="516">
      <c r="G516" s="5" t="str">
        <f>IFERROR(__xludf.DUMMYFUNCTION("""COMPUTED_VALUE"""),"")</f>
        <v/>
      </c>
    </row>
    <row r="517">
      <c r="G517" s="5" t="str">
        <f>IFERROR(__xludf.DUMMYFUNCTION("""COMPUTED_VALUE"""),"")</f>
        <v/>
      </c>
    </row>
    <row r="518">
      <c r="G518" s="5" t="str">
        <f>IFERROR(__xludf.DUMMYFUNCTION("""COMPUTED_VALUE"""),"")</f>
        <v/>
      </c>
    </row>
    <row r="519">
      <c r="G519" s="5" t="str">
        <f>IFERROR(__xludf.DUMMYFUNCTION("""COMPUTED_VALUE"""),"")</f>
        <v/>
      </c>
    </row>
    <row r="520">
      <c r="G520" s="5" t="str">
        <f>IFERROR(__xludf.DUMMYFUNCTION("""COMPUTED_VALUE"""),"")</f>
        <v/>
      </c>
    </row>
    <row r="521">
      <c r="G521" s="5" t="str">
        <f>IFERROR(__xludf.DUMMYFUNCTION("""COMPUTED_VALUE"""),"")</f>
        <v/>
      </c>
    </row>
    <row r="522">
      <c r="G522" s="5" t="str">
        <f>IFERROR(__xludf.DUMMYFUNCTION("""COMPUTED_VALUE"""),"")</f>
        <v/>
      </c>
    </row>
    <row r="523">
      <c r="G523" s="5" t="str">
        <f>IFERROR(__xludf.DUMMYFUNCTION("""COMPUTED_VALUE"""),"")</f>
        <v/>
      </c>
    </row>
    <row r="524">
      <c r="G524" s="5" t="str">
        <f>IFERROR(__xludf.DUMMYFUNCTION("""COMPUTED_VALUE"""),"")</f>
        <v/>
      </c>
    </row>
    <row r="525">
      <c r="G525" s="5" t="str">
        <f>IFERROR(__xludf.DUMMYFUNCTION("""COMPUTED_VALUE"""),"")</f>
        <v/>
      </c>
    </row>
    <row r="526">
      <c r="G526" s="5" t="str">
        <f>IFERROR(__xludf.DUMMYFUNCTION("""COMPUTED_VALUE"""),"")</f>
        <v/>
      </c>
    </row>
    <row r="527">
      <c r="G527" s="5" t="str">
        <f>IFERROR(__xludf.DUMMYFUNCTION("""COMPUTED_VALUE"""),"")</f>
        <v/>
      </c>
    </row>
    <row r="528">
      <c r="G528" s="5" t="str">
        <f>IFERROR(__xludf.DUMMYFUNCTION("""COMPUTED_VALUE"""),"")</f>
        <v/>
      </c>
    </row>
    <row r="529">
      <c r="G529" s="5" t="str">
        <f>IFERROR(__xludf.DUMMYFUNCTION("""COMPUTED_VALUE"""),"")</f>
        <v/>
      </c>
    </row>
    <row r="530">
      <c r="G530" s="5" t="str">
        <f>IFERROR(__xludf.DUMMYFUNCTION("""COMPUTED_VALUE"""),"")</f>
        <v/>
      </c>
    </row>
    <row r="531">
      <c r="G531" s="5" t="str">
        <f>IFERROR(__xludf.DUMMYFUNCTION("""COMPUTED_VALUE"""),"")</f>
        <v/>
      </c>
    </row>
    <row r="532">
      <c r="G532" s="5" t="str">
        <f>IFERROR(__xludf.DUMMYFUNCTION("""COMPUTED_VALUE"""),"")</f>
        <v/>
      </c>
    </row>
    <row r="533">
      <c r="G533" s="5" t="str">
        <f>IFERROR(__xludf.DUMMYFUNCTION("""COMPUTED_VALUE"""),"")</f>
        <v/>
      </c>
    </row>
    <row r="534">
      <c r="G534" s="5" t="str">
        <f>IFERROR(__xludf.DUMMYFUNCTION("""COMPUTED_VALUE"""),"")</f>
        <v/>
      </c>
    </row>
    <row r="535">
      <c r="G535" s="5" t="str">
        <f>IFERROR(__xludf.DUMMYFUNCTION("""COMPUTED_VALUE"""),"")</f>
        <v/>
      </c>
    </row>
    <row r="536">
      <c r="G536" s="5" t="str">
        <f>IFERROR(__xludf.DUMMYFUNCTION("""COMPUTED_VALUE"""),"")</f>
        <v/>
      </c>
    </row>
    <row r="537">
      <c r="G537" s="5" t="str">
        <f>IFERROR(__xludf.DUMMYFUNCTION("""COMPUTED_VALUE"""),"")</f>
        <v/>
      </c>
    </row>
    <row r="538">
      <c r="G538" s="5" t="str">
        <f>IFERROR(__xludf.DUMMYFUNCTION("""COMPUTED_VALUE"""),"")</f>
        <v/>
      </c>
    </row>
    <row r="539">
      <c r="G539" s="5" t="str">
        <f>IFERROR(__xludf.DUMMYFUNCTION("""COMPUTED_VALUE"""),"")</f>
        <v/>
      </c>
    </row>
    <row r="540">
      <c r="G540" s="5" t="str">
        <f>IFERROR(__xludf.DUMMYFUNCTION("""COMPUTED_VALUE"""),"")</f>
        <v/>
      </c>
    </row>
    <row r="541">
      <c r="G541" s="5" t="str">
        <f>IFERROR(__xludf.DUMMYFUNCTION("""COMPUTED_VALUE"""),"")</f>
        <v/>
      </c>
    </row>
    <row r="542">
      <c r="G542" s="5" t="str">
        <f>IFERROR(__xludf.DUMMYFUNCTION("""COMPUTED_VALUE"""),"")</f>
        <v/>
      </c>
    </row>
    <row r="543">
      <c r="G543" s="5" t="str">
        <f>IFERROR(__xludf.DUMMYFUNCTION("""COMPUTED_VALUE"""),"")</f>
        <v/>
      </c>
    </row>
    <row r="544">
      <c r="G544" s="5" t="str">
        <f>IFERROR(__xludf.DUMMYFUNCTION("""COMPUTED_VALUE"""),"")</f>
        <v/>
      </c>
    </row>
    <row r="545">
      <c r="G545" s="5" t="str">
        <f>IFERROR(__xludf.DUMMYFUNCTION("""COMPUTED_VALUE"""),"")</f>
        <v/>
      </c>
    </row>
    <row r="546">
      <c r="G546" s="5" t="str">
        <f>IFERROR(__xludf.DUMMYFUNCTION("""COMPUTED_VALUE"""),"")</f>
        <v/>
      </c>
    </row>
    <row r="547">
      <c r="G547" s="5" t="str">
        <f>IFERROR(__xludf.DUMMYFUNCTION("""COMPUTED_VALUE"""),"")</f>
        <v/>
      </c>
    </row>
    <row r="548">
      <c r="G548" s="5" t="str">
        <f>IFERROR(__xludf.DUMMYFUNCTION("""COMPUTED_VALUE"""),"")</f>
        <v/>
      </c>
    </row>
    <row r="549">
      <c r="G549" s="5" t="str">
        <f>IFERROR(__xludf.DUMMYFUNCTION("""COMPUTED_VALUE"""),"")</f>
        <v/>
      </c>
    </row>
    <row r="550">
      <c r="G550" s="5" t="str">
        <f>IFERROR(__xludf.DUMMYFUNCTION("""COMPUTED_VALUE"""),"")</f>
        <v/>
      </c>
    </row>
    <row r="551">
      <c r="G551" s="5" t="str">
        <f>IFERROR(__xludf.DUMMYFUNCTION("""COMPUTED_VALUE"""),"")</f>
        <v/>
      </c>
    </row>
    <row r="552">
      <c r="G552" s="5" t="str">
        <f>IFERROR(__xludf.DUMMYFUNCTION("""COMPUTED_VALUE"""),"")</f>
        <v/>
      </c>
    </row>
    <row r="553">
      <c r="G553" s="5" t="str">
        <f>IFERROR(__xludf.DUMMYFUNCTION("""COMPUTED_VALUE"""),"")</f>
        <v/>
      </c>
    </row>
    <row r="554">
      <c r="G554" s="5" t="str">
        <f>IFERROR(__xludf.DUMMYFUNCTION("""COMPUTED_VALUE"""),"")</f>
        <v/>
      </c>
    </row>
    <row r="555">
      <c r="G555" s="5" t="str">
        <f>IFERROR(__xludf.DUMMYFUNCTION("""COMPUTED_VALUE"""),"")</f>
        <v/>
      </c>
    </row>
    <row r="556">
      <c r="G556" s="5" t="str">
        <f>IFERROR(__xludf.DUMMYFUNCTION("""COMPUTED_VALUE"""),"")</f>
        <v/>
      </c>
    </row>
    <row r="557">
      <c r="G557" s="5" t="str">
        <f>IFERROR(__xludf.DUMMYFUNCTION("""COMPUTED_VALUE"""),"")</f>
        <v/>
      </c>
    </row>
    <row r="558">
      <c r="G558" s="5" t="str">
        <f>IFERROR(__xludf.DUMMYFUNCTION("""COMPUTED_VALUE"""),"")</f>
        <v/>
      </c>
    </row>
    <row r="559">
      <c r="G559" s="5" t="str">
        <f>IFERROR(__xludf.DUMMYFUNCTION("""COMPUTED_VALUE"""),"")</f>
        <v/>
      </c>
    </row>
    <row r="560">
      <c r="G560" s="5" t="str">
        <f>IFERROR(__xludf.DUMMYFUNCTION("""COMPUTED_VALUE"""),"")</f>
        <v/>
      </c>
    </row>
    <row r="561">
      <c r="G561" s="5" t="str">
        <f>IFERROR(__xludf.DUMMYFUNCTION("""COMPUTED_VALUE"""),"")</f>
        <v/>
      </c>
    </row>
    <row r="562">
      <c r="G562" s="5" t="str">
        <f>IFERROR(__xludf.DUMMYFUNCTION("""COMPUTED_VALUE"""),"")</f>
        <v/>
      </c>
    </row>
    <row r="563">
      <c r="G563" s="5" t="str">
        <f>IFERROR(__xludf.DUMMYFUNCTION("""COMPUTED_VALUE"""),"")</f>
        <v/>
      </c>
    </row>
    <row r="564">
      <c r="G564" s="5" t="str">
        <f>IFERROR(__xludf.DUMMYFUNCTION("""COMPUTED_VALUE"""),"")</f>
        <v/>
      </c>
    </row>
    <row r="565">
      <c r="G565" s="5" t="str">
        <f>IFERROR(__xludf.DUMMYFUNCTION("""COMPUTED_VALUE"""),"")</f>
        <v/>
      </c>
    </row>
    <row r="566">
      <c r="G566" s="5" t="str">
        <f>IFERROR(__xludf.DUMMYFUNCTION("""COMPUTED_VALUE"""),"")</f>
        <v/>
      </c>
    </row>
    <row r="567">
      <c r="G567" s="5" t="str">
        <f>IFERROR(__xludf.DUMMYFUNCTION("""COMPUTED_VALUE"""),"")</f>
        <v/>
      </c>
    </row>
    <row r="568">
      <c r="G568" s="5" t="str">
        <f>IFERROR(__xludf.DUMMYFUNCTION("""COMPUTED_VALUE"""),"")</f>
        <v/>
      </c>
    </row>
    <row r="569">
      <c r="G569" s="5" t="str">
        <f>IFERROR(__xludf.DUMMYFUNCTION("""COMPUTED_VALUE"""),"")</f>
        <v/>
      </c>
    </row>
    <row r="570">
      <c r="G570" s="5" t="str">
        <f>IFERROR(__xludf.DUMMYFUNCTION("""COMPUTED_VALUE"""),"")</f>
        <v/>
      </c>
    </row>
    <row r="571">
      <c r="G571" s="5" t="str">
        <f>IFERROR(__xludf.DUMMYFUNCTION("""COMPUTED_VALUE"""),"")</f>
        <v/>
      </c>
    </row>
    <row r="572">
      <c r="G572" s="5" t="str">
        <f>IFERROR(__xludf.DUMMYFUNCTION("""COMPUTED_VALUE"""),"")</f>
        <v/>
      </c>
    </row>
    <row r="573">
      <c r="G573" s="5" t="str">
        <f>IFERROR(__xludf.DUMMYFUNCTION("""COMPUTED_VALUE"""),"")</f>
        <v/>
      </c>
    </row>
    <row r="574">
      <c r="G574" s="5" t="str">
        <f>IFERROR(__xludf.DUMMYFUNCTION("""COMPUTED_VALUE"""),"")</f>
        <v/>
      </c>
    </row>
    <row r="575">
      <c r="G575" s="5" t="str">
        <f>IFERROR(__xludf.DUMMYFUNCTION("""COMPUTED_VALUE"""),"")</f>
        <v/>
      </c>
    </row>
    <row r="576">
      <c r="G576" s="5" t="str">
        <f>IFERROR(__xludf.DUMMYFUNCTION("""COMPUTED_VALUE"""),"")</f>
        <v/>
      </c>
    </row>
    <row r="577">
      <c r="G577" s="5" t="str">
        <f>IFERROR(__xludf.DUMMYFUNCTION("""COMPUTED_VALUE"""),"")</f>
        <v/>
      </c>
    </row>
    <row r="578">
      <c r="G578" s="5" t="str">
        <f>IFERROR(__xludf.DUMMYFUNCTION("""COMPUTED_VALUE"""),"")</f>
        <v/>
      </c>
    </row>
    <row r="579">
      <c r="G579" s="5" t="str">
        <f>IFERROR(__xludf.DUMMYFUNCTION("""COMPUTED_VALUE"""),"")</f>
        <v/>
      </c>
    </row>
    <row r="580">
      <c r="G580" s="5" t="str">
        <f>IFERROR(__xludf.DUMMYFUNCTION("""COMPUTED_VALUE"""),"")</f>
        <v/>
      </c>
    </row>
    <row r="581">
      <c r="G581" s="5" t="str">
        <f>IFERROR(__xludf.DUMMYFUNCTION("""COMPUTED_VALUE"""),"")</f>
        <v/>
      </c>
    </row>
    <row r="582">
      <c r="G582" s="5" t="str">
        <f>IFERROR(__xludf.DUMMYFUNCTION("""COMPUTED_VALUE"""),"")</f>
        <v/>
      </c>
    </row>
    <row r="583">
      <c r="G583" s="5" t="str">
        <f>IFERROR(__xludf.DUMMYFUNCTION("""COMPUTED_VALUE"""),"")</f>
        <v/>
      </c>
    </row>
    <row r="584">
      <c r="G584" s="5" t="str">
        <f>IFERROR(__xludf.DUMMYFUNCTION("""COMPUTED_VALUE"""),"")</f>
        <v/>
      </c>
    </row>
    <row r="585">
      <c r="G585" s="5" t="str">
        <f>IFERROR(__xludf.DUMMYFUNCTION("""COMPUTED_VALUE"""),"")</f>
        <v/>
      </c>
    </row>
    <row r="586">
      <c r="G586" s="5" t="str">
        <f>IFERROR(__xludf.DUMMYFUNCTION("""COMPUTED_VALUE"""),"")</f>
        <v/>
      </c>
    </row>
    <row r="587">
      <c r="G587" s="5" t="str">
        <f>IFERROR(__xludf.DUMMYFUNCTION("""COMPUTED_VALUE"""),"")</f>
        <v/>
      </c>
    </row>
    <row r="588">
      <c r="G588" s="5" t="str">
        <f>IFERROR(__xludf.DUMMYFUNCTION("""COMPUTED_VALUE"""),"")</f>
        <v/>
      </c>
    </row>
    <row r="589">
      <c r="G589" s="5" t="str">
        <f>IFERROR(__xludf.DUMMYFUNCTION("""COMPUTED_VALUE"""),"")</f>
        <v/>
      </c>
    </row>
    <row r="590">
      <c r="G590" s="5" t="str">
        <f>IFERROR(__xludf.DUMMYFUNCTION("""COMPUTED_VALUE"""),"")</f>
        <v/>
      </c>
    </row>
    <row r="591">
      <c r="G591" s="5" t="str">
        <f>IFERROR(__xludf.DUMMYFUNCTION("""COMPUTED_VALUE"""),"")</f>
        <v/>
      </c>
    </row>
    <row r="592">
      <c r="G592" s="5" t="str">
        <f>IFERROR(__xludf.DUMMYFUNCTION("""COMPUTED_VALUE"""),"")</f>
        <v/>
      </c>
    </row>
    <row r="593">
      <c r="G593" s="5" t="str">
        <f>IFERROR(__xludf.DUMMYFUNCTION("""COMPUTED_VALUE"""),"")</f>
        <v/>
      </c>
    </row>
    <row r="594">
      <c r="G594" s="5" t="str">
        <f>IFERROR(__xludf.DUMMYFUNCTION("""COMPUTED_VALUE"""),"")</f>
        <v/>
      </c>
    </row>
    <row r="595">
      <c r="G595" s="5" t="str">
        <f>IFERROR(__xludf.DUMMYFUNCTION("""COMPUTED_VALUE"""),"")</f>
        <v/>
      </c>
    </row>
    <row r="596">
      <c r="G596" s="5" t="str">
        <f>IFERROR(__xludf.DUMMYFUNCTION("""COMPUTED_VALUE"""),"")</f>
        <v/>
      </c>
    </row>
    <row r="597">
      <c r="G597" s="5" t="str">
        <f>IFERROR(__xludf.DUMMYFUNCTION("""COMPUTED_VALUE"""),"")</f>
        <v/>
      </c>
    </row>
    <row r="598">
      <c r="G598" s="5" t="str">
        <f>IFERROR(__xludf.DUMMYFUNCTION("""COMPUTED_VALUE"""),"")</f>
        <v/>
      </c>
    </row>
    <row r="599">
      <c r="G599" s="5" t="str">
        <f>IFERROR(__xludf.DUMMYFUNCTION("""COMPUTED_VALUE"""),"")</f>
        <v/>
      </c>
    </row>
    <row r="600">
      <c r="G600" s="5" t="str">
        <f>IFERROR(__xludf.DUMMYFUNCTION("""COMPUTED_VALUE"""),"")</f>
        <v/>
      </c>
    </row>
    <row r="601">
      <c r="G601" s="5" t="str">
        <f>IFERROR(__xludf.DUMMYFUNCTION("""COMPUTED_VALUE"""),"")</f>
        <v/>
      </c>
    </row>
    <row r="602">
      <c r="G602" s="5" t="str">
        <f>IFERROR(__xludf.DUMMYFUNCTION("""COMPUTED_VALUE"""),"")</f>
        <v/>
      </c>
    </row>
    <row r="603">
      <c r="G603" s="5" t="str">
        <f>IFERROR(__xludf.DUMMYFUNCTION("""COMPUTED_VALUE"""),"")</f>
        <v/>
      </c>
    </row>
    <row r="604">
      <c r="G604" s="5" t="str">
        <f>IFERROR(__xludf.DUMMYFUNCTION("""COMPUTED_VALUE"""),"")</f>
        <v/>
      </c>
    </row>
    <row r="605">
      <c r="G605" s="5" t="str">
        <f>IFERROR(__xludf.DUMMYFUNCTION("""COMPUTED_VALUE"""),"")</f>
        <v/>
      </c>
    </row>
    <row r="606">
      <c r="G606" s="5" t="str">
        <f>IFERROR(__xludf.DUMMYFUNCTION("""COMPUTED_VALUE"""),"")</f>
        <v/>
      </c>
    </row>
    <row r="607">
      <c r="G607" s="5" t="str">
        <f>IFERROR(__xludf.DUMMYFUNCTION("""COMPUTED_VALUE"""),"")</f>
        <v/>
      </c>
    </row>
    <row r="608">
      <c r="G608" s="5" t="str">
        <f>IFERROR(__xludf.DUMMYFUNCTION("""COMPUTED_VALUE"""),"")</f>
        <v/>
      </c>
    </row>
    <row r="609">
      <c r="G609" s="5" t="str">
        <f>IFERROR(__xludf.DUMMYFUNCTION("""COMPUTED_VALUE"""),"")</f>
        <v/>
      </c>
    </row>
    <row r="610">
      <c r="G610" s="5" t="str">
        <f>IFERROR(__xludf.DUMMYFUNCTION("""COMPUTED_VALUE"""),"")</f>
        <v/>
      </c>
    </row>
    <row r="611">
      <c r="G611" s="5" t="str">
        <f>IFERROR(__xludf.DUMMYFUNCTION("""COMPUTED_VALUE"""),"")</f>
        <v/>
      </c>
    </row>
    <row r="612">
      <c r="G612" s="5" t="str">
        <f>IFERROR(__xludf.DUMMYFUNCTION("""COMPUTED_VALUE"""),"")</f>
        <v/>
      </c>
    </row>
    <row r="613">
      <c r="G613" s="5" t="str">
        <f>IFERROR(__xludf.DUMMYFUNCTION("""COMPUTED_VALUE"""),"")</f>
        <v/>
      </c>
    </row>
    <row r="614">
      <c r="G614" s="5" t="str">
        <f>IFERROR(__xludf.DUMMYFUNCTION("""COMPUTED_VALUE"""),"")</f>
        <v/>
      </c>
    </row>
    <row r="615">
      <c r="G615" s="5" t="str">
        <f>IFERROR(__xludf.DUMMYFUNCTION("""COMPUTED_VALUE"""),"")</f>
        <v/>
      </c>
    </row>
    <row r="616">
      <c r="G616" s="5" t="str">
        <f>IFERROR(__xludf.DUMMYFUNCTION("""COMPUTED_VALUE"""),"")</f>
        <v/>
      </c>
    </row>
    <row r="617">
      <c r="G617" s="5" t="str">
        <f>IFERROR(__xludf.DUMMYFUNCTION("""COMPUTED_VALUE"""),"")</f>
        <v/>
      </c>
    </row>
    <row r="618">
      <c r="G618" s="5" t="str">
        <f>IFERROR(__xludf.DUMMYFUNCTION("""COMPUTED_VALUE"""),"")</f>
        <v/>
      </c>
    </row>
    <row r="619">
      <c r="G619" s="5" t="str">
        <f>IFERROR(__xludf.DUMMYFUNCTION("""COMPUTED_VALUE"""),"")</f>
        <v/>
      </c>
    </row>
    <row r="620">
      <c r="G620" s="5" t="str">
        <f>IFERROR(__xludf.DUMMYFUNCTION("""COMPUTED_VALUE"""),"")</f>
        <v/>
      </c>
    </row>
    <row r="621">
      <c r="G621" s="5" t="str">
        <f>IFERROR(__xludf.DUMMYFUNCTION("""COMPUTED_VALUE"""),"")</f>
        <v/>
      </c>
    </row>
    <row r="622">
      <c r="G622" s="5" t="str">
        <f>IFERROR(__xludf.DUMMYFUNCTION("""COMPUTED_VALUE"""),"")</f>
        <v/>
      </c>
    </row>
    <row r="623">
      <c r="G623" s="5" t="str">
        <f>IFERROR(__xludf.DUMMYFUNCTION("""COMPUTED_VALUE"""),"")</f>
        <v/>
      </c>
    </row>
    <row r="624">
      <c r="G624" s="5" t="str">
        <f>IFERROR(__xludf.DUMMYFUNCTION("""COMPUTED_VALUE"""),"")</f>
        <v/>
      </c>
    </row>
    <row r="625">
      <c r="G625" s="5" t="str">
        <f>IFERROR(__xludf.DUMMYFUNCTION("""COMPUTED_VALUE"""),"")</f>
        <v/>
      </c>
    </row>
    <row r="626">
      <c r="G626" s="5" t="str">
        <f>IFERROR(__xludf.DUMMYFUNCTION("""COMPUTED_VALUE"""),"")</f>
        <v/>
      </c>
    </row>
    <row r="627">
      <c r="G627" s="5" t="str">
        <f>IFERROR(__xludf.DUMMYFUNCTION("""COMPUTED_VALUE"""),"")</f>
        <v/>
      </c>
    </row>
    <row r="628">
      <c r="G628" s="5" t="str">
        <f>IFERROR(__xludf.DUMMYFUNCTION("""COMPUTED_VALUE"""),"")</f>
        <v/>
      </c>
    </row>
    <row r="629">
      <c r="G629" s="5" t="str">
        <f>IFERROR(__xludf.DUMMYFUNCTION("""COMPUTED_VALUE"""),"")</f>
        <v/>
      </c>
    </row>
    <row r="630">
      <c r="G630" s="5" t="str">
        <f>IFERROR(__xludf.DUMMYFUNCTION("""COMPUTED_VALUE"""),"")</f>
        <v/>
      </c>
    </row>
    <row r="631">
      <c r="G631" s="5" t="str">
        <f>IFERROR(__xludf.DUMMYFUNCTION("""COMPUTED_VALUE"""),"")</f>
        <v/>
      </c>
    </row>
    <row r="632">
      <c r="G632" s="5" t="str">
        <f>IFERROR(__xludf.DUMMYFUNCTION("""COMPUTED_VALUE"""),"")</f>
        <v/>
      </c>
    </row>
    <row r="633">
      <c r="G633" s="5" t="str">
        <f>IFERROR(__xludf.DUMMYFUNCTION("""COMPUTED_VALUE"""),"")</f>
        <v/>
      </c>
    </row>
    <row r="634">
      <c r="G634" s="5" t="str">
        <f>IFERROR(__xludf.DUMMYFUNCTION("""COMPUTED_VALUE"""),"")</f>
        <v/>
      </c>
    </row>
    <row r="635">
      <c r="G635" s="5" t="str">
        <f>IFERROR(__xludf.DUMMYFUNCTION("""COMPUTED_VALUE"""),"")</f>
        <v/>
      </c>
    </row>
    <row r="636">
      <c r="G636" s="5" t="str">
        <f>IFERROR(__xludf.DUMMYFUNCTION("""COMPUTED_VALUE"""),"")</f>
        <v/>
      </c>
    </row>
    <row r="637">
      <c r="G637" s="5" t="str">
        <f>IFERROR(__xludf.DUMMYFUNCTION("""COMPUTED_VALUE"""),"")</f>
        <v/>
      </c>
    </row>
    <row r="638">
      <c r="G638" s="5" t="str">
        <f>IFERROR(__xludf.DUMMYFUNCTION("""COMPUTED_VALUE"""),"")</f>
        <v/>
      </c>
    </row>
    <row r="639">
      <c r="G639" s="5" t="str">
        <f>IFERROR(__xludf.DUMMYFUNCTION("""COMPUTED_VALUE"""),"")</f>
        <v/>
      </c>
    </row>
    <row r="640">
      <c r="G640" s="5" t="str">
        <f>IFERROR(__xludf.DUMMYFUNCTION("""COMPUTED_VALUE"""),"")</f>
        <v/>
      </c>
    </row>
    <row r="641">
      <c r="G641" s="5" t="str">
        <f>IFERROR(__xludf.DUMMYFUNCTION("""COMPUTED_VALUE"""),"")</f>
        <v/>
      </c>
    </row>
    <row r="642">
      <c r="G642" s="5" t="str">
        <f>IFERROR(__xludf.DUMMYFUNCTION("""COMPUTED_VALUE"""),"")</f>
        <v/>
      </c>
    </row>
    <row r="643">
      <c r="G643" s="5" t="str">
        <f>IFERROR(__xludf.DUMMYFUNCTION("""COMPUTED_VALUE"""),"")</f>
        <v/>
      </c>
    </row>
    <row r="644">
      <c r="G644" s="5" t="str">
        <f>IFERROR(__xludf.DUMMYFUNCTION("""COMPUTED_VALUE"""),"")</f>
        <v/>
      </c>
    </row>
    <row r="645">
      <c r="G645" s="5" t="str">
        <f>IFERROR(__xludf.DUMMYFUNCTION("""COMPUTED_VALUE"""),"")</f>
        <v/>
      </c>
    </row>
    <row r="646">
      <c r="G646" s="5" t="str">
        <f>IFERROR(__xludf.DUMMYFUNCTION("""COMPUTED_VALUE"""),"")</f>
        <v/>
      </c>
    </row>
    <row r="647">
      <c r="G647" s="5" t="str">
        <f>IFERROR(__xludf.DUMMYFUNCTION("""COMPUTED_VALUE"""),"")</f>
        <v/>
      </c>
    </row>
    <row r="648">
      <c r="G648" s="5" t="str">
        <f>IFERROR(__xludf.DUMMYFUNCTION("""COMPUTED_VALUE"""),"")</f>
        <v/>
      </c>
    </row>
    <row r="649">
      <c r="G649" s="5" t="str">
        <f>IFERROR(__xludf.DUMMYFUNCTION("""COMPUTED_VALUE"""),"")</f>
        <v/>
      </c>
    </row>
    <row r="650">
      <c r="G650" s="5" t="str">
        <f>IFERROR(__xludf.DUMMYFUNCTION("""COMPUTED_VALUE"""),"")</f>
        <v/>
      </c>
    </row>
    <row r="651">
      <c r="G651" s="5" t="str">
        <f>IFERROR(__xludf.DUMMYFUNCTION("""COMPUTED_VALUE"""),"")</f>
        <v/>
      </c>
    </row>
    <row r="652">
      <c r="G652" s="5" t="str">
        <f>IFERROR(__xludf.DUMMYFUNCTION("""COMPUTED_VALUE"""),"")</f>
        <v/>
      </c>
    </row>
    <row r="653">
      <c r="G653" s="5" t="str">
        <f>IFERROR(__xludf.DUMMYFUNCTION("""COMPUTED_VALUE"""),"")</f>
        <v/>
      </c>
    </row>
    <row r="654">
      <c r="G654" s="5" t="str">
        <f>IFERROR(__xludf.DUMMYFUNCTION("""COMPUTED_VALUE"""),"")</f>
        <v/>
      </c>
    </row>
    <row r="655">
      <c r="G655" s="5" t="str">
        <f>IFERROR(__xludf.DUMMYFUNCTION("""COMPUTED_VALUE"""),"")</f>
        <v/>
      </c>
    </row>
    <row r="656">
      <c r="G656" s="5" t="str">
        <f>IFERROR(__xludf.DUMMYFUNCTION("""COMPUTED_VALUE"""),"")</f>
        <v/>
      </c>
    </row>
    <row r="657">
      <c r="G657" s="5" t="str">
        <f>IFERROR(__xludf.DUMMYFUNCTION("""COMPUTED_VALUE"""),"")</f>
        <v/>
      </c>
    </row>
    <row r="658">
      <c r="G658" s="5" t="str">
        <f>IFERROR(__xludf.DUMMYFUNCTION("""COMPUTED_VALUE"""),"")</f>
        <v/>
      </c>
    </row>
    <row r="659">
      <c r="G659" s="5" t="str">
        <f>IFERROR(__xludf.DUMMYFUNCTION("""COMPUTED_VALUE"""),"")</f>
        <v/>
      </c>
    </row>
    <row r="660">
      <c r="G660" s="5" t="str">
        <f>IFERROR(__xludf.DUMMYFUNCTION("""COMPUTED_VALUE"""),"")</f>
        <v/>
      </c>
    </row>
    <row r="661">
      <c r="G661" s="5" t="str">
        <f>IFERROR(__xludf.DUMMYFUNCTION("""COMPUTED_VALUE"""),"")</f>
        <v/>
      </c>
    </row>
    <row r="662">
      <c r="G662" s="5" t="str">
        <f>IFERROR(__xludf.DUMMYFUNCTION("""COMPUTED_VALUE"""),"")</f>
        <v/>
      </c>
    </row>
    <row r="663">
      <c r="G663" s="5" t="str">
        <f>IFERROR(__xludf.DUMMYFUNCTION("""COMPUTED_VALUE"""),"")</f>
        <v/>
      </c>
    </row>
    <row r="664">
      <c r="G664" s="5" t="str">
        <f>IFERROR(__xludf.DUMMYFUNCTION("""COMPUTED_VALUE"""),"")</f>
        <v/>
      </c>
    </row>
    <row r="665">
      <c r="G665" s="5" t="str">
        <f>IFERROR(__xludf.DUMMYFUNCTION("""COMPUTED_VALUE"""),"")</f>
        <v/>
      </c>
    </row>
    <row r="666">
      <c r="G666" s="5" t="str">
        <f>IFERROR(__xludf.DUMMYFUNCTION("""COMPUTED_VALUE"""),"")</f>
        <v/>
      </c>
    </row>
    <row r="667">
      <c r="G667" s="5" t="str">
        <f>IFERROR(__xludf.DUMMYFUNCTION("""COMPUTED_VALUE"""),"")</f>
        <v/>
      </c>
    </row>
    <row r="668">
      <c r="G668" s="5" t="str">
        <f>IFERROR(__xludf.DUMMYFUNCTION("""COMPUTED_VALUE"""),"")</f>
        <v/>
      </c>
    </row>
    <row r="669">
      <c r="G669" s="5" t="str">
        <f>IFERROR(__xludf.DUMMYFUNCTION("""COMPUTED_VALUE"""),"")</f>
        <v/>
      </c>
    </row>
    <row r="670">
      <c r="G670" s="5" t="str">
        <f>IFERROR(__xludf.DUMMYFUNCTION("""COMPUTED_VALUE"""),"")</f>
        <v/>
      </c>
    </row>
    <row r="671">
      <c r="G671" s="5" t="str">
        <f>IFERROR(__xludf.DUMMYFUNCTION("""COMPUTED_VALUE"""),"")</f>
        <v/>
      </c>
    </row>
    <row r="672">
      <c r="G672" s="5" t="str">
        <f>IFERROR(__xludf.DUMMYFUNCTION("""COMPUTED_VALUE"""),"")</f>
        <v/>
      </c>
    </row>
    <row r="673">
      <c r="G673" s="5" t="str">
        <f>IFERROR(__xludf.DUMMYFUNCTION("""COMPUTED_VALUE"""),"")</f>
        <v/>
      </c>
    </row>
    <row r="674">
      <c r="G674" s="5" t="str">
        <f>IFERROR(__xludf.DUMMYFUNCTION("""COMPUTED_VALUE"""),"")</f>
        <v/>
      </c>
    </row>
    <row r="675">
      <c r="G675" s="5" t="str">
        <f>IFERROR(__xludf.DUMMYFUNCTION("""COMPUTED_VALUE"""),"")</f>
        <v/>
      </c>
    </row>
    <row r="676">
      <c r="G676" s="5" t="str">
        <f>IFERROR(__xludf.DUMMYFUNCTION("""COMPUTED_VALUE"""),"")</f>
        <v/>
      </c>
    </row>
    <row r="677">
      <c r="G677" s="5" t="str">
        <f>IFERROR(__xludf.DUMMYFUNCTION("""COMPUTED_VALUE"""),"")</f>
        <v/>
      </c>
    </row>
    <row r="678">
      <c r="G678" s="5" t="str">
        <f>IFERROR(__xludf.DUMMYFUNCTION("""COMPUTED_VALUE"""),"")</f>
        <v/>
      </c>
    </row>
    <row r="679">
      <c r="G679" s="5" t="str">
        <f>IFERROR(__xludf.DUMMYFUNCTION("""COMPUTED_VALUE"""),"")</f>
        <v/>
      </c>
    </row>
    <row r="680">
      <c r="G680" s="5" t="str">
        <f>IFERROR(__xludf.DUMMYFUNCTION("""COMPUTED_VALUE"""),"")</f>
        <v/>
      </c>
    </row>
    <row r="681">
      <c r="G681" s="5" t="str">
        <f>IFERROR(__xludf.DUMMYFUNCTION("""COMPUTED_VALUE"""),"")</f>
        <v/>
      </c>
    </row>
    <row r="682">
      <c r="G682" s="5" t="str">
        <f>IFERROR(__xludf.DUMMYFUNCTION("""COMPUTED_VALUE"""),"")</f>
        <v/>
      </c>
    </row>
    <row r="683">
      <c r="G683" s="5" t="str">
        <f>IFERROR(__xludf.DUMMYFUNCTION("""COMPUTED_VALUE"""),"")</f>
        <v/>
      </c>
    </row>
    <row r="684">
      <c r="G684" s="5" t="str">
        <f>IFERROR(__xludf.DUMMYFUNCTION("""COMPUTED_VALUE"""),"")</f>
        <v/>
      </c>
    </row>
    <row r="685">
      <c r="G685" s="5" t="str">
        <f>IFERROR(__xludf.DUMMYFUNCTION("""COMPUTED_VALUE"""),"")</f>
        <v/>
      </c>
    </row>
    <row r="686">
      <c r="G686" s="5" t="str">
        <f>IFERROR(__xludf.DUMMYFUNCTION("""COMPUTED_VALUE"""),"")</f>
        <v/>
      </c>
    </row>
    <row r="687">
      <c r="G687" s="5" t="str">
        <f>IFERROR(__xludf.DUMMYFUNCTION("""COMPUTED_VALUE"""),"")</f>
        <v/>
      </c>
    </row>
    <row r="688">
      <c r="G688" s="5" t="str">
        <f>IFERROR(__xludf.DUMMYFUNCTION("""COMPUTED_VALUE"""),"")</f>
        <v/>
      </c>
    </row>
    <row r="689">
      <c r="G689" s="5" t="str">
        <f>IFERROR(__xludf.DUMMYFUNCTION("""COMPUTED_VALUE"""),"")</f>
        <v/>
      </c>
    </row>
    <row r="690">
      <c r="G690" s="5" t="str">
        <f>IFERROR(__xludf.DUMMYFUNCTION("""COMPUTED_VALUE"""),"")</f>
        <v/>
      </c>
    </row>
    <row r="691">
      <c r="G691" s="5" t="str">
        <f>IFERROR(__xludf.DUMMYFUNCTION("""COMPUTED_VALUE"""),"")</f>
        <v/>
      </c>
    </row>
    <row r="692">
      <c r="G692" s="5" t="str">
        <f>IFERROR(__xludf.DUMMYFUNCTION("""COMPUTED_VALUE"""),"")</f>
        <v/>
      </c>
    </row>
    <row r="693">
      <c r="G693" s="5" t="str">
        <f>IFERROR(__xludf.DUMMYFUNCTION("""COMPUTED_VALUE"""),"")</f>
        <v/>
      </c>
    </row>
    <row r="694">
      <c r="G694" s="5" t="str">
        <f>IFERROR(__xludf.DUMMYFUNCTION("""COMPUTED_VALUE"""),"")</f>
        <v/>
      </c>
    </row>
    <row r="695">
      <c r="G695" s="5" t="str">
        <f>IFERROR(__xludf.DUMMYFUNCTION("""COMPUTED_VALUE"""),"")</f>
        <v/>
      </c>
    </row>
    <row r="696">
      <c r="G696" s="5" t="str">
        <f>IFERROR(__xludf.DUMMYFUNCTION("""COMPUTED_VALUE"""),"")</f>
        <v/>
      </c>
    </row>
    <row r="697">
      <c r="G697" s="5" t="str">
        <f>IFERROR(__xludf.DUMMYFUNCTION("""COMPUTED_VALUE"""),"")</f>
        <v/>
      </c>
    </row>
    <row r="698">
      <c r="G698" s="5" t="str">
        <f>IFERROR(__xludf.DUMMYFUNCTION("""COMPUTED_VALUE"""),"")</f>
        <v/>
      </c>
    </row>
    <row r="699">
      <c r="G699" s="5" t="str">
        <f>IFERROR(__xludf.DUMMYFUNCTION("""COMPUTED_VALUE"""),"")</f>
        <v/>
      </c>
    </row>
    <row r="700">
      <c r="G700" s="5" t="str">
        <f>IFERROR(__xludf.DUMMYFUNCTION("""COMPUTED_VALUE"""),"")</f>
        <v/>
      </c>
    </row>
    <row r="701">
      <c r="G701" s="5" t="str">
        <f>IFERROR(__xludf.DUMMYFUNCTION("""COMPUTED_VALUE"""),"")</f>
        <v/>
      </c>
    </row>
    <row r="702">
      <c r="G702" s="5" t="str">
        <f>IFERROR(__xludf.DUMMYFUNCTION("""COMPUTED_VALUE"""),"")</f>
        <v/>
      </c>
    </row>
    <row r="703">
      <c r="G703" s="5" t="str">
        <f>IFERROR(__xludf.DUMMYFUNCTION("""COMPUTED_VALUE"""),"")</f>
        <v/>
      </c>
    </row>
    <row r="704">
      <c r="G704" s="5" t="str">
        <f>IFERROR(__xludf.DUMMYFUNCTION("""COMPUTED_VALUE"""),"")</f>
        <v/>
      </c>
    </row>
    <row r="705">
      <c r="G705" s="5" t="str">
        <f>IFERROR(__xludf.DUMMYFUNCTION("""COMPUTED_VALUE"""),"")</f>
        <v/>
      </c>
    </row>
    <row r="706">
      <c r="G706" s="5" t="str">
        <f>IFERROR(__xludf.DUMMYFUNCTION("""COMPUTED_VALUE"""),"")</f>
        <v/>
      </c>
    </row>
    <row r="707">
      <c r="G707" s="5" t="str">
        <f>IFERROR(__xludf.DUMMYFUNCTION("""COMPUTED_VALUE"""),"")</f>
        <v/>
      </c>
    </row>
    <row r="708">
      <c r="G708" s="5" t="str">
        <f>IFERROR(__xludf.DUMMYFUNCTION("""COMPUTED_VALUE"""),"")</f>
        <v/>
      </c>
    </row>
    <row r="709">
      <c r="G709" s="5" t="str">
        <f>IFERROR(__xludf.DUMMYFUNCTION("""COMPUTED_VALUE"""),"")</f>
        <v/>
      </c>
    </row>
    <row r="710">
      <c r="G710" s="5" t="str">
        <f>IFERROR(__xludf.DUMMYFUNCTION("""COMPUTED_VALUE"""),"")</f>
        <v/>
      </c>
    </row>
    <row r="711">
      <c r="G711" s="5" t="str">
        <f>IFERROR(__xludf.DUMMYFUNCTION("""COMPUTED_VALUE"""),"")</f>
        <v/>
      </c>
    </row>
    <row r="712">
      <c r="G712" s="5" t="str">
        <f>IFERROR(__xludf.DUMMYFUNCTION("""COMPUTED_VALUE"""),"")</f>
        <v/>
      </c>
    </row>
    <row r="713">
      <c r="G713" s="5" t="str">
        <f>IFERROR(__xludf.DUMMYFUNCTION("""COMPUTED_VALUE"""),"")</f>
        <v/>
      </c>
    </row>
    <row r="714">
      <c r="G714" s="5" t="str">
        <f>IFERROR(__xludf.DUMMYFUNCTION("""COMPUTED_VALUE"""),"")</f>
        <v/>
      </c>
    </row>
    <row r="715">
      <c r="G715" s="5" t="str">
        <f>IFERROR(__xludf.DUMMYFUNCTION("""COMPUTED_VALUE"""),"")</f>
        <v/>
      </c>
    </row>
    <row r="716">
      <c r="G716" s="5" t="str">
        <f>IFERROR(__xludf.DUMMYFUNCTION("""COMPUTED_VALUE"""),"")</f>
        <v/>
      </c>
    </row>
    <row r="717">
      <c r="G717" s="5" t="str">
        <f>IFERROR(__xludf.DUMMYFUNCTION("""COMPUTED_VALUE"""),"")</f>
        <v/>
      </c>
    </row>
    <row r="718">
      <c r="G718" s="5" t="str">
        <f>IFERROR(__xludf.DUMMYFUNCTION("""COMPUTED_VALUE"""),"")</f>
        <v/>
      </c>
    </row>
    <row r="719">
      <c r="G719" s="5" t="str">
        <f>IFERROR(__xludf.DUMMYFUNCTION("""COMPUTED_VALUE"""),"")</f>
        <v/>
      </c>
    </row>
    <row r="720">
      <c r="G720" s="5" t="str">
        <f>IFERROR(__xludf.DUMMYFUNCTION("""COMPUTED_VALUE"""),"")</f>
        <v/>
      </c>
    </row>
    <row r="721">
      <c r="G721" s="5" t="str">
        <f>IFERROR(__xludf.DUMMYFUNCTION("""COMPUTED_VALUE"""),"")</f>
        <v/>
      </c>
    </row>
    <row r="722">
      <c r="G722" s="5" t="str">
        <f>IFERROR(__xludf.DUMMYFUNCTION("""COMPUTED_VALUE"""),"")</f>
        <v/>
      </c>
    </row>
    <row r="723">
      <c r="G723" s="5" t="str">
        <f>IFERROR(__xludf.DUMMYFUNCTION("""COMPUTED_VALUE"""),"")</f>
        <v/>
      </c>
    </row>
    <row r="724">
      <c r="G724" s="5" t="str">
        <f>IFERROR(__xludf.DUMMYFUNCTION("""COMPUTED_VALUE"""),"")</f>
        <v/>
      </c>
    </row>
    <row r="725">
      <c r="G725" s="5" t="str">
        <f>IFERROR(__xludf.DUMMYFUNCTION("""COMPUTED_VALUE"""),"")</f>
        <v/>
      </c>
    </row>
    <row r="726">
      <c r="G726" s="5" t="str">
        <f>IFERROR(__xludf.DUMMYFUNCTION("""COMPUTED_VALUE"""),"")</f>
        <v/>
      </c>
    </row>
    <row r="727">
      <c r="G727" s="5" t="str">
        <f>IFERROR(__xludf.DUMMYFUNCTION("""COMPUTED_VALUE"""),"")</f>
        <v/>
      </c>
    </row>
    <row r="728">
      <c r="G728" s="5" t="str">
        <f>IFERROR(__xludf.DUMMYFUNCTION("""COMPUTED_VALUE"""),"")</f>
        <v/>
      </c>
    </row>
    <row r="729">
      <c r="G729" s="5" t="str">
        <f>IFERROR(__xludf.DUMMYFUNCTION("""COMPUTED_VALUE"""),"")</f>
        <v/>
      </c>
    </row>
    <row r="730">
      <c r="G730" s="5" t="str">
        <f>IFERROR(__xludf.DUMMYFUNCTION("""COMPUTED_VALUE"""),"")</f>
        <v/>
      </c>
    </row>
    <row r="731">
      <c r="G731" s="5" t="str">
        <f>IFERROR(__xludf.DUMMYFUNCTION("""COMPUTED_VALUE"""),"")</f>
        <v/>
      </c>
    </row>
    <row r="732">
      <c r="G732" s="5" t="str">
        <f>IFERROR(__xludf.DUMMYFUNCTION("""COMPUTED_VALUE"""),"")</f>
        <v/>
      </c>
    </row>
    <row r="733">
      <c r="G733" s="5" t="str">
        <f>IFERROR(__xludf.DUMMYFUNCTION("""COMPUTED_VALUE"""),"")</f>
        <v/>
      </c>
    </row>
    <row r="734">
      <c r="G734" s="5" t="str">
        <f>IFERROR(__xludf.DUMMYFUNCTION("""COMPUTED_VALUE"""),"")</f>
        <v/>
      </c>
    </row>
    <row r="735">
      <c r="G735" s="5" t="str">
        <f>IFERROR(__xludf.DUMMYFUNCTION("""COMPUTED_VALUE"""),"")</f>
        <v/>
      </c>
    </row>
    <row r="736">
      <c r="G736" s="5" t="str">
        <f>IFERROR(__xludf.DUMMYFUNCTION("""COMPUTED_VALUE"""),"")</f>
        <v/>
      </c>
    </row>
    <row r="737">
      <c r="G737" s="5" t="str">
        <f>IFERROR(__xludf.DUMMYFUNCTION("""COMPUTED_VALUE"""),"")</f>
        <v/>
      </c>
    </row>
    <row r="738">
      <c r="G738" s="5" t="str">
        <f>IFERROR(__xludf.DUMMYFUNCTION("""COMPUTED_VALUE"""),"")</f>
        <v/>
      </c>
    </row>
    <row r="739">
      <c r="G739" s="5" t="str">
        <f>IFERROR(__xludf.DUMMYFUNCTION("""COMPUTED_VALUE"""),"")</f>
        <v/>
      </c>
    </row>
    <row r="740">
      <c r="G740" s="5" t="str">
        <f>IFERROR(__xludf.DUMMYFUNCTION("""COMPUTED_VALUE"""),"")</f>
        <v/>
      </c>
    </row>
    <row r="741">
      <c r="G741" s="5" t="str">
        <f>IFERROR(__xludf.DUMMYFUNCTION("""COMPUTED_VALUE"""),"")</f>
        <v/>
      </c>
    </row>
    <row r="742">
      <c r="G742" s="5" t="str">
        <f>IFERROR(__xludf.DUMMYFUNCTION("""COMPUTED_VALUE"""),"")</f>
        <v/>
      </c>
    </row>
    <row r="743">
      <c r="G743" s="5" t="str">
        <f>IFERROR(__xludf.DUMMYFUNCTION("""COMPUTED_VALUE"""),"")</f>
        <v/>
      </c>
    </row>
    <row r="744">
      <c r="G744" s="5" t="str">
        <f>IFERROR(__xludf.DUMMYFUNCTION("""COMPUTED_VALUE"""),"")</f>
        <v/>
      </c>
    </row>
    <row r="745">
      <c r="G745" s="5" t="str">
        <f>IFERROR(__xludf.DUMMYFUNCTION("""COMPUTED_VALUE"""),"")</f>
        <v/>
      </c>
    </row>
    <row r="746">
      <c r="G746" s="5" t="str">
        <f>IFERROR(__xludf.DUMMYFUNCTION("""COMPUTED_VALUE"""),"")</f>
        <v/>
      </c>
    </row>
    <row r="747">
      <c r="G747" s="5" t="str">
        <f>IFERROR(__xludf.DUMMYFUNCTION("""COMPUTED_VALUE"""),"")</f>
        <v/>
      </c>
    </row>
    <row r="748">
      <c r="G748" s="5" t="str">
        <f>IFERROR(__xludf.DUMMYFUNCTION("""COMPUTED_VALUE"""),"")</f>
        <v/>
      </c>
    </row>
    <row r="749">
      <c r="G749" s="5" t="str">
        <f>IFERROR(__xludf.DUMMYFUNCTION("""COMPUTED_VALUE"""),"")</f>
        <v/>
      </c>
    </row>
    <row r="750">
      <c r="G750" s="5" t="str">
        <f>IFERROR(__xludf.DUMMYFUNCTION("""COMPUTED_VALUE"""),"")</f>
        <v/>
      </c>
    </row>
    <row r="751">
      <c r="G751" s="5" t="str">
        <f>IFERROR(__xludf.DUMMYFUNCTION("""COMPUTED_VALUE"""),"")</f>
        <v/>
      </c>
    </row>
    <row r="752">
      <c r="G752" s="5" t="str">
        <f>IFERROR(__xludf.DUMMYFUNCTION("""COMPUTED_VALUE"""),"")</f>
        <v/>
      </c>
    </row>
    <row r="753">
      <c r="G753" s="5" t="str">
        <f>IFERROR(__xludf.DUMMYFUNCTION("""COMPUTED_VALUE"""),"")</f>
        <v/>
      </c>
    </row>
    <row r="754">
      <c r="G754" s="5" t="str">
        <f>IFERROR(__xludf.DUMMYFUNCTION("""COMPUTED_VALUE"""),"")</f>
        <v/>
      </c>
    </row>
    <row r="755">
      <c r="G755" s="5" t="str">
        <f>IFERROR(__xludf.DUMMYFUNCTION("""COMPUTED_VALUE"""),"")</f>
        <v/>
      </c>
    </row>
    <row r="756">
      <c r="G756" s="5" t="str">
        <f>IFERROR(__xludf.DUMMYFUNCTION("""COMPUTED_VALUE"""),"")</f>
        <v/>
      </c>
    </row>
    <row r="757">
      <c r="G757" s="5" t="str">
        <f>IFERROR(__xludf.DUMMYFUNCTION("""COMPUTED_VALUE"""),"")</f>
        <v/>
      </c>
    </row>
    <row r="758">
      <c r="G758" s="5" t="str">
        <f>IFERROR(__xludf.DUMMYFUNCTION("""COMPUTED_VALUE"""),"")</f>
        <v/>
      </c>
    </row>
    <row r="759">
      <c r="G759" s="5" t="str">
        <f>IFERROR(__xludf.DUMMYFUNCTION("""COMPUTED_VALUE"""),"")</f>
        <v/>
      </c>
    </row>
    <row r="760">
      <c r="G760" s="5" t="str">
        <f>IFERROR(__xludf.DUMMYFUNCTION("""COMPUTED_VALUE"""),"")</f>
        <v/>
      </c>
    </row>
    <row r="761">
      <c r="G761" s="5" t="str">
        <f>IFERROR(__xludf.DUMMYFUNCTION("""COMPUTED_VALUE"""),"")</f>
        <v/>
      </c>
    </row>
    <row r="762">
      <c r="G762" s="5" t="str">
        <f>IFERROR(__xludf.DUMMYFUNCTION("""COMPUTED_VALUE"""),"")</f>
        <v/>
      </c>
    </row>
    <row r="763">
      <c r="G763" s="5" t="str">
        <f>IFERROR(__xludf.DUMMYFUNCTION("""COMPUTED_VALUE"""),"")</f>
        <v/>
      </c>
    </row>
    <row r="764">
      <c r="G764" s="5" t="str">
        <f>IFERROR(__xludf.DUMMYFUNCTION("""COMPUTED_VALUE"""),"")</f>
        <v/>
      </c>
    </row>
    <row r="765">
      <c r="G765" s="5" t="str">
        <f>IFERROR(__xludf.DUMMYFUNCTION("""COMPUTED_VALUE"""),"")</f>
        <v/>
      </c>
    </row>
    <row r="766">
      <c r="G766" s="5" t="str">
        <f>IFERROR(__xludf.DUMMYFUNCTION("""COMPUTED_VALUE"""),"")</f>
        <v/>
      </c>
    </row>
    <row r="767">
      <c r="G767" s="5" t="str">
        <f>IFERROR(__xludf.DUMMYFUNCTION("""COMPUTED_VALUE"""),"")</f>
        <v/>
      </c>
    </row>
    <row r="768">
      <c r="G768" s="5" t="str">
        <f>IFERROR(__xludf.DUMMYFUNCTION("""COMPUTED_VALUE"""),"")</f>
        <v/>
      </c>
    </row>
    <row r="769">
      <c r="G769" s="5" t="str">
        <f>IFERROR(__xludf.DUMMYFUNCTION("""COMPUTED_VALUE"""),"")</f>
        <v/>
      </c>
    </row>
    <row r="770">
      <c r="G770" s="5" t="str">
        <f>IFERROR(__xludf.DUMMYFUNCTION("""COMPUTED_VALUE"""),"")</f>
        <v/>
      </c>
    </row>
    <row r="771">
      <c r="G771" s="5" t="str">
        <f>IFERROR(__xludf.DUMMYFUNCTION("""COMPUTED_VALUE"""),"")</f>
        <v/>
      </c>
    </row>
    <row r="772">
      <c r="G772" s="5" t="str">
        <f>IFERROR(__xludf.DUMMYFUNCTION("""COMPUTED_VALUE"""),"")</f>
        <v/>
      </c>
    </row>
    <row r="773">
      <c r="G773" s="5" t="str">
        <f>IFERROR(__xludf.DUMMYFUNCTION("""COMPUTED_VALUE"""),"")</f>
        <v/>
      </c>
    </row>
    <row r="774">
      <c r="G774" s="5" t="str">
        <f>IFERROR(__xludf.DUMMYFUNCTION("""COMPUTED_VALUE"""),"")</f>
        <v/>
      </c>
    </row>
    <row r="775">
      <c r="G775" s="5" t="str">
        <f>IFERROR(__xludf.DUMMYFUNCTION("""COMPUTED_VALUE"""),"")</f>
        <v/>
      </c>
    </row>
    <row r="776">
      <c r="G776" s="5" t="str">
        <f>IFERROR(__xludf.DUMMYFUNCTION("""COMPUTED_VALUE"""),"")</f>
        <v/>
      </c>
    </row>
    <row r="777">
      <c r="G777" s="5" t="str">
        <f>IFERROR(__xludf.DUMMYFUNCTION("""COMPUTED_VALUE"""),"")</f>
        <v/>
      </c>
    </row>
    <row r="778">
      <c r="G778" s="5" t="str">
        <f>IFERROR(__xludf.DUMMYFUNCTION("""COMPUTED_VALUE"""),"")</f>
        <v/>
      </c>
    </row>
    <row r="779">
      <c r="G779" s="5" t="str">
        <f>IFERROR(__xludf.DUMMYFUNCTION("""COMPUTED_VALUE"""),"")</f>
        <v/>
      </c>
    </row>
    <row r="780">
      <c r="G780" s="5" t="str">
        <f>IFERROR(__xludf.DUMMYFUNCTION("""COMPUTED_VALUE"""),"")</f>
        <v/>
      </c>
    </row>
    <row r="781">
      <c r="G781" s="5" t="str">
        <f>IFERROR(__xludf.DUMMYFUNCTION("""COMPUTED_VALUE"""),"")</f>
        <v/>
      </c>
    </row>
    <row r="782">
      <c r="G782" s="5" t="str">
        <f>IFERROR(__xludf.DUMMYFUNCTION("""COMPUTED_VALUE"""),"")</f>
        <v/>
      </c>
    </row>
    <row r="783">
      <c r="G783" s="5" t="str">
        <f>IFERROR(__xludf.DUMMYFUNCTION("""COMPUTED_VALUE"""),"")</f>
        <v/>
      </c>
    </row>
    <row r="784">
      <c r="G784" s="5" t="str">
        <f>IFERROR(__xludf.DUMMYFUNCTION("""COMPUTED_VALUE"""),"")</f>
        <v/>
      </c>
    </row>
    <row r="785">
      <c r="G785" s="5" t="str">
        <f>IFERROR(__xludf.DUMMYFUNCTION("""COMPUTED_VALUE"""),"")</f>
        <v/>
      </c>
    </row>
    <row r="786">
      <c r="G786" s="5" t="str">
        <f>IFERROR(__xludf.DUMMYFUNCTION("""COMPUTED_VALUE"""),"")</f>
        <v/>
      </c>
    </row>
    <row r="787">
      <c r="G787" s="5" t="str">
        <f>IFERROR(__xludf.DUMMYFUNCTION("""COMPUTED_VALUE"""),"")</f>
        <v/>
      </c>
    </row>
    <row r="788">
      <c r="G788" s="5" t="str">
        <f>IFERROR(__xludf.DUMMYFUNCTION("""COMPUTED_VALUE"""),"")</f>
        <v/>
      </c>
    </row>
    <row r="789">
      <c r="G789" s="5" t="str">
        <f>IFERROR(__xludf.DUMMYFUNCTION("""COMPUTED_VALUE"""),"")</f>
        <v/>
      </c>
    </row>
    <row r="790">
      <c r="G790" s="5" t="str">
        <f>IFERROR(__xludf.DUMMYFUNCTION("""COMPUTED_VALUE"""),"")</f>
        <v/>
      </c>
    </row>
    <row r="791">
      <c r="G791" s="5" t="str">
        <f>IFERROR(__xludf.DUMMYFUNCTION("""COMPUTED_VALUE"""),"")</f>
        <v/>
      </c>
    </row>
    <row r="792">
      <c r="G792" s="5" t="str">
        <f>IFERROR(__xludf.DUMMYFUNCTION("""COMPUTED_VALUE"""),"")</f>
        <v/>
      </c>
    </row>
    <row r="793">
      <c r="G793" s="5" t="str">
        <f>IFERROR(__xludf.DUMMYFUNCTION("""COMPUTED_VALUE"""),"")</f>
        <v/>
      </c>
    </row>
    <row r="794">
      <c r="G794" s="5" t="str">
        <f>IFERROR(__xludf.DUMMYFUNCTION("""COMPUTED_VALUE"""),"")</f>
        <v/>
      </c>
    </row>
    <row r="795">
      <c r="G795" s="5" t="str">
        <f>IFERROR(__xludf.DUMMYFUNCTION("""COMPUTED_VALUE"""),"")</f>
        <v/>
      </c>
    </row>
    <row r="796">
      <c r="G796" s="5" t="str">
        <f>IFERROR(__xludf.DUMMYFUNCTION("""COMPUTED_VALUE"""),"")</f>
        <v/>
      </c>
    </row>
    <row r="797">
      <c r="G797" s="5" t="str">
        <f>IFERROR(__xludf.DUMMYFUNCTION("""COMPUTED_VALUE"""),"")</f>
        <v/>
      </c>
    </row>
    <row r="798">
      <c r="G798" s="5" t="str">
        <f>IFERROR(__xludf.DUMMYFUNCTION("""COMPUTED_VALUE"""),"")</f>
        <v/>
      </c>
    </row>
    <row r="799">
      <c r="G799" s="5" t="str">
        <f>IFERROR(__xludf.DUMMYFUNCTION("""COMPUTED_VALUE"""),"")</f>
        <v/>
      </c>
    </row>
    <row r="800">
      <c r="G800" s="5" t="str">
        <f>IFERROR(__xludf.DUMMYFUNCTION("""COMPUTED_VALUE"""),"")</f>
        <v/>
      </c>
    </row>
    <row r="801">
      <c r="G801" s="5" t="str">
        <f>IFERROR(__xludf.DUMMYFUNCTION("""COMPUTED_VALUE"""),"")</f>
        <v/>
      </c>
    </row>
    <row r="802">
      <c r="G802" s="5" t="str">
        <f>IFERROR(__xludf.DUMMYFUNCTION("""COMPUTED_VALUE"""),"")</f>
        <v/>
      </c>
    </row>
    <row r="803">
      <c r="G803" s="5" t="str">
        <f>IFERROR(__xludf.DUMMYFUNCTION("""COMPUTED_VALUE"""),"")</f>
        <v/>
      </c>
    </row>
    <row r="804">
      <c r="G804" s="5" t="str">
        <f>IFERROR(__xludf.DUMMYFUNCTION("""COMPUTED_VALUE"""),"")</f>
        <v/>
      </c>
    </row>
    <row r="805">
      <c r="G805" s="5" t="str">
        <f>IFERROR(__xludf.DUMMYFUNCTION("""COMPUTED_VALUE"""),"")</f>
        <v/>
      </c>
    </row>
    <row r="806">
      <c r="G806" s="5" t="str">
        <f>IFERROR(__xludf.DUMMYFUNCTION("""COMPUTED_VALUE"""),"")</f>
        <v/>
      </c>
    </row>
    <row r="807">
      <c r="G807" s="5" t="str">
        <f>IFERROR(__xludf.DUMMYFUNCTION("""COMPUTED_VALUE"""),"")</f>
        <v/>
      </c>
    </row>
    <row r="808">
      <c r="G808" s="5" t="str">
        <f>IFERROR(__xludf.DUMMYFUNCTION("""COMPUTED_VALUE"""),"")</f>
        <v/>
      </c>
    </row>
    <row r="809">
      <c r="G809" s="5" t="str">
        <f>IFERROR(__xludf.DUMMYFUNCTION("""COMPUTED_VALUE"""),"")</f>
        <v/>
      </c>
    </row>
    <row r="810">
      <c r="G810" s="5" t="str">
        <f>IFERROR(__xludf.DUMMYFUNCTION("""COMPUTED_VALUE"""),"")</f>
        <v/>
      </c>
    </row>
    <row r="811">
      <c r="G811" s="5" t="str">
        <f>IFERROR(__xludf.DUMMYFUNCTION("""COMPUTED_VALUE"""),"")</f>
        <v/>
      </c>
    </row>
    <row r="812">
      <c r="G812" s="5" t="str">
        <f>IFERROR(__xludf.DUMMYFUNCTION("""COMPUTED_VALUE"""),"")</f>
        <v/>
      </c>
    </row>
    <row r="813">
      <c r="G813" s="5" t="str">
        <f>IFERROR(__xludf.DUMMYFUNCTION("""COMPUTED_VALUE"""),"")</f>
        <v/>
      </c>
    </row>
    <row r="814">
      <c r="G814" s="5" t="str">
        <f>IFERROR(__xludf.DUMMYFUNCTION("""COMPUTED_VALUE"""),"")</f>
        <v/>
      </c>
    </row>
    <row r="815">
      <c r="G815" s="5" t="str">
        <f>IFERROR(__xludf.DUMMYFUNCTION("""COMPUTED_VALUE"""),"")</f>
        <v/>
      </c>
    </row>
    <row r="816">
      <c r="G816" s="5" t="str">
        <f>IFERROR(__xludf.DUMMYFUNCTION("""COMPUTED_VALUE"""),"")</f>
        <v/>
      </c>
    </row>
    <row r="817">
      <c r="G817" s="5" t="str">
        <f>IFERROR(__xludf.DUMMYFUNCTION("""COMPUTED_VALUE"""),"")</f>
        <v/>
      </c>
    </row>
    <row r="818">
      <c r="G818" s="5" t="str">
        <f>IFERROR(__xludf.DUMMYFUNCTION("""COMPUTED_VALUE"""),"")</f>
        <v/>
      </c>
    </row>
    <row r="819">
      <c r="G819" s="5" t="str">
        <f>IFERROR(__xludf.DUMMYFUNCTION("""COMPUTED_VALUE"""),"")</f>
        <v/>
      </c>
    </row>
    <row r="820">
      <c r="G820" s="5" t="str">
        <f>IFERROR(__xludf.DUMMYFUNCTION("""COMPUTED_VALUE"""),"")</f>
        <v/>
      </c>
    </row>
    <row r="821">
      <c r="G821" s="5" t="str">
        <f>IFERROR(__xludf.DUMMYFUNCTION("""COMPUTED_VALUE"""),"")</f>
        <v/>
      </c>
    </row>
    <row r="822">
      <c r="G822" s="5" t="str">
        <f>IFERROR(__xludf.DUMMYFUNCTION("""COMPUTED_VALUE"""),"")</f>
        <v/>
      </c>
    </row>
    <row r="823">
      <c r="G823" s="5" t="str">
        <f>IFERROR(__xludf.DUMMYFUNCTION("""COMPUTED_VALUE"""),"")</f>
        <v/>
      </c>
    </row>
    <row r="824">
      <c r="G824" s="5" t="str">
        <f>IFERROR(__xludf.DUMMYFUNCTION("""COMPUTED_VALUE"""),"")</f>
        <v/>
      </c>
    </row>
    <row r="825">
      <c r="G825" s="5" t="str">
        <f>IFERROR(__xludf.DUMMYFUNCTION("""COMPUTED_VALUE"""),"")</f>
        <v/>
      </c>
    </row>
    <row r="826">
      <c r="G826" s="5" t="str">
        <f>IFERROR(__xludf.DUMMYFUNCTION("""COMPUTED_VALUE"""),"")</f>
        <v/>
      </c>
    </row>
    <row r="827">
      <c r="G827" s="5" t="str">
        <f>IFERROR(__xludf.DUMMYFUNCTION("""COMPUTED_VALUE"""),"")</f>
        <v/>
      </c>
    </row>
    <row r="828">
      <c r="G828" s="5" t="str">
        <f>IFERROR(__xludf.DUMMYFUNCTION("""COMPUTED_VALUE"""),"")</f>
        <v/>
      </c>
    </row>
    <row r="829">
      <c r="G829" s="5" t="str">
        <f>IFERROR(__xludf.DUMMYFUNCTION("""COMPUTED_VALUE"""),"")</f>
        <v/>
      </c>
    </row>
    <row r="830">
      <c r="G830" s="5" t="str">
        <f>IFERROR(__xludf.DUMMYFUNCTION("""COMPUTED_VALUE"""),"")</f>
        <v/>
      </c>
    </row>
    <row r="831">
      <c r="G831" s="5" t="str">
        <f>IFERROR(__xludf.DUMMYFUNCTION("""COMPUTED_VALUE"""),"")</f>
        <v/>
      </c>
    </row>
    <row r="832">
      <c r="G832" s="5" t="str">
        <f>IFERROR(__xludf.DUMMYFUNCTION("""COMPUTED_VALUE"""),"")</f>
        <v/>
      </c>
    </row>
    <row r="833">
      <c r="G833" s="5" t="str">
        <f>IFERROR(__xludf.DUMMYFUNCTION("""COMPUTED_VALUE"""),"")</f>
        <v/>
      </c>
    </row>
    <row r="834">
      <c r="G834" s="5" t="str">
        <f>IFERROR(__xludf.DUMMYFUNCTION("""COMPUTED_VALUE"""),"")</f>
        <v/>
      </c>
    </row>
    <row r="835">
      <c r="G835" s="5" t="str">
        <f>IFERROR(__xludf.DUMMYFUNCTION("""COMPUTED_VALUE"""),"")</f>
        <v/>
      </c>
    </row>
    <row r="836">
      <c r="G836" s="5" t="str">
        <f>IFERROR(__xludf.DUMMYFUNCTION("""COMPUTED_VALUE"""),"")</f>
        <v/>
      </c>
    </row>
    <row r="837">
      <c r="G837" s="5" t="str">
        <f>IFERROR(__xludf.DUMMYFUNCTION("""COMPUTED_VALUE"""),"")</f>
        <v/>
      </c>
    </row>
    <row r="838">
      <c r="G838" s="5" t="str">
        <f>IFERROR(__xludf.DUMMYFUNCTION("""COMPUTED_VALUE"""),"")</f>
        <v/>
      </c>
    </row>
    <row r="839">
      <c r="G839" s="5" t="str">
        <f>IFERROR(__xludf.DUMMYFUNCTION("""COMPUTED_VALUE"""),"")</f>
        <v/>
      </c>
    </row>
    <row r="840">
      <c r="G840" s="5" t="str">
        <f>IFERROR(__xludf.DUMMYFUNCTION("""COMPUTED_VALUE"""),"")</f>
        <v/>
      </c>
    </row>
    <row r="841">
      <c r="G841" s="5" t="str">
        <f>IFERROR(__xludf.DUMMYFUNCTION("""COMPUTED_VALUE"""),"")</f>
        <v/>
      </c>
    </row>
    <row r="842">
      <c r="G842" s="5" t="str">
        <f>IFERROR(__xludf.DUMMYFUNCTION("""COMPUTED_VALUE"""),"")</f>
        <v/>
      </c>
    </row>
    <row r="843">
      <c r="G843" s="5" t="str">
        <f>IFERROR(__xludf.DUMMYFUNCTION("""COMPUTED_VALUE"""),"")</f>
        <v/>
      </c>
    </row>
    <row r="844">
      <c r="G844" s="5" t="str">
        <f>IFERROR(__xludf.DUMMYFUNCTION("""COMPUTED_VALUE"""),"")</f>
        <v/>
      </c>
    </row>
    <row r="845">
      <c r="G845" s="5" t="str">
        <f>IFERROR(__xludf.DUMMYFUNCTION("""COMPUTED_VALUE"""),"")</f>
        <v/>
      </c>
    </row>
    <row r="846">
      <c r="G846" s="5" t="str">
        <f>IFERROR(__xludf.DUMMYFUNCTION("""COMPUTED_VALUE"""),"")</f>
        <v/>
      </c>
    </row>
    <row r="847">
      <c r="G847" s="5" t="str">
        <f>IFERROR(__xludf.DUMMYFUNCTION("""COMPUTED_VALUE"""),"")</f>
        <v/>
      </c>
    </row>
    <row r="848">
      <c r="G848" s="5" t="str">
        <f>IFERROR(__xludf.DUMMYFUNCTION("""COMPUTED_VALUE"""),"")</f>
        <v/>
      </c>
    </row>
    <row r="849">
      <c r="G849" s="5" t="str">
        <f>IFERROR(__xludf.DUMMYFUNCTION("""COMPUTED_VALUE"""),"")</f>
        <v/>
      </c>
    </row>
    <row r="850">
      <c r="G850" s="5" t="str">
        <f>IFERROR(__xludf.DUMMYFUNCTION("""COMPUTED_VALUE"""),"")</f>
        <v/>
      </c>
    </row>
    <row r="851">
      <c r="G851" s="5" t="str">
        <f>IFERROR(__xludf.DUMMYFUNCTION("""COMPUTED_VALUE"""),"")</f>
        <v/>
      </c>
    </row>
    <row r="852">
      <c r="G852" s="5" t="str">
        <f>IFERROR(__xludf.DUMMYFUNCTION("""COMPUTED_VALUE"""),"")</f>
        <v/>
      </c>
    </row>
    <row r="853">
      <c r="G853" s="5" t="str">
        <f>IFERROR(__xludf.DUMMYFUNCTION("""COMPUTED_VALUE"""),"")</f>
        <v/>
      </c>
    </row>
    <row r="854">
      <c r="G854" s="5" t="str">
        <f>IFERROR(__xludf.DUMMYFUNCTION("""COMPUTED_VALUE"""),"")</f>
        <v/>
      </c>
    </row>
    <row r="855">
      <c r="G855" s="5" t="str">
        <f>IFERROR(__xludf.DUMMYFUNCTION("""COMPUTED_VALUE"""),"")</f>
        <v/>
      </c>
    </row>
    <row r="856">
      <c r="G856" s="5" t="str">
        <f>IFERROR(__xludf.DUMMYFUNCTION("""COMPUTED_VALUE"""),"")</f>
        <v/>
      </c>
    </row>
    <row r="857">
      <c r="G857" s="5" t="str">
        <f>IFERROR(__xludf.DUMMYFUNCTION("""COMPUTED_VALUE"""),"")</f>
        <v/>
      </c>
    </row>
    <row r="858">
      <c r="G858" s="5" t="str">
        <f>IFERROR(__xludf.DUMMYFUNCTION("""COMPUTED_VALUE"""),"")</f>
        <v/>
      </c>
    </row>
    <row r="859">
      <c r="G859" s="5" t="str">
        <f>IFERROR(__xludf.DUMMYFUNCTION("""COMPUTED_VALUE"""),"")</f>
        <v/>
      </c>
    </row>
    <row r="860">
      <c r="G860" s="5" t="str">
        <f>IFERROR(__xludf.DUMMYFUNCTION("""COMPUTED_VALUE"""),"")</f>
        <v/>
      </c>
    </row>
    <row r="861">
      <c r="G861" s="5" t="str">
        <f>IFERROR(__xludf.DUMMYFUNCTION("""COMPUTED_VALUE"""),"")</f>
        <v/>
      </c>
    </row>
    <row r="862">
      <c r="G862" s="5" t="str">
        <f>IFERROR(__xludf.DUMMYFUNCTION("""COMPUTED_VALUE"""),"")</f>
        <v/>
      </c>
    </row>
    <row r="863">
      <c r="G863" s="5" t="str">
        <f>IFERROR(__xludf.DUMMYFUNCTION("""COMPUTED_VALUE"""),"")</f>
        <v/>
      </c>
    </row>
    <row r="864">
      <c r="G864" s="5" t="str">
        <f>IFERROR(__xludf.DUMMYFUNCTION("""COMPUTED_VALUE"""),"")</f>
        <v/>
      </c>
    </row>
    <row r="865">
      <c r="G865" s="5" t="str">
        <f>IFERROR(__xludf.DUMMYFUNCTION("""COMPUTED_VALUE"""),"")</f>
        <v/>
      </c>
    </row>
    <row r="866">
      <c r="G866" s="5" t="str">
        <f>IFERROR(__xludf.DUMMYFUNCTION("""COMPUTED_VALUE"""),"")</f>
        <v/>
      </c>
    </row>
    <row r="867">
      <c r="G867" s="5" t="str">
        <f>IFERROR(__xludf.DUMMYFUNCTION("""COMPUTED_VALUE"""),"")</f>
        <v/>
      </c>
    </row>
    <row r="868">
      <c r="G868" s="5" t="str">
        <f>IFERROR(__xludf.DUMMYFUNCTION("""COMPUTED_VALUE"""),"")</f>
        <v/>
      </c>
    </row>
    <row r="869">
      <c r="G869" s="5" t="str">
        <f>IFERROR(__xludf.DUMMYFUNCTION("""COMPUTED_VALUE"""),"")</f>
        <v/>
      </c>
    </row>
    <row r="870">
      <c r="G870" s="5" t="str">
        <f>IFERROR(__xludf.DUMMYFUNCTION("""COMPUTED_VALUE"""),"")</f>
        <v/>
      </c>
    </row>
    <row r="871">
      <c r="G871" s="5" t="str">
        <f>IFERROR(__xludf.DUMMYFUNCTION("""COMPUTED_VALUE"""),"")</f>
        <v/>
      </c>
    </row>
    <row r="872">
      <c r="G872" s="5" t="str">
        <f>IFERROR(__xludf.DUMMYFUNCTION("""COMPUTED_VALUE"""),"")</f>
        <v/>
      </c>
    </row>
    <row r="873">
      <c r="G873" s="5" t="str">
        <f>IFERROR(__xludf.DUMMYFUNCTION("""COMPUTED_VALUE"""),"")</f>
        <v/>
      </c>
    </row>
    <row r="874">
      <c r="G874" s="5" t="str">
        <f>IFERROR(__xludf.DUMMYFUNCTION("""COMPUTED_VALUE"""),"")</f>
        <v/>
      </c>
    </row>
    <row r="875">
      <c r="G875" s="5" t="str">
        <f>IFERROR(__xludf.DUMMYFUNCTION("""COMPUTED_VALUE"""),"")</f>
        <v/>
      </c>
    </row>
    <row r="876">
      <c r="G876" s="5" t="str">
        <f>IFERROR(__xludf.DUMMYFUNCTION("""COMPUTED_VALUE"""),"")</f>
        <v/>
      </c>
    </row>
    <row r="877">
      <c r="G877" s="5" t="str">
        <f>IFERROR(__xludf.DUMMYFUNCTION("""COMPUTED_VALUE"""),"")</f>
        <v/>
      </c>
    </row>
    <row r="878">
      <c r="G878" s="5" t="str">
        <f>IFERROR(__xludf.DUMMYFUNCTION("""COMPUTED_VALUE"""),"")</f>
        <v/>
      </c>
    </row>
    <row r="879">
      <c r="G879" s="5" t="str">
        <f>IFERROR(__xludf.DUMMYFUNCTION("""COMPUTED_VALUE"""),"")</f>
        <v/>
      </c>
    </row>
    <row r="880">
      <c r="G880" s="5" t="str">
        <f>IFERROR(__xludf.DUMMYFUNCTION("""COMPUTED_VALUE"""),"")</f>
        <v/>
      </c>
    </row>
    <row r="881">
      <c r="G881" s="5" t="str">
        <f>IFERROR(__xludf.DUMMYFUNCTION("""COMPUTED_VALUE"""),"")</f>
        <v/>
      </c>
    </row>
    <row r="882">
      <c r="G882" s="5" t="str">
        <f>IFERROR(__xludf.DUMMYFUNCTION("""COMPUTED_VALUE"""),"")</f>
        <v/>
      </c>
    </row>
    <row r="883">
      <c r="G883" s="5" t="str">
        <f>IFERROR(__xludf.DUMMYFUNCTION("""COMPUTED_VALUE"""),"")</f>
        <v/>
      </c>
    </row>
    <row r="884">
      <c r="G884" s="5" t="str">
        <f>IFERROR(__xludf.DUMMYFUNCTION("""COMPUTED_VALUE"""),"")</f>
        <v/>
      </c>
    </row>
    <row r="885">
      <c r="G885" s="5" t="str">
        <f>IFERROR(__xludf.DUMMYFUNCTION("""COMPUTED_VALUE"""),"")</f>
        <v/>
      </c>
    </row>
    <row r="886">
      <c r="G886" s="5" t="str">
        <f>IFERROR(__xludf.DUMMYFUNCTION("""COMPUTED_VALUE"""),"")</f>
        <v/>
      </c>
    </row>
    <row r="887">
      <c r="G887" s="5" t="str">
        <f>IFERROR(__xludf.DUMMYFUNCTION("""COMPUTED_VALUE"""),"")</f>
        <v/>
      </c>
    </row>
    <row r="888">
      <c r="G888" s="5" t="str">
        <f>IFERROR(__xludf.DUMMYFUNCTION("""COMPUTED_VALUE"""),"")</f>
        <v/>
      </c>
    </row>
    <row r="889">
      <c r="G889" s="5" t="str">
        <f>IFERROR(__xludf.DUMMYFUNCTION("""COMPUTED_VALUE"""),"")</f>
        <v/>
      </c>
    </row>
    <row r="890">
      <c r="G890" s="5" t="str">
        <f>IFERROR(__xludf.DUMMYFUNCTION("""COMPUTED_VALUE"""),"")</f>
        <v/>
      </c>
    </row>
    <row r="891">
      <c r="G891" s="5" t="str">
        <f>IFERROR(__xludf.DUMMYFUNCTION("""COMPUTED_VALUE"""),"")</f>
        <v/>
      </c>
    </row>
    <row r="892">
      <c r="G892" s="5" t="str">
        <f>IFERROR(__xludf.DUMMYFUNCTION("""COMPUTED_VALUE"""),"")</f>
        <v/>
      </c>
    </row>
    <row r="893">
      <c r="G893" s="5" t="str">
        <f>IFERROR(__xludf.DUMMYFUNCTION("""COMPUTED_VALUE"""),"")</f>
        <v/>
      </c>
    </row>
    <row r="894">
      <c r="G894" s="5" t="str">
        <f>IFERROR(__xludf.DUMMYFUNCTION("""COMPUTED_VALUE"""),"")</f>
        <v/>
      </c>
    </row>
    <row r="895">
      <c r="G895" s="5" t="str">
        <f>IFERROR(__xludf.DUMMYFUNCTION("""COMPUTED_VALUE"""),"")</f>
        <v/>
      </c>
    </row>
    <row r="896">
      <c r="G896" s="5" t="str">
        <f>IFERROR(__xludf.DUMMYFUNCTION("""COMPUTED_VALUE"""),"")</f>
        <v/>
      </c>
    </row>
    <row r="897">
      <c r="G897" s="5" t="str">
        <f>IFERROR(__xludf.DUMMYFUNCTION("""COMPUTED_VALUE"""),"")</f>
        <v/>
      </c>
    </row>
    <row r="898">
      <c r="G898" s="5" t="str">
        <f>IFERROR(__xludf.DUMMYFUNCTION("""COMPUTED_VALUE"""),"")</f>
        <v/>
      </c>
    </row>
    <row r="899">
      <c r="G899" s="5" t="str">
        <f>IFERROR(__xludf.DUMMYFUNCTION("""COMPUTED_VALUE"""),"")</f>
        <v/>
      </c>
    </row>
    <row r="900">
      <c r="G900" s="5" t="str">
        <f>IFERROR(__xludf.DUMMYFUNCTION("""COMPUTED_VALUE"""),"")</f>
        <v/>
      </c>
    </row>
    <row r="901">
      <c r="G901" s="5" t="str">
        <f>IFERROR(__xludf.DUMMYFUNCTION("""COMPUTED_VALUE"""),"")</f>
        <v/>
      </c>
    </row>
    <row r="902">
      <c r="G902" s="5" t="str">
        <f>IFERROR(__xludf.DUMMYFUNCTION("""COMPUTED_VALUE"""),"")</f>
        <v/>
      </c>
    </row>
    <row r="903">
      <c r="G903" s="5" t="str">
        <f>IFERROR(__xludf.DUMMYFUNCTION("""COMPUTED_VALUE"""),"")</f>
        <v/>
      </c>
    </row>
    <row r="904">
      <c r="G904" s="5" t="str">
        <f>IFERROR(__xludf.DUMMYFUNCTION("""COMPUTED_VALUE"""),"")</f>
        <v/>
      </c>
    </row>
    <row r="905">
      <c r="G905" s="5" t="str">
        <f>IFERROR(__xludf.DUMMYFUNCTION("""COMPUTED_VALUE"""),"")</f>
        <v/>
      </c>
    </row>
    <row r="906">
      <c r="G906" s="5" t="str">
        <f>IFERROR(__xludf.DUMMYFUNCTION("""COMPUTED_VALUE"""),"")</f>
        <v/>
      </c>
    </row>
    <row r="907">
      <c r="G907" s="5" t="str">
        <f>IFERROR(__xludf.DUMMYFUNCTION("""COMPUTED_VALUE"""),"")</f>
        <v/>
      </c>
    </row>
    <row r="908">
      <c r="G908" s="5" t="str">
        <f>IFERROR(__xludf.DUMMYFUNCTION("""COMPUTED_VALUE"""),"")</f>
        <v/>
      </c>
    </row>
    <row r="909">
      <c r="G909" s="5" t="str">
        <f>IFERROR(__xludf.DUMMYFUNCTION("""COMPUTED_VALUE"""),"")</f>
        <v/>
      </c>
    </row>
    <row r="910">
      <c r="G910" s="5" t="str">
        <f>IFERROR(__xludf.DUMMYFUNCTION("""COMPUTED_VALUE"""),"")</f>
        <v/>
      </c>
    </row>
    <row r="911">
      <c r="G911" s="5" t="str">
        <f>IFERROR(__xludf.DUMMYFUNCTION("""COMPUTED_VALUE"""),"")</f>
        <v/>
      </c>
    </row>
    <row r="912">
      <c r="G912" s="5" t="str">
        <f>IFERROR(__xludf.DUMMYFUNCTION("""COMPUTED_VALUE"""),"")</f>
        <v/>
      </c>
    </row>
    <row r="913">
      <c r="G913" s="5" t="str">
        <f>IFERROR(__xludf.DUMMYFUNCTION("""COMPUTED_VALUE"""),"")</f>
        <v/>
      </c>
    </row>
    <row r="914">
      <c r="G914" s="5" t="str">
        <f>IFERROR(__xludf.DUMMYFUNCTION("""COMPUTED_VALUE"""),"")</f>
        <v/>
      </c>
    </row>
    <row r="915">
      <c r="G915" s="5" t="str">
        <f>IFERROR(__xludf.DUMMYFUNCTION("""COMPUTED_VALUE"""),"")</f>
        <v/>
      </c>
    </row>
    <row r="916">
      <c r="G916" s="5" t="str">
        <f>IFERROR(__xludf.DUMMYFUNCTION("""COMPUTED_VALUE"""),"")</f>
        <v/>
      </c>
    </row>
    <row r="917">
      <c r="G917" s="5" t="str">
        <f>IFERROR(__xludf.DUMMYFUNCTION("""COMPUTED_VALUE"""),"")</f>
        <v/>
      </c>
    </row>
    <row r="918">
      <c r="G918" s="5" t="str">
        <f>IFERROR(__xludf.DUMMYFUNCTION("""COMPUTED_VALUE"""),"")</f>
        <v/>
      </c>
    </row>
    <row r="919">
      <c r="G919" s="5" t="str">
        <f>IFERROR(__xludf.DUMMYFUNCTION("""COMPUTED_VALUE"""),"")</f>
        <v/>
      </c>
    </row>
    <row r="920">
      <c r="G920" s="5" t="str">
        <f>IFERROR(__xludf.DUMMYFUNCTION("""COMPUTED_VALUE"""),"")</f>
        <v/>
      </c>
    </row>
    <row r="921">
      <c r="G921" s="5" t="str">
        <f>IFERROR(__xludf.DUMMYFUNCTION("""COMPUTED_VALUE"""),"")</f>
        <v/>
      </c>
    </row>
    <row r="922">
      <c r="G922" s="5" t="str">
        <f>IFERROR(__xludf.DUMMYFUNCTION("""COMPUTED_VALUE"""),"")</f>
        <v/>
      </c>
    </row>
    <row r="923">
      <c r="G923" s="5" t="str">
        <f>IFERROR(__xludf.DUMMYFUNCTION("""COMPUTED_VALUE"""),"")</f>
        <v/>
      </c>
    </row>
    <row r="924">
      <c r="G924" s="5" t="str">
        <f>IFERROR(__xludf.DUMMYFUNCTION("""COMPUTED_VALUE"""),"")</f>
        <v/>
      </c>
    </row>
    <row r="925">
      <c r="G925" s="5" t="str">
        <f>IFERROR(__xludf.DUMMYFUNCTION("""COMPUTED_VALUE"""),"")</f>
        <v/>
      </c>
    </row>
    <row r="926">
      <c r="G926" s="5" t="str">
        <f>IFERROR(__xludf.DUMMYFUNCTION("""COMPUTED_VALUE"""),"")</f>
        <v/>
      </c>
    </row>
    <row r="927">
      <c r="G927" s="5" t="str">
        <f>IFERROR(__xludf.DUMMYFUNCTION("""COMPUTED_VALUE"""),"")</f>
        <v/>
      </c>
    </row>
    <row r="928">
      <c r="G928" s="5" t="str">
        <f>IFERROR(__xludf.DUMMYFUNCTION("""COMPUTED_VALUE"""),"")</f>
        <v/>
      </c>
    </row>
    <row r="929">
      <c r="G929" s="5" t="str">
        <f>IFERROR(__xludf.DUMMYFUNCTION("""COMPUTED_VALUE"""),"")</f>
        <v/>
      </c>
    </row>
    <row r="930">
      <c r="G930" s="5" t="str">
        <f>IFERROR(__xludf.DUMMYFUNCTION("""COMPUTED_VALUE"""),"")</f>
        <v/>
      </c>
    </row>
    <row r="931">
      <c r="G931" s="5" t="str">
        <f>IFERROR(__xludf.DUMMYFUNCTION("""COMPUTED_VALUE"""),"")</f>
        <v/>
      </c>
    </row>
    <row r="932">
      <c r="G932" s="5" t="str">
        <f>IFERROR(__xludf.DUMMYFUNCTION("""COMPUTED_VALUE"""),"")</f>
        <v/>
      </c>
    </row>
    <row r="933">
      <c r="G933" s="5" t="str">
        <f>IFERROR(__xludf.DUMMYFUNCTION("""COMPUTED_VALUE"""),"")</f>
        <v/>
      </c>
    </row>
    <row r="934">
      <c r="G934" s="5" t="str">
        <f>IFERROR(__xludf.DUMMYFUNCTION("""COMPUTED_VALUE"""),"")</f>
        <v/>
      </c>
    </row>
    <row r="935">
      <c r="G935" s="5" t="str">
        <f>IFERROR(__xludf.DUMMYFUNCTION("""COMPUTED_VALUE"""),"")</f>
        <v/>
      </c>
    </row>
    <row r="936">
      <c r="G936" s="5" t="str">
        <f>IFERROR(__xludf.DUMMYFUNCTION("""COMPUTED_VALUE"""),"")</f>
        <v/>
      </c>
    </row>
    <row r="937">
      <c r="G937" s="5" t="str">
        <f>IFERROR(__xludf.DUMMYFUNCTION("""COMPUTED_VALUE"""),"")</f>
        <v/>
      </c>
    </row>
    <row r="938">
      <c r="G938" s="5" t="str">
        <f>IFERROR(__xludf.DUMMYFUNCTION("""COMPUTED_VALUE"""),"")</f>
        <v/>
      </c>
    </row>
    <row r="939">
      <c r="G939" s="5" t="str">
        <f>IFERROR(__xludf.DUMMYFUNCTION("""COMPUTED_VALUE"""),"")</f>
        <v/>
      </c>
    </row>
    <row r="940">
      <c r="G940" s="5" t="str">
        <f>IFERROR(__xludf.DUMMYFUNCTION("""COMPUTED_VALUE"""),"")</f>
        <v/>
      </c>
    </row>
    <row r="941">
      <c r="G941" s="5" t="str">
        <f>IFERROR(__xludf.DUMMYFUNCTION("""COMPUTED_VALUE"""),"")</f>
        <v/>
      </c>
    </row>
    <row r="942">
      <c r="G942" s="5" t="str">
        <f>IFERROR(__xludf.DUMMYFUNCTION("""COMPUTED_VALUE"""),"")</f>
        <v/>
      </c>
    </row>
    <row r="943">
      <c r="G943" s="5" t="str">
        <f>IFERROR(__xludf.DUMMYFUNCTION("""COMPUTED_VALUE"""),"")</f>
        <v/>
      </c>
    </row>
    <row r="944">
      <c r="G944" s="5" t="str">
        <f>IFERROR(__xludf.DUMMYFUNCTION("""COMPUTED_VALUE"""),"")</f>
        <v/>
      </c>
    </row>
    <row r="945">
      <c r="G945" s="5" t="str">
        <f>IFERROR(__xludf.DUMMYFUNCTION("""COMPUTED_VALUE"""),"")</f>
        <v/>
      </c>
    </row>
    <row r="946">
      <c r="G946" s="5" t="str">
        <f>IFERROR(__xludf.DUMMYFUNCTION("""COMPUTED_VALUE"""),"")</f>
        <v/>
      </c>
    </row>
    <row r="947">
      <c r="G947" s="5" t="str">
        <f>IFERROR(__xludf.DUMMYFUNCTION("""COMPUTED_VALUE"""),"")</f>
        <v/>
      </c>
    </row>
    <row r="948">
      <c r="G948" s="5" t="str">
        <f>IFERROR(__xludf.DUMMYFUNCTION("""COMPUTED_VALUE"""),"")</f>
        <v/>
      </c>
    </row>
    <row r="949">
      <c r="G949" s="5" t="str">
        <f>IFERROR(__xludf.DUMMYFUNCTION("""COMPUTED_VALUE"""),"")</f>
        <v/>
      </c>
    </row>
    <row r="950">
      <c r="G950" s="5" t="str">
        <f>IFERROR(__xludf.DUMMYFUNCTION("""COMPUTED_VALUE"""),"")</f>
        <v/>
      </c>
    </row>
    <row r="951">
      <c r="G951" s="5" t="str">
        <f>IFERROR(__xludf.DUMMYFUNCTION("""COMPUTED_VALUE"""),"")</f>
        <v/>
      </c>
    </row>
    <row r="952">
      <c r="G952" s="5" t="str">
        <f>IFERROR(__xludf.DUMMYFUNCTION("""COMPUTED_VALUE"""),"")</f>
        <v/>
      </c>
    </row>
    <row r="953">
      <c r="G953" s="5" t="str">
        <f>IFERROR(__xludf.DUMMYFUNCTION("""COMPUTED_VALUE"""),"")</f>
        <v/>
      </c>
    </row>
    <row r="954">
      <c r="G954" s="5" t="str">
        <f>IFERROR(__xludf.DUMMYFUNCTION("""COMPUTED_VALUE"""),"")</f>
        <v/>
      </c>
    </row>
    <row r="955">
      <c r="G955" s="5" t="str">
        <f>IFERROR(__xludf.DUMMYFUNCTION("""COMPUTED_VALUE"""),"")</f>
        <v/>
      </c>
    </row>
    <row r="956">
      <c r="G956" s="5" t="str">
        <f>IFERROR(__xludf.DUMMYFUNCTION("""COMPUTED_VALUE"""),"")</f>
        <v/>
      </c>
    </row>
    <row r="957">
      <c r="G957" s="5" t="str">
        <f>IFERROR(__xludf.DUMMYFUNCTION("""COMPUTED_VALUE"""),"")</f>
        <v/>
      </c>
    </row>
    <row r="958">
      <c r="G958" s="5" t="str">
        <f>IFERROR(__xludf.DUMMYFUNCTION("""COMPUTED_VALUE"""),"")</f>
        <v/>
      </c>
    </row>
    <row r="959">
      <c r="G959" s="5" t="str">
        <f>IFERROR(__xludf.DUMMYFUNCTION("""COMPUTED_VALUE"""),"")</f>
        <v/>
      </c>
    </row>
    <row r="960">
      <c r="G960" s="5" t="str">
        <f>IFERROR(__xludf.DUMMYFUNCTION("""COMPUTED_VALUE"""),"")</f>
        <v/>
      </c>
    </row>
    <row r="961">
      <c r="G961" s="5" t="str">
        <f>IFERROR(__xludf.DUMMYFUNCTION("""COMPUTED_VALUE"""),"")</f>
        <v/>
      </c>
    </row>
    <row r="962">
      <c r="G962" s="5" t="str">
        <f>IFERROR(__xludf.DUMMYFUNCTION("""COMPUTED_VALUE"""),"")</f>
        <v/>
      </c>
    </row>
    <row r="963">
      <c r="G963" s="5" t="str">
        <f>IFERROR(__xludf.DUMMYFUNCTION("""COMPUTED_VALUE"""),"")</f>
        <v/>
      </c>
    </row>
    <row r="964">
      <c r="G964" s="5" t="str">
        <f>IFERROR(__xludf.DUMMYFUNCTION("""COMPUTED_VALUE"""),"")</f>
        <v/>
      </c>
    </row>
    <row r="965">
      <c r="G965" s="5" t="str">
        <f>IFERROR(__xludf.DUMMYFUNCTION("""COMPUTED_VALUE"""),"")</f>
        <v/>
      </c>
    </row>
    <row r="966">
      <c r="G966" s="5" t="str">
        <f>IFERROR(__xludf.DUMMYFUNCTION("""COMPUTED_VALUE"""),"")</f>
        <v/>
      </c>
    </row>
    <row r="967">
      <c r="G967" s="5" t="str">
        <f>IFERROR(__xludf.DUMMYFUNCTION("""COMPUTED_VALUE"""),"")</f>
        <v/>
      </c>
    </row>
    <row r="968">
      <c r="G968" s="5" t="str">
        <f>IFERROR(__xludf.DUMMYFUNCTION("""COMPUTED_VALUE"""),"")</f>
        <v/>
      </c>
    </row>
    <row r="969">
      <c r="G969" s="5" t="str">
        <f>IFERROR(__xludf.DUMMYFUNCTION("""COMPUTED_VALUE"""),"")</f>
        <v/>
      </c>
    </row>
    <row r="970">
      <c r="G970" s="5" t="str">
        <f>IFERROR(__xludf.DUMMYFUNCTION("""COMPUTED_VALUE"""),"")</f>
        <v/>
      </c>
    </row>
    <row r="971">
      <c r="G971" s="5" t="str">
        <f>IFERROR(__xludf.DUMMYFUNCTION("""COMPUTED_VALUE"""),"")</f>
        <v/>
      </c>
    </row>
    <row r="972">
      <c r="G972" s="5" t="str">
        <f>IFERROR(__xludf.DUMMYFUNCTION("""COMPUTED_VALUE"""),"")</f>
        <v/>
      </c>
    </row>
    <row r="973">
      <c r="G973" s="5" t="str">
        <f>IFERROR(__xludf.DUMMYFUNCTION("""COMPUTED_VALUE"""),"")</f>
        <v/>
      </c>
    </row>
    <row r="974">
      <c r="G974" s="5" t="str">
        <f>IFERROR(__xludf.DUMMYFUNCTION("""COMPUTED_VALUE"""),"")</f>
        <v/>
      </c>
    </row>
    <row r="975">
      <c r="G975" s="5" t="str">
        <f>IFERROR(__xludf.DUMMYFUNCTION("""COMPUTED_VALUE"""),"")</f>
        <v/>
      </c>
    </row>
    <row r="976">
      <c r="G976" s="5" t="str">
        <f>IFERROR(__xludf.DUMMYFUNCTION("""COMPUTED_VALUE"""),"")</f>
        <v/>
      </c>
    </row>
    <row r="977">
      <c r="G977" s="5" t="str">
        <f>IFERROR(__xludf.DUMMYFUNCTION("""COMPUTED_VALUE"""),"")</f>
        <v/>
      </c>
    </row>
    <row r="978">
      <c r="G978" s="5" t="str">
        <f>IFERROR(__xludf.DUMMYFUNCTION("""COMPUTED_VALUE"""),"")</f>
        <v/>
      </c>
    </row>
    <row r="979">
      <c r="G979" s="5" t="str">
        <f>IFERROR(__xludf.DUMMYFUNCTION("""COMPUTED_VALUE"""),"")</f>
        <v/>
      </c>
    </row>
    <row r="980">
      <c r="G980" s="5" t="str">
        <f>IFERROR(__xludf.DUMMYFUNCTION("""COMPUTED_VALUE"""),"")</f>
        <v/>
      </c>
    </row>
    <row r="981">
      <c r="G981" s="5" t="str">
        <f>IFERROR(__xludf.DUMMYFUNCTION("""COMPUTED_VALUE"""),"")</f>
        <v/>
      </c>
    </row>
    <row r="982">
      <c r="G982" s="5" t="str">
        <f>IFERROR(__xludf.DUMMYFUNCTION("""COMPUTED_VALUE"""),"")</f>
        <v/>
      </c>
    </row>
    <row r="983">
      <c r="G983" s="5" t="str">
        <f>IFERROR(__xludf.DUMMYFUNCTION("""COMPUTED_VALUE"""),"")</f>
        <v/>
      </c>
    </row>
    <row r="984">
      <c r="G984" s="5" t="str">
        <f>IFERROR(__xludf.DUMMYFUNCTION("""COMPUTED_VALUE"""),"")</f>
        <v/>
      </c>
    </row>
    <row r="985">
      <c r="G985" s="5" t="str">
        <f>IFERROR(__xludf.DUMMYFUNCTION("""COMPUTED_VALUE"""),"")</f>
        <v/>
      </c>
    </row>
    <row r="986">
      <c r="G986" s="5" t="str">
        <f>IFERROR(__xludf.DUMMYFUNCTION("""COMPUTED_VALUE"""),"")</f>
        <v/>
      </c>
    </row>
    <row r="987">
      <c r="G987" s="5" t="str">
        <f>IFERROR(__xludf.DUMMYFUNCTION("""COMPUTED_VALUE"""),"")</f>
        <v/>
      </c>
    </row>
    <row r="988">
      <c r="G988" s="5" t="str">
        <f>IFERROR(__xludf.DUMMYFUNCTION("""COMPUTED_VALUE"""),"")</f>
        <v/>
      </c>
    </row>
    <row r="989">
      <c r="G989" s="5" t="str">
        <f>IFERROR(__xludf.DUMMYFUNCTION("""COMPUTED_VALUE"""),"")</f>
        <v/>
      </c>
    </row>
    <row r="990">
      <c r="G990" s="5" t="str">
        <f>IFERROR(__xludf.DUMMYFUNCTION("""COMPUTED_VALUE"""),"")</f>
        <v/>
      </c>
    </row>
    <row r="991">
      <c r="G991" s="5" t="str">
        <f>IFERROR(__xludf.DUMMYFUNCTION("""COMPUTED_VALUE"""),"")</f>
        <v/>
      </c>
    </row>
    <row r="992">
      <c r="G992" s="5" t="str">
        <f>IFERROR(__xludf.DUMMYFUNCTION("""COMPUTED_VALUE"""),"")</f>
        <v/>
      </c>
    </row>
    <row r="993">
      <c r="G993" s="5" t="str">
        <f>IFERROR(__xludf.DUMMYFUNCTION("""COMPUTED_VALUE"""),"")</f>
        <v/>
      </c>
    </row>
    <row r="994">
      <c r="G994" s="5" t="str">
        <f>IFERROR(__xludf.DUMMYFUNCTION("""COMPUTED_VALUE"""),"")</f>
        <v/>
      </c>
    </row>
    <row r="995">
      <c r="G995" s="5" t="str">
        <f>IFERROR(__xludf.DUMMYFUNCTION("""COMPUTED_VALUE"""),"")</f>
        <v/>
      </c>
    </row>
    <row r="996">
      <c r="G996" s="5" t="str">
        <f>IFERROR(__xludf.DUMMYFUNCTION("""COMPUTED_VALUE"""),"")</f>
        <v/>
      </c>
    </row>
    <row r="997">
      <c r="G997" s="5" t="str">
        <f>IFERROR(__xludf.DUMMYFUNCTION("""COMPUTED_VALUE"""),"")</f>
        <v/>
      </c>
    </row>
    <row r="998">
      <c r="G998" s="5" t="str">
        <f>IFERROR(__xludf.DUMMYFUNCTION("""COMPUTED_VALUE"""),"")</f>
        <v/>
      </c>
    </row>
    <row r="999">
      <c r="G999" s="5" t="str">
        <f>IFERROR(__xludf.DUMMYFUNCTION("""COMPUTED_VALUE"""),"")</f>
        <v/>
      </c>
    </row>
    <row r="1000">
      <c r="G1000" s="5" t="str">
        <f>IFERROR(__xludf.DUMMYFUNCTION("""COMPUTED_VALUE"""),"")</f>
        <v/>
      </c>
    </row>
  </sheetData>
  <drawing r:id="rId1"/>
</worksheet>
</file>