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RespuestaIdeal_2042to" sheetId="1" r:id="rId5"/>
  </sheets>
  <definedNames/>
  <calcPr/>
</workbook>
</file>

<file path=xl/sharedStrings.xml><?xml version="1.0" encoding="utf-8"?>
<sst xmlns="http://schemas.openxmlformats.org/spreadsheetml/2006/main" count="246" uniqueCount="166">
  <si>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</si>
  <si>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</si>
  <si>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</si>
  <si>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</si>
  <si>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</si>
  <si>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</si>
  <si>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</si>
  <si>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</si>
  <si>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</si>
  <si>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</si>
  <si>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</si>
  <si>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</si>
  <si>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</si>
  <si>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</si>
  <si>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</si>
  <si>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'Pregunta: Describe cómo se pueden utilizar las aserciones en los tests y por qué son importantes.',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</si>
  <si>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Okay, vamos a analizar y calificar esta respuesta sobre aserciones en pruebas (tests).
**Calificación: 6/10**
**Justificación:**
La respuesta demuestra una comprensión básica de la función de las aserciones, pero le falta precisión y profundidad. A continuación, desgloso los puntos fuertes y débiles:
*   **Puntos Fuertes:**
    *   **Concepto general correcto:** Se entiende que las aserciones se utilizan en relación con los tests. La idea de que sirven para validar el funcionamiento es fundamental y se menciona correctamente.
    *   **Secuencia lógica:** La descripción de la secuencia (añadir test, implementar, usar aserciones, ejecutar) tiene lógica.
*   **Puntos Débiles / Conceptos que faltan:**
    *   **Definición de Aserción:** La respuesta no define *qué* son las aserciones.  Debería explicar que las aserciones son expresiones booleanas (que evalúan a verdadero o falso) que se utilizan para verificar si una condición esperada se cumple en un punto específico del código.  La respuesta simplemente menciona "asecerciones" sin explicar su naturaleza.
    *   **Propósito Detallado:** La respuesta se enfoca en la ejecución del test, pero no explica el propósito real de las aserciones: **verificar que el código se comporta como se espera**.  Es decir, no solo se trata de ejecutar el test, sino de comprobar que *el resultado* del test es el correcto.
    *   **Ejemplos:** La respuesta utiliza un ejemplo genérico ("por ejemplo, se añade un test..."). Sería mucho más valioso incluir un ejemplo simple de una aserción, como `assert x == 5` (afirmando que la variable 'x' es igual a 5).  Esto haría la explicación mucho más tangible.
    *   **Tipos de Aserciones:** No se menciona que existen diferentes tipos de aserciones (igualdad, pertenencia, etc.).
    *   **Manejo de Fallos:** No se menciona qué sucede cuando una aserción falla. Idealmente, la respuesta debería indicar que una aserción fallida levanta una excepción (AssertionError) y detiene la ejecución del test, indicando un problema en el código.
**Comparación con Correcciones Reales (Ejemplos):**
Aquí hay</t>
  </si>
  <si>
    <t>Respuesta: Las aserciones en el contexto del software, son muy relevantes para cubrir el codigo y evitar excepciones y errores que provocarian si no son revisados con este metodo asertivo.</t>
  </si>
  <si>
    <t>Okay, veamos la respuesta del estudiante y la evaluemos según los criterios que me has proporcionado.
**Respuesta del Estudiante:** "Las aserciones en el contexto del software, son muy relevantes para cubrir el codigo y evitar excepciones y errores que provocarian si no son revisados con este metodo asertivo."
**Calificación:** 4/10
**Justificación:**
*   **Conceptos Correctamente Mencionados:** El estudiante identifica correctamente que las aserciones se usan en el contexto del software y que su propósito es evitar errores.  Hay un entendimiento básico de que están relacionadas con la detección de problemas.
*   **Errores Detectados:**
    *   **Vaguedad:** La respuesta es extremadamente vaga. No explica *cómo* las aserciones cubren el código ni *cómo* evitan excepciones y errores. Simplemente lo afirma.  Falta la explicación central.
    *   **Terminología Imprecisa:**  El uso de "cubrir el código" es una frase poco precisa y confusa. Las aserciones no "cubren" el código como una capa protectora; se insertan estratégicamente en puntos clave.
    *   **"Método asertivo":** Esta frase es innecesaria y suena confusa.  Se refiere al uso de aserciones pero no lo explica.
    *   **Falta de Detalles:**  No se menciona el propósito principal de las aserciones: verificar condiciones que *deben* ser verdaderas en un punto determinado del código durante la ejecución.
*   **Conceptos Importantes Faltantes:**
    *   **Propósito Principal:**  No se menciona el propósito fundamental de una aserción:  verificar *condiciones previas, invariantes o postcondiciones*.
    *   **Momento de Uso:**  No se indica que las aserciones se usan principalmente durante el desarrollo y la depuración, y que generalmente se deshabilitan en versiones de producción del software.
    *   **Ejemplo:**  Un ejemplo sencillo de una aserción (por ejemplo, `assert(x &gt; 0)` en un contexto donde `x` debe ser siempre positivo) hubiera mejorado significativamente la respuesta.
    *   **Diferencia con el manejo de excepciones:** No se aclara que las aserciones son para errores de *programación* (lógica incorrecta) y</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</si>
  <si>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</si>
  <si>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</si>
  <si>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</si>
  <si>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</si>
  <si>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</si>
  <si>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 xml:space="preserve">Okay, vamos a analizar la respuesta del estudiante y asignarle una calificación justificada.
**Respuesta del Estudiante:** "Las aserciones en los test son importantes ya que son los que nos dan la confirmación de que los tests están bien hechos y desarrollados y consiguen abarcar todas o la mayoria de los posibles errores de neustros test y codigo de proyecto."
**Calificación:** 5/10
**Justificación:**
*   **Precisión Conceptual:** La respuesta muestra una comprensión *parcial* de la idea detrás de las aserciones en pruebas. El estudiante reconoce que las aserciones están relacionadas con la calidad de las pruebas y el código. Sin embargo, la explicación es vaga y no entra en detalles esenciales.
*   **Completitud:** La respuesta es *incompleta*. No explica *qué son* las aserciones (afirmaciones sobre el estado del sistema/variable/valor en un punto dado), ni *cómo funcionan* en la práctica (comparación de valores esperados vs. reales). Se centra en el *resultado* (confirmación de que el test está bien hecho) en lugar de el *proceso*.
*   **Uso de Terminología:**  El lenguaje es un poco confuso y con errores ("neustros" en lugar de "nuestros"). Si bien utiliza el término "test", no explora otros términos relevantes como "caso de prueba", "valor esperado", "valor actual" o "verificación".
*   **Claridad de la Explicación:** La explicación es *poco clara*. La frase "abarcar todas o la mayoría de los posibles errores" es una exageración y no refleja la realidad de las pruebas.  La conexión entre las aserciones y la cobertura de errores es implícita, pero no se explica explícitamente.
**Puntos Fuertes:**
*   El estudiante reconoce la importancia de las aserciones para validar el código.
**Errores/Omisiones:**
*   No define qué son las aserciones.
*   No explica el mecanismo de comparación que realizan las aserciones.
*   No menciona el concepto de "valor esperado" y "valor actual."
*   Sobreestima la capacidad de las aserciones para encontrar *todos* los errores.
*   Presenta un lenguaje poco preciso y errores gramaticales.
**Conceptos Importantes Faltantes:**
*   </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</si>
  <si>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</si>
  <si>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 Corrección de la Respuesta sobre Aserciones en Test
**Calificación: 6/10**
**Análisis:**
La respuesta demuestra una comprensión básica de lo que son las aserciones y su propósito general en el contexto de las pruebas de software, pero adolece de precisión y completitud.
**Puntos Fuertes:**
*   **Concepto Correcto (Parcial):** El estudiante identifica correctamente que las aserciones están relacionadas con la verificación de la funcionalidad de las pruebas.
*   **Analogía:** La analogía con un "validador" es comprensible y ayuda a entender su función.
*   **Menciona la cobertura:**  La referencia a la cobertura de pruebas (90%) es pertinente y muestra una conexión con la práctica de testeo.
**Errores y Falta de Detalles:**
*   **Definición Imprecisa:** La definición de "aserción" es demasiado general. No explica qué *son* las aserciones técnicamente (una expresión booleana que evalúa una condición) ni cómo funcionan. Se limita a describir su rol.
*   **Falta de Ejemplos:** No proporciona ningún ejemplo de una aserción concreta (e.g., "assertEqual(resultado, valor_esperado)"). La ausencia de ejemplos dificulta la comprensión de cómo se utilizan en la práctica.
*   **Profundidad Insuficiente:** No explica qué sucede cuando una aserción falla. Esto es crucial para entender por qué son importantes. Se asume que si los tests pasan, las funcionalidades son correctas, pero no explica el papel de la aserción en confirmar esa corrección.
*   **Terminología:** Aunque usa el término "funcionalidades," podría ser más preciso referirse a "resultados" o "comportamiento esperado" en el contexto de las pruebas.
*   **Omisión de la relación con el framework de pruebas:** No se menciona que las aserciones son parte integral de un framework de pruebas y que cada framework tiene su propio conjunto de métodos de aserción.
**Justificación de la Calificación:**
La respuesta muestra un entendimiento superficial del concepto, pero carece de la profundidad, la precisión y los detalles necesarios para considerarla completamente correcta. La analogía es útil, pero no sustituye una explicación técnica más completa.  Se le da un 6/10 porque demuestra que el estudiante tiene una idea general</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</si>
  <si>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</si>
  <si>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Okay, voy a analizar la respuesta del estudiante y la calificaré, proporcionando una justificación detallada.
**Calificación: 4/10**
**Análisis:**
* **Precisión Conceptual (2/3):** La respuesta captura la idea básica de que las aserciones se usan para verificar el comportamiento de un test y detectar errores (el "false"). Esto es un punto a favor. Sin embargo, la descripción es muy vaga y simplista.  La idea de "si el test funciona correctamente o no" es demasiado general. No especifica *qué* se está probando ni *cómo* se hace la verificación.
* **Completitud (2/4):**  La respuesta menciona la importancia de las aserciones para evitar duplicados, huecos en blanco y comparación de arrays, lo cual demuestra una comprensión superficial de algunos de sus usos.  Sin embargo, la explicación es muy breve y no explora la profundidad de estos casos.  Faltan muchos otros usos y aspectos importantes de las aserciones.
* **Uso de Terminología (1/3):** La terminología es imprecisa y a veces incorrecta.  Habla de "test funciona correctamente o no", sin definir explícitamente que se refiere a una prueba unitaria o similar.  El uso de "arrays" es correcto, pero en un contexto tan general no aporta mucho valor.  La frase "devuelve un false" es vaga; debería decir "afirma que la condición es falsa" o algo similar.
* **Claridad de la Explicación (1/2):** La explicación es difícil de seguir. La estructura gramatical es un poco confusa y la redacción no es muy clara. La falta de ejemplos concretos dificulta la comprensión.
**Justificación Detallada:**
La respuesta muestra una comprensión básica, pero limitada, del concepto de aserciones.  El estudiante parece entender que sirven para verificar resultados y detectar errores. Sin embargo, la explicación es demasiado simplista y carece de precisión.
**Conceptos Correctamente Mencionados:**
*   El propósito de las aserciones es verificar la validez de condiciones en el código.
*   Las aserciones pueden usarse para detectar errores (cuando una condición evaluada es falsa).
*   Se mencionan ejemplos de casos de uso como la prevención de duplicados y la comparación de arrays.
**Errores Detectados:**</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</si>
  <si>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</si>
  <si>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 Corrección de la Respuesta sobre "Assertions"
**Calificación:** 7.5 / 10
**Justificación:**
La respuesta es generalmente correcta y demuestra comprensión básica del concepto de assertions, pero podría ser más completa y precisa.
**Puntos Fuertes (Conceptos Correctamente Mencionados):**
* **Definición general:** La definición inicial de "assertions" como validaciones que funcionan cuando se cumple una condición y fallan cuando no, es precisa.
* **Relación con testing:** La mención del uso de assertions en conjunto con test unitarios y TDD (Test-Driven Development) es correcta y relevante.
* **Ejemplos de tipos:**  Se mencionan algunos ejemplos de tipos de assertions (@AssertTrue(), @AssertFalse(), @AssertSum()), lo cual es bueno para ilustrar la variedad.
* **Beneficios:** Se destaca correctamente que las assertions permiten crear código más robusto al considerar el manejo de valores erróneos o nulos.
**Errores y Conceptos Faltantes:**
* **Falta de detalle en el propósito:** La respuesta se centra en el *funcionamiento* de las assertions (qué hacen cuando se cumplen o no las condiciones), pero no explica *por qué* son importantes en el contexto de desarrollo.  No se menciona que las assertions verifican supuestos sobre el estado del programa en un punto dado, permitiendo detectar errores en el diseño o implementación.
* **Generalización excesiva:** La afirmación de que las assertions permiten "tener en cuenta cómo manejar valores erróneos o nulos en nuestro código" es un poco engañosa.  Las assertions *detectan* la presencia de valores erróneos o nulos, pero no los *gestionan*.  La gestión de errores se realiza mediante estructuras de control (try-catch, if-else) basadas en la información proporcionada por las assertions fallidas.
* **Contexto de la validación:** Se podría haber mencionado que las assertions no son solo para validaciones de datos, sino también para verificar que el flujo de control del programa se comporta como se espera.
* **Lenguaje Específico:** Mencionar el lenguaje de programación en el que se utilizan estas anotaciones (@AssertTrue(), @AssertFalse(), @AssertSum()) ayudaría a darle más contexto. Por ejemplo, son comunes en Java con JUnit o Python con pytest.
**Recomendaciones para Mejorar la Respuesta:**
* **Explic</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</si>
  <si>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</si>
  <si>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 Corrección de la Respuesta sobre Aserciones
**Calificación:** 7.5 / 10
**Justificación:**
La respuesta es bastante buena y demuestra una comprensión básica de lo que son las aserciones y su uso. A continuación, desglosamos los puntos fuertes y las áreas de mejora:
**Puntos Fuertes:**
* **Concepto Correcto:** La respuesta identifica correctamente que las aserciones sirven para validar entradas (o, más precisamente, resultados) en un test. Esto es crucial para comprender su propósito fundamental.
* **Ejemplo de Arquitectura AAA:** La mención de la arquitectura AAA (Arrange, Act, Assert) es muy relevante y demuestra conocimiento de una práctica común en el desarrollo de pruebas.
* **Ejemplos de Métodos:** Proporciona ejemplos concretos de métodos de aserción comunes como `assertEquals`, `assertTrue` y `assertFalse`. Esto ilustra cómo se aplican las aserciones en la práctica.
* **Importancia de la Integridad de Datos:**  La respuesta menciona correctamente la importancia de las aserciones para mantener la integridad de los datos y evitar inconsistencias, que es un objetivo clave al realizar pruebas.
**Errores y Conceptos Faltantes:**
* **Validación de Entradas vs. Resultados:** Si bien la idea general es correcta, la afirmación de que las aserciones validan *entradas* es ligeramente imprecisa. Las aserciones se utilizan principalmente para validar los *resultados* de una acción (el "Act" en la arquitectura AAA) en relación con las expectativas.  La validación de entradas suele ocurrir antes del "Act", a través de otros mecanismos (como validación de datos al recibir la entrada).
* **Alcance de las Aserciones:** La respuesta se enfoca principalmente en las aserciones basadas en comparaciones (igualdad, verdad/falsedad).  Existen otros tipos de aserciones más complejas que podrían ser mencionadas (por ejemplo, aserciones sobre excepciones que se deben lanzar o que no se deben lanzar).
* **Propósito Más Amplio:** Si bien la integridad de los datos es importante, la respuesta podría enfatizar un poco más el propósito central de las aserciones: **verificar que el código se comporta como se espera.**  Las aserciones son la columna vertebral de las pruebas unitarias, y su principal función es asegurar que cada componente del código funciona</t>
  </si>
  <si>
    <t>Respuesta: las aserciones permiten validar que el test haya pasado o no despues de haber declarado las variables con arrange y ejecutarlas con act, y assert valida que el test haya sido pasado con éxito, que es lo que buscamos</t>
  </si>
  <si>
    <t>Okay, vamos a analizar esta respuesta y asignarle una calificación, basándonos en mi experiencia como profesor experto en evaluación académica.
**Respuesta del estudiante:** "las aserciones permiten validar que el test haya pasado o no despues de haber declarado las variables con arrange y ejecutarlas con act, y assert valida que el test haya sido pasado con éxito, que es lo que buscamos"
**Calificación: 5 / 10**
**Justificación:**
* **Conceptos Correctamente Mencionados:** El estudiante intenta relacionar las aserciones (assertions) con el proceso de prueba (testing), lo cual es un punto positivo. También menciona correctamente los términos "arrange" y "act", insinuando una comprensión básica de la estructura de una prueba unitaria típica.
* **Errores Detectados:** La explicación es *muy* vaga y confusa.  El uso de "validar que el test haya pasado o no" es redundante y no demuestra un entendimiento profundo del propósito de las aserciones. La frase "después de haber declarado las variables con arrange y ejecutarlas con act" es correcta en su intencion, pero carece de la claridad necesaria para ser considerada una explicación sólida.  Lo más importante, no explica *qué* es una aserción ni *cómo* funciona. La idea de que "assert valida que el test haya sido pasado con éxito" es, en cierta medida, un malentendido. La aserción no valida que el test *haya sido* pasado, sino que *verifica* una condición específica *durante* la ejecución del test.
* **Conceptos Importantes que Faltan:**
    * **Definición de Aserción:**  La respuesta no define qué es una aserción en el contexto de las pruebas. Debería indicar que una aserción es una expresión que evalúa una condición y falla (lanzando una excepción) si la condición no se cumple.
    * **Propósito Principal de la Aserción:** La respuesta no explica que el propósito principal de una aserción es **verificar que el resultado de una operación sea el esperado**. No es simplemente para "validar" si el test ha pasado o no, sino para confirmar la *corrección* del código bajo prueba.
    * **Relación entre Arrange, Act, Assert y la Aserción:** Aunque menciona "arrange" y "act", no explica cómo las aserciones</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</si>
  <si>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</si>
  <si>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 Corrección de la Respuesta sobre "Assertions"
**Calificación:** 6/10
**Análisis:**
* **Precisión Conceptual:** La respuesta identifica correctamente la función básica de las assertions: comparar un resultado real con uno esperado.  Entiende que un fallo en la assertion provoca un error y afecta el estado del test. Sin embargo, la explicación es superficial y simplista.
* **Completitud:** La respuesta es incompleta.  Falta la descripción de *para qué* se usan las assertions en el contexto de las pruebas (y más allá).  No se menciona que las assertions son, fundamentalmente, para *depuración* y para asegurar que el código se comporta como se espera durante el desarrollo, no solo para indicar el éxito o fracaso de una prueba.  La idea de "test salta verde/rojo" es una consecuencia de su uso, no la definición en sí.
* **Uso de Terminología:** El uso de la palabra "instruccion" es un poco impreciso.  Sería mejor decir "declaración" o "sentencia". El término "test" se usa de forma informal.
* **Claridad de la Explicación:** La explicación es algo confusa, especialmente la parte sobre "el test salta verde y pasara".  No hay una conexión clara entre el fallo de la assertion y el color del test.  La redacción general puede mejorar.
**Justificación de la Nota:**
Se le otorga un 6 porque la respuesta demuestra una comprensión básica de la idea de las assertions como herramientas de comparación para verificar resultados, y reconoce su impacto en el resultado de un test.  Sin embargo, la falta de profundidad en la explicación, el uso de terminología ligeramente inexacta y la omisión de la función principal de las assertions (depuración) impiden que reciba una calificación más alta. 
**Conceptos Correctamente Mencionados:**
* Comparación de resultado real con resultado esperado.
* Detección de errores al fallar.
* Impacto en el estado (éxito/fracaso) del test.
**Errores Detectados:**
* Simplificación excesiva de la función de las assertions.
* Uso impreciso de la palabra "instruccion".
* No se menciona el propósito principal de depuración y verificación del código.
* Explicación confusa sobre la relación entre fallas en la assertion y el</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</si>
  <si>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</si>
  <si>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Okay, vamos a analizar y calificar esta respuesta sobre aserciones.
**Calificación: 4/10**
**Justificación:**
Esta respuesta demuestra una comprensión *parcial* del concepto de aserciones, pero carece de profundidad y precisión. A continuación, un desglose:
* **Conceptos Correctamente Mencionados:**
    * La idea general de que las aserciones sirven para verificar la corrección de una afirmación o condición es correcta. Se entiende la idea de "comprobación".
    * El reconocimiento de que las aserciones se pueden usar en diferentes contextos (clases, métodos) es parcialmente acertado.
* **Errores Detectados:**
    * **Definición Imprecisa:** La definición de "aserción" como "validación que comprueba si una afirmación es correcta" es simplista y no captura la esencia del concepto. Una aserción no es simplemente una "validación"; es una expresión booleana que se evalúa para verificar una condición específica en un punto determinado del código.  Falta mencionar que la aserción *debe* ser verdadera en ese punto.
    * **"Al contrario":**  La frase "y al contrario" es confusa y carece de sentido en este contexto.  No queda claro a qué se refiere.
    * **Uso del Término "Ramas":**  La mención de "ramas" en relación con las aserciones es vaga e incorrecta.  Aunque una aserción puede influir en el flujo del programa (por ejemplo, si falla y se detiene la ejecución), no se relaciona directamente con las "ramas" en el sentido de las estructuras de control (if/else).
    * **Explicación de la Importancia Insuficiente:** La explicación de por qué las aserciones son necesarias en las pruebas es simplista.  Afirmar que "si no hay una validación previa, el test no se va a basar en ningún parámetro para calificar el código" es cierto en parte, pero no explica adecuadamente el propósito de las aserciones: garantizar la corrección de *precondiciones, postcondiciones e invariantes* del código.  Las aserciones ayudan a detectar errores tempranamente y a mejorar la depuración.
* **Conceptos Importantes que Faltan:**
    * **Naturaleza Booleana:** No se</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</si>
  <si>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</si>
  <si>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 Corrección de la Respuesta sobre Aserciones en Tests
**Calificación:** 6/10
**Análisis:**
Esta respuesta demuestra una comprensión básica del concepto de aserciones en pruebas, pero carece de profundidad y precisión.
**Puntos Fuertes:**
* **Concepto Central Correcto:**  El estudiante identifica correctamente que las aserciones se utilizan para verificar condiciones.
* **Ejemplo Relevante:** Menciona `AssertTrue` como un ejemplo de aserción, lo que indica familiaridad con la terminología básica.
* **Importancia Reconocida:** Señala la utilidad de las aserciones para optimizar el desarrollo y la verificación de código.
**Errores y Deficiencias:**
* **Explicación Superficial:** La descripción de la función de las aserciones es muy general y no profundiza en el propósito principal: *verificar que el código se comporta como se espera*. Se enfoca más en la "eficiencia" que en la validación de la lógica.
* **Terminología Incompleta:** Si bien menciona `AssertTrue`, no aborda la variedad de tipos de aserciones disponibles (e.g., `AssertEquals`, `AssertNotEquals`, `AssertRaises`, etc.).  La falta de mencionar otros tipos limita la comprensión del alcance de las aserciones.
* **Ausencia de la Consecuencia del Fallo:** La respuesta no menciona lo que sucede cuando una aserción falla. Es importante entender que una aserción fallida detiene la ejecución del test y reporta un error.  Esta es una parte crucial de su función.
* **Falta de Contexto:** No se explica el contexto en el que se utilizan las aserciones dentro de un framework de testing (e.g., pytest, unittest en Python).
**Justificación:**
La respuesta es correcta en la idea general, pero carece de los detalles y la profundidad necesarios para una comprensión completa.  Demuestra que el estudiante ha oído hablar de las aserciones, pero no necesariamente comprende su funcionamiento interno ni su importancia en el proceso de pruebas. La mención de `AssertTrue` y la idea de optimización son puntos positivos, pero la falta de explicaciones adicionales y la omisión de aspectos clave como el manejo de errores impiden una calificación más alta.
**Ejemplo de Corrección Real (para comparar):**
"En pruebas de software, las aserc</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</si>
  <si>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</si>
  <si>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analicemos la respuesta del estudiante sobre las "assertions" en pruebas (testing) y la calificaré según los criterios solicitados.
**Calificación: 6.5 / 10**
**Análisis Detallado:**
* **Precisión Conceptual:** La respuesta demuestra un entendimiento básico del propósito principal de las assertions: validar condiciones.  El estudiante capta la idea de que una assertion fallida indica un problema. Sin embargo, la explicación carece de profundidad en cuanto a *qué* tipos de condiciones se validan típicamente y *por qué* se usan.
* **Completitud de la Respuesta:** La respuesta es breve y toca los puntos básicos, pero no explora completamente el tema.  Faltan detalles importantes sobre el uso de assertions en la práctica del testing.  No se menciona el propósito principal de las assertions: detectar errores de lógica *antes* de que lleguen a las pruebas de integración o al usuario final. Tampoco se menciona que las assertions están destinadas a cubrir condiciones que *nunca deberían ocurrir* en un código correcto.
* **Uso Correcto de la Terminología:** El estudiante usa "assertion" correctamente, aunque la grafía "assercion" es incorrecta.  El uso de "validacion" es adecuado, pero podría ser más preciso, dependiendo del contexto.
* **Claridad de la Explicación:** La explicación es clara en su esencia, pero un poco vaga. La frase "ver como es el flujo del programa" es poco precisa y no explica realmente cómo las assertions ayudan a comprender el flujo.
**Justificación de la Nota:**
La nota de 6.5 refleja que el estudiante tiene una comprensión parcial del concepto.  Logra identificar la función básica de las assertions en la validación y la relación con el fracaso de una prueba, lo que merece un puntaje decente.  
**Puntos Fuertes:**
* Identifica correctamente que las assertions están relacionadas con la validación y el fracaso de las pruebas.
**Puntos Débiles / Omisiones:**
* **Ortografía:** El error de ortografía "assercion" debe corregirse.
* **Profundidad:** No explica *por qué* se validan ciertas condiciones.  Las assertions se usan para verificar precondiciones, postcondiciones, invariantes y otros aspectos que deben ser verdaderos en puntos específicos del código.
* **Propósito Principal:**  No</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</si>
  <si>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</si>
  <si>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 xml:space="preserve">## Corrección de la respuesta sobre "Aserciones en Test"
**Calificación:** 7/10
**Análisis:**
La respuesta demuestra una comprensión general del concepto de aserciones en pruebas unitarias, pero carece de profundidad y detalle cruciales.
**Puntos Fuertes (Conceptos Correctamente Mencionados):**
*   **Importancia de las aserciones:** Reconoce que las aserciones son fundamentales para definir y validar pruebas, estableciendo expectativas sobre los resultados.
*   **Aserciones como filtro:** Entiende el rol de las aserciones para verificar si el resultado de una prueba coincide con el valor esperado.
*   **Diversidad de aserciones:** Menciona la existencia de múltiples tipos de aserciones para diferentes tipos de datos (enteros, NULL, Arrays).
**Errores Detectados:**
*   **Errores de Terminología y Redacción:** El uso de "asserEqual" como nombre de aserción es incorrecto.  Debería haber mencionado ejemplos de aserciones comunes como `assertEquals`, `assertTrue`, `assertFalse`, `assertNull`, `assertNotNull`, `assertArrayEquals`, etc.  La redacción es a veces un poco confusa y repetitiva.
*   **Falta de Especificidad:**  La explicación de cómo funcionan las aserciones es muy superficial.  No explica *cómo* se comparan los valores, ni qué sucede cuando una aserción falla (importante para entender la retroalimentación de las pruebas).
*   **Conceptos Importantes Ausentes:**
    *   **Propósito principal de las pruebas unitarias:**  La respuesta no conecta las aserciones con el objetivo de las pruebas unitarias: aislar y verificar el comportamiento de unidades individuales de código.
    *   **Diferentes tipos de aserciones según el contexto:** La respuesta solo menciona tipos de variables. Podría haber mencionado aserciones para comparar excepciones, mensajes de error, o incluso la interacción con otros componentes (mocks).
    *   **Ejemplos concretos de código:** La respuesta carece de ejemplos de código que ilustren el uso de aserciones. Un ejemplo sencillo (en el lenguaje de programación que se esté utilizando en el curso) habría reforzado la comprensión.
    *   **Manejo de fallas en las aserciones:** No se menciona qué ocurre cuando una aserción falla.  </t>
  </si>
  <si>
    <t>Respuesta: Los assert sirven para comprobar lo que devuelve o hacen las funciones, son unos de los pilares para poder hacer los test en el TDD.</t>
  </si>
  <si>
    <t>Okay, vamos a analizar esta respuesta y asignarle una calificación, comparándola con lo que esperaría en una evaluación académica sobre testing y TDD.
**Calificación: 6.5 / 10**
**Justificación:**
* **Conceptos Correctamente Mencionados:**
    * **Función de los asserts:** La respuesta identifica correctamente el propósito fundamental de los asserts: verificar el resultado de una función o acción.  Este es un punto clave y lo ha captado bien.
    * **Pilares del TDD:** Menciona correctamente que los asserts son cruciales para el Test-Driven Development (TDD).  Entiende la conexión entre asserts y la metodología.
* **Errores Detectados:**
    * **Falta de Profundidad:**  La explicación es demasiado superficial.  No explica *cómo* funcionan los asserts, ni cómo se utilizan en un contexto de TDD. Simplemente afirma su función sin detalles.
    * **Terminología Imprecisa:** Si bien dice que son "pilares del TDD", no explica *por qué* son pilares.  Un mejor enfoque sería mencionar que los asserts permiten definir expectativas claras sobre el comportamiento del código, que son la base para escribir pruebas efectivas en TDD.
    * **Ausencia de Ejemplo:**  La respuesta carece por completo de un ejemplo de uso de un assert. Esto es un omiso importante, ya que un ejemplo concreto ilustraría la idea mucho mejor.
    * **No menciona la estructura del test:** Aunque se menciona el TDD, no se habla de la estructura básica de un test, que es (Arrange, Act, Assert).
* **Conceptos Importantes que Faltan:**
    * **Sintaxis/Implementación:** No hay mención de cómo se escriben los asserts en un lenguaje de programación específico (por ejemplo, `assert(x == y)` en Python, o el uso de frameworks de testing como pytest, JUnit, etc.).
    * **Tipos de Asertos:** No se abordan los diferentes tipos de asertos (igualdad, pertenencia, truthiness, excepciones esperadas, etc.).
    * **El Proceso TDD:** Se menciona TDD, pero no se explica el ciclo "Red-Green-Refactor" o cómo los asserts se integran en este proceso.  No se toca la importancia de escribir el assert *antes* de escribir el código que lo satisfará.</t>
  </si>
  <si>
    <t>Respuesta: Las aserciones en los tests sirven para comparar un resultado, en estas se introduce un resultado esperado y un resultado actual, esto es importante para comparar resultados y mejorar el codigo o los tests en base a esto.</t>
  </si>
  <si>
    <t>Okay, vamos a analizar y corregir la respuesta del estudiante sobre las aserciones en tests.
**Calificación: 4/10**
**Justificación:**
*   **Conceptos Correctamente Mencionados:** El estudiante reconoce correctamente la idea básica de que las aserciones sirven para comparar resultados. También menciona la existencia de un "resultado esperado" y un "resultado actual," lo cual es un componente fundamental de una aserción.
*   **Errores Detectados:** La explicación es *muy* superficial y carece de precisión. La respuesta no explica *para qué* se compara el resultado actual con el esperado.  Simplemente dice que es "importante" para mejorar el código o los tests, pero no cómo se logra esto. La redacción es vaga ("mejorar el código... en base a esto"). No se menciona la idea de *verificación* y la detección de errores (fallas en la prueba).
*   **Conceptos Importantes que Faltan:**
    *   **Propósito principal de las aserciones:**  La razón principal para usar aserciones es verificar que el código se comporta como se espera y detectar errores *rápidamente* en el proceso de desarrollo. Una aserción fallida indica un bug.
    *   **Tipos de aserciones:**  No se mencionan los diferentes tipos de aserciones (igualdad, verdad, pertenencia, etc.). Hay una variedad de aserciones para verificar diferentes condiciones.
    *   **Cómo se utilizan en la práctica:** No hay ningún ejemplo de cómo se escribiría una aserción en un lenguaje de programación real.
    *   **El papel de las aserciones en el TDD (Test-Driven Development):** Aunque no es crucial para una respuesta básica, mencionar la relación entre aserciones y TDD agregaría valor.
**Ejemplo de Corrección Real (para comparación):**
"Las aserciones, en el contexto de las pruebas de software, son declaraciones que verifican si una condición es verdadera durante la ejecución de una prueba.  Una aserción compara un valor real (el resultado obtenido por el código que se está probando) con un valor esperado (lo que se considera correcto). Si la condición en la aserción es verdadera, la ejecución continúa normalmente. Si la condición es falsa, la aserción falla, indicando un error en el código. Las aserciones se utilizan</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</si>
  <si>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</si>
  <si>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Okay, analicemos la respuesta del estudiante sobre el uso de aserciones en pruebas unitarias. Aquí está mi evaluación detallada:
**Calificación: 5/10**
**Justificación:**
*   **Conceptos Correctamente Mencionados:** La respuesta identifica correctamente que las aserciones son útiles para asegurar la ejecución ordenada y continua de las pruebas unitarias. También menciona la importancia de la cobertura de pruebas.
*   **Errores Detectados:** La respuesta es algo confusa en su redacción y carece de precisión. La idea de que las aserciones "aseguran que el código se ejecute en un punto porque la implementación y test esta bien" es imprecisa. Las aserciones no *ejecutan* el código; verifican que el código *ya ejecutado* produce el resultado esperado.  La redacción es a veces torpe y poco clara ("se van ejecutando y dar una cobertura que se va a mantener ademas de ser estable").
*   **Conceptos Importantes Faltantes:** La respuesta no explica *qué son las aserciones*.  No define la función de una aserción en la verificación de resultados. Tampoco menciona el concepto de "fallo de aserción" (assertion failure) y cómo esto ayuda a identificar errores. Faltan ejemplos concretos de cómo se usan las aserciones en la práctica (por ejemplo, `assertEqual`, `assertTrue`, etc.).  La respuesta no aborda la importancia de las aserciones para detectar condiciones inesperadas y errores lógicos.
*   **Uso de Terminología:** Si bien usa la palabra "aserción" (assertion), no demuestra una comprensión profunda del término ni de su rol en el contexto de las pruebas.
*   **Claridad de la Explicación:** La explicación es vaga y carece de ejemplos. La repetición de ideas ("aseguramos que los diferentes tests van a irse ejecutando") sin agregar valor a la comprensión disminuye la claridad.
**Ejemplo de Corrección Real para Comparación:**
"Las aserciones (assertions) son comprobaciones que se realizan dentro de las pruebas unitarias para verificar que el código se comporta como se espera. Una aserción evalúa una condición, y si la condición es falsa, la prueba falla, indicando que hay un error. Las aserciones son fundamentales para la depuración y la verificación de la lógica del código. Por</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</si>
  <si>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</si>
  <si>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 xml:space="preserve">## Corrección de la Respuesta sobre Aserciones en Pruebas Unitarias
**Calificación:** 6/10
**Justificación:**
La respuesta demuestra una comprensión básica del propósito de las aserciones en pruebas unitarias, pero carece de profundidad y precisión en algunos aspectos cruciales.
**Aspectos Positivos:**
*   **Concepto General:** El estudiante identifica correctamente que las aserciones se utilizan para validar los resultados de las funciones. La idea de que "validan soluciones concretas" es un punto de partida correcto.
*   **Ejemplo Intuitivo:** El ejemplo de "confirmar que al meter un valor x en una función, esta devuelve True" ilustra la idea general de una aserción, aunque simplificada.
*   **Importancia Reconocida:** El estudiante reconoce que las aserciones son importantes para asegurar la ejecución correcta del código en diferentes condiciones.
**Aspectos Negativos y Conceptos Faltantes:**
*   **Definición Imprecisa:** La respuesta no define explícitamente qué es una aserción. Se describe como un "pequeño test," pero no se explica que es una expresión que verifica si una condición es verdadera o falsa.
*   **Falta de Detalles sobre la Verificación:**  La respuesta no explica *cómo* la aserción valida la función. No menciona el concepto de comparar el resultado de la función con un valor esperado. La aserción no solo verifica si la función devuelve `True`, sino si devuelve el *valor correcto* para una entrada dada.
*   **Tipos de Aserciones:** No se mencionan los diferentes tipos de aserciones (e.g., igualdad, desigualdad, pertenencia, mayor que, menor que, etc.).  Esto sugiere una falta de familiaridad con la variedad de condiciones que se pueden verificar.
*   **"Cualquier Caso o Condición":** La frase "en cualquier caso o condición" es demasiado amplia y no precisa. Las pruebas unitarias con aserciones se centran en condiciones *específicas* y predefinidas, no en "cualquier" condición. Se busca cubrir los casos límite, los casos típicos y los casos de error.
*   **Terminología:** El uso de "soliuciones" es incorrecto; debería ser "soluciones".  Aunque menor, este error demuestra una falta de cuidado con la terminología técnica.
</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</si>
  <si>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</si>
  <si>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Okay, perfecto. Voy a analizar la respuesta del estudiante y proporcionaré una calificación con justificación, basándome en mi experiencia como profesor experto en evaluación académica.
**Análisis de la Respuesta:**
La respuesta del estudiante aborda el tema de las aserciones, aunque con algunas imprecisiones y falta de profundidad.
* **Conceptos Correctamente Mencionados:** El estudiante entiende que las aserciones implican una comparación entre un valor esperado y uno real. También reconoce su importancia en los test unitarios y menciona el objetivo de verificar el flujo de datos y la robustez del código.
* **Errores Detectados:** La explicación es un tanto vaga y general. No se menciona *cómo* se realiza la comparación, es decir, no se detalla el uso de la sintaxis de una aserción (por ejemplo, `assert condición` en Python).  La frase "comprobar el corrector funcionamiento del código" es gramaticalmente incorrecta y sugiere una falta de claridad en la expresión.  La idea de "irregularidad" es ambigua; sería mejor hablar de "errores" o "comportamientos inesperados."
* **Conceptos Importantes Faltantes:**
    * **Propósito principal:** Si bien menciona la robustez, no explica que las aserciones se utilizan principalmente para detectar *errores lógicos* en el código durante el desarrollo y pruebas, y no tanto para validar la entrada del usuario o manejar excepciones.
    * **Escenarios de uso:** No se mencionan escenarios específicos donde se usarían aserciones. Por ejemplo, verificar que una función retorna el tipo de dato esperado, que una variable tiene un valor dentro de un rango específico, etc.
    * **Impacto de fallar una aserción:** No se explica qué ocurre cuando una aserción falla (generalmente, se lanza una excepción y se interrumpe la ejecución del test).
**Calificación:**
Le asignaría una calificación de **6/10**.
**Justificación:**
El estudiante demuestra una comprensión básica del concepto de aserciones y su relevancia en los test unitarios. Sin embargo, la explicación carece de precisión, detalles y profundidad. La respuesta es demasiado general y no aborda los aspectos clave de su funcionamiento y propósito. Aunque menciona la robustez, no explica cómo las aserciones contribuyen a ella de manera efectiva.  La falta de ejemplos y la terminología imprecisa (como "corre</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</si>
  <si>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</si>
  <si>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Okay, vamos a analizar y calificar esta respuesta sobre el uso de asserts y excepciones en pruebas de software.
**Calificación: 7/10**
**Justificación:**
La respuesta demuestra una comprensión básica de los asserts y su propósito en las pruebas de software.  Se identifican correctamente dos usos principales: manejo de entradas inválidas y situaciones como la división por cero (aunque esto último es más propio de excepciones, como se señala más adelante).  La mención del patrón AAA (Arrange-Act-Assert) es un punto positivo importante que indica familiaridad con prácticas de prueba comunes.
**Puntos Fuertes (Correctamente Mencionados):**
*   **Uso de asserts:** Reconoce el uso de asserts para validar condiciones en el código, especialmente en relación con entradas inválidas.
*   **Ejemplo de excepción:**  Aunque el ejemplo de "dividir por cero" es más directamente relacionado con excepciones, su inclusión muestra una conexión entre los dos conceptos.
*   **Importancia de la robustez:** Correctamente afirma que el uso de asserts contribuye a la robustez del software.
*   **Patrón AAA:** La mención del patrón Arrange-Act-Assert es crucial y refleja una buena comprensión de la estructura de una prueba.
**Errores/Deficiencias (Conceptos que faltan o requieren matización):**
*   **Confusión entre Asserts y Excepciones:** La respuesta mezcla un poco los conceptos de "asserts" y "excepciones". Si bien los asserts pueden detectar condiciones inesperadas, su propósito principal es verificar *condiciones* en el código durante las pruebas, y no son el mecanismo principal para *manejar* errores en tiempo de ejecución (eso es el trabajo de las excepciones).  Una aclaración de esta diferencia es crucial.
*   **Profundidad en el Uso de Asserts:** La explicación del uso de asserts es un poco superficial.  Podría expandirse sobre *qué tipo* de condiciones se suelen verificar con asserts (por ejemplo, tipos de datos, rangos de valores, resultados esperados de funciones).
*   **Contexto del Uso de Asserts:** Se podría mencionar que los asserts generalmente están habilitados durante el desarrollo y pruebas, pero se deshabilitan en producción para evitar penalizaciones de rendimiento. Esto es un aspecto importante de su uso.
*   **El propósito principal de las excepciones no se explica:**  Aunque se menciona la división por cero,</t>
  </si>
  <si>
    <t>Respuesta: Las podemos usar en diferentes modos:
* Para clases.
* Para integraciones.
* Para tets.</t>
  </si>
  <si>
    <t xml:space="preserve">Okay, voy a analizar y calificar esta respuesta de estudiante, comparándola con ejemplos de correcciones reales y proporcionando una justificación detallada.
**Respuesta del Estudiante:**
"Las podemos usar en diferentes modos:
* Para clases.
* Para integraciones.
* Para tets."
**Calificación: 3/10**
**Justificación Detallada:**
* **Precisión Conceptual:**  La respuesta, aunque reconoce la existencia de "modos" de uso, es extremadamente vaga. No queda claro a qué se refiere con "las". Asumo que se refiere a una herramienta o tecnología específica que se estaba discutiendo en clase (quizás una plataforma educativa, un tipo de software, etc.).  Sin embargo, la falta de contexto hace que la evaluación de la precisión conceptual sea difícil. Asumo que la intención era listar modos de uso de algo, lo cual es un punto de partida.
* **Completitud:**  La respuesta es muy incompleta.  Lista tres usos, pero sin ninguna elaboración.  No explica *cómo* se usan en cada modo, ni proporciona ejemplos concretos. Una respuesta completa exploraría cada punto con mayor detalle.  La lista es superficial.
* **Uso Correcto de la Terminología:** No hay terminología específica presente, lo cual no es necesariamente malo, pero refleja la falta de profundidad de la respuesta.  La ortografía de "tets" es incorrecta ("tests"), lo que indica una falta de atención al detalle y/o una comprensión superficial de la tarea.
* **Claridad de la Explicación:** La explicación es extremadamente poco clara.  La falta de contexto y la ausencia de detalles hacen que sea difícil entender lo que el estudiante está tratando de comunicar.  La lista es inconexa y carece de estructura lógica.
* **Comparación con Correcciones Reales (Consideraciones):**  En una corrección real, esta respuesta generaría comentarios como:
    * "Por favor, especifica a qué te refieres con 'las'. ¿De qué herramienta o concepto estamos hablando?"
    * "Desarrolla cada uno de estos puntos. ¿Cómo se usan en clases? ¿En qué tipo de integraciones? ¿Qué tipo de tests?"
    * "Presta atención a la ortografía. 'Tets' debe ser 'tests'."
    * "Esta respuesta es demasiado superficial.  Intenta ser más específico y proporciona ejemplos."
</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</si>
  <si>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</si>
  <si>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Corrección de la Respuesta sobre Aserciones
**Calificación:** 8/10
**Justificación:**
La respuesta es bastante buena y demuestra una comprensión general del concepto de aserciones, especialmente en el contexto de testing de software. Aquí hay un análisis detallado:
**Puntos Fuertes (Conceptos Correctamente Mencionados):**
*   **Definición básica:** La respuesta comienza definiendo correctamente una aserción como una declaración que verifica una condición.
*   **Contexto de Testing:** Explica de manera precisa el rol de las aserciones dentro de los tests de software.
*   **Ejemplo de Uso:** El ejemplo de `assertEquals` (aunque no menciona el framework específico, la idea es clara) ilustra bien cómo se usan las aserciones para verificar resultados.
*   **Importancia:** Resalta la importancia de las aserciones para asegurar que el código se comporta como se espera.
**Errores Detectados / Aspectos a Mejorar:**
*   **Falta de Profundidad en la Definición:** La definición de "condición" podría ser un poco más precisa. ¿Qué tipos de condiciones se verifican típicamente? (valores, tipos de datos, estados de objetos, etc.)
*   **Tipos de Aserciones:** La respuesta se enfoca en un solo tipo de aserción (`assertEquals`).  Sería beneficioso mencionar brevemente otros tipos comunes de aserciones (por ejemplo, `assertTrue`, `assertFalse`, `assertNotNull`, `assertThrows`, etc.). Mostrar variedad en las comprobaciones posibles enriquecería la respuesta.
*   **Propósito del Fallo de una Aserción:** No menciona lo que sucede cuando una aserción falla.  Es crucial indicar que la falla de una aserción detiene la ejecución del test y proporciona información sobre la discrepancia entre el resultado esperado y el real.
*   **Falta de Relación con el Debugging:**  Aunque implícito, la respuesta podría ser mejor si hiciera explícita la conexión entre las aserciones y el debugging.  Las aserciones son una herramienta fundamental para identificar problemas en el código, especialmente durante el desarrollo y las pruebas.
**Conceptos Importantes que Faltan (para alcanzar una nota de 10):**
*   **Explicitar las consecuencias de una aserción fallida.**
*   **Mencionar</t>
  </si>
  <si>
    <t>Respuesta: Se utilizan en los tests para comprobar trozos pequeños de codigo, y tienen importancia ya que validan el código, aportando seguridad al software.</t>
  </si>
  <si>
    <t>## Corrección de la respuesta sobre "Tests Unitarios"
**Calificación:** 6/10
**Análisis:**
La respuesta aborda el tema de los tests unitarios, pero de manera superficial y con ciertas imprecisiones.
**Aspectos Positivos:**
*   **Concepto básico identificado:** La respuesta menciona correctamente que los tests unitarios se utilizan para "comprobar trozos pequeños de código." Esto demuestra una comprensión mínima de la idea central de la prueba unitaria.
*   **Importancia mencionada:** El estudiante reconoce la importancia de los tests unitarios al señalar que "validan el código, aportando seguridad al software."  Esto apunta a una conciencia de la utilidad de las pruebas en el desarrollo.
**Errores y Omisiones:**
*   **Definición incompleta:** La respuesta no define explícitamente qué es un "test unitario." No explica que se trata de una prueba aislada de una única unidad de código (una función, un método, una clase, etc.).
*   **Falta de detalle sobre el proceso:** No se menciona el proceso de escribir y ejecutar tests unitarios. No se habla de casos de prueba, de aserciones (assertions) o de frameworks de testing.
*   **Terminología imprecisa:** La frase "trozos pequeños de código" es vaga. Se podría haber utilizado una terminología más precisa como "funciones", "métodos" o "unidades de código".
*   **Beneficios insuficientes:** Si bien se menciona la seguridad, no se exploran otros beneficios importantes como la detección temprana de errores, la refactorización segura, el diseño mejorado del código y la documentación del comportamiento del código.
*   **Sin ejemplos:** No se proporciona ningún ejemplo de cómo se utilizan los tests unitarios en la práctica.
**Justificación de la nota:**
Se otorga una nota de 6 debido a que la respuesta identifica el concepto básico de los tests unitarios y menciona su importancia, pero carece de profundidad, precisión y detalle.  La falta de una definición clara, la terminología imprecisa y la omisión de aspectos importantes del proceso de pruebas unitarias impiden una calificación más alta.
**Ejemplo de Corrección Real (para comparación):**
"Un test unitario es una prueba automatizada que verifica el comportamiento de una pequeña unidad de código, como una función o un método, de forma aislada. Los tests</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</si>
  <si>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</si>
  <si>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 Corrección de la Respuesta sobre Aserciones en Tests
**Calificación: 6.5 / 10**
**Análisis Detallado:**
* **Precisión Conceptual:** La respuesta tiene una base conceptual correcta, identificando que las aserciones se utilizan para verificar porciones específicas de código (métodos, clases). La idea de que son eficientes para comprobar valores también es precisa.
* **Completitud de la Respuesta:** La respuesta es incompleta. Si bien menciona el propósito general de las aserciones, no profundiza en su funcionalidad principal: **verificar que una condición sea verdadera**. El ejemplo `assertNull()` es adecuado, pero no es suficiente para ilustrar completamente el concepto. Faltan mencionar otros tipos de aserciones (igualdad, mayor que, etc.) y la importancia de fallar el test si la condición es falsa.
* **Uso Correcto de la Terminología:** La terminología es generalmente correcta. El uso de "assertNull()" es adecuado y comprensible en el contexto de pruebas unitarias.
* **Claridad de la Explicación:** La explicación es clara, pero un poco superficial. La frase "si este pasase (verde), demostraría que es Null lo que analiza el test" es confusa. La idea es que el test *falla* si el valor NO es null, lo que indica que la aserción ha verificado correctamente la condición esperada.
**Justificación de la Nota:**
La respuesta demuestra un entendimiento básico de las aserciones y su uso en pruebas unitarias.  Se reconocen su función para verificar fragmentos de código y la eficiencia en la comprobación de valores. Sin embargo, la explicación carece de profundidad y no aborda completamente la funcionalidad central de las aserciones (verificar condiciones) ni la importancia del resultado negativo (fallo del test).  Además, la redacción de algunas frases es confusa y podría ser mejorada.
**Conceptos Correctamente Mencionados:**
* Uso de aserciones en tests.
* Verificación de valores.
* Ejemplo de `assertNull()`.
**Errores Detectados:**
* **Confusión sobre el significado de un test "pasado" (verde):**  Se implica incorrectamente que un test "pasado" significa que el valor es null. En realidad, un test "pasado" significa que la condición de la aserción es verdadera.</t>
  </si>
  <si>
    <t>Respuesta: assert.equals sirve para introducir valores en los parámetros a la hora de hacer tests</t>
  </si>
  <si>
    <t>Okay, vamos a evaluar la respuesta del estudiante: "assert.equals sirve para introducir valores en los parámetros a la hora de hacer tests".
**Calificación: 3/10**
**Justificación:**
* **Conceptos Correctamente Mencionados:** El estudiante reconoce que `assert.equals` está relacionado con el testing. Este es el único aspecto positivo.
* **Errores Detectados:** La explicación es fundamentalmente incorrecta. `assert.equals` no se utiliza para "introducir valores en los parámetros".  `assert.equals` es un método (generalmente de la clase `Assert` en frameworks de testing como JUnit o TestNG) que *compara* dos valores para verificar si son iguales.  Su función es *verificar una aserción*, es decir, que una condición dada sea verdadera.  La forma en que se utiliza es comprobar si el resultado de una operación coincide con el valor esperado.
* **Conceptos Importantes que Faltan:**
    * **Propósito de las aserciones (assertions):** El estudiante no comprende que el objetivo principal de las aserciones en pruebas es validar que el comportamiento del código sea el esperado.
    * **Función de `assert.equals`:** No entiende que compara dos valores y lanza una excepción si no son iguales.
    * **Contexto del Testing:**  Falta una comprensión básica de cómo se utilizan las aserciones dentro de un contexto de pruebas unitarias.
    * **Sintaxis correcta:**  No se menciona ni se demuestra el uso correcto de la función.
**Ejemplo de Corrección Real y Comparación:**
* **Ejemplo de Respuesta Correcta:** "En testing, `assert.equals(valorActual, valorEsperado)` es un método que verifica si dos valores son iguales.  Se utiliza dentro de una prueba unitaria para comprobar si el resultado de una función o método coincide con el valor esperado. Si los valores no son iguales, la aserción fallará y la prueba se marcará como fallida.  Por ejemplo, si esperamos que una función `sumar(2, 3)` devuelva 5, usaríamos `Assert.assertEquals(5, sumar(2, 3))` para verificarlo."
**Por qué la respuesta correcta obtiene una nota alta (10/10):**
* **Precisión Conceptual:** Explica claramente el propósito y la función de `assert.equals`.
*</t>
  </si>
  <si>
    <t>Respuesta: .</t>
  </si>
  <si>
    <t>Por favor, proporciona la respuesta del estudiante que quieres que corrija. Necesito el texto de la respuesta para poder evaluarla, compararla con ejemplos de correcciones reales y asignarle una calificación con justificación.
Una vez que me proporciones la respuesta, la analizaré cuidadosamente teniendo en cuenta:
*   **Precisión Conceptual:** ¿Entiende el estudiante los conceptos fundamentales del tema?
*   **Completitud:** ¿Cubre la respuesta todos los puntos importantes de la pregunta?
*   **Terminología:** ¿Utiliza el estudiante la terminología correcta y la aplica adecuadamente?
*   **Claridad:** ¿Es la explicación clara, coherente y fácil de entender?
Espero tu respuesta para poder ayudarte.
&lt;end_of_turn&gt;</t>
  </si>
  <si>
    <t>Respuesta: Las assertions sirven para realizar comprobaciones entre los resultados obtenidos en el test y los resultados esperados. Estas se utilizan en la parte final de los test, después de la parte de desarrollo.</t>
  </si>
  <si>
    <t>## Corrección de la Respuesta del Estudiante
**Calificación: 6/10**
**Análisis:**
La respuesta del estudiante presenta una comprensión básica del concepto de "assertions" dentro del contexto de las pruebas de software, pero adolece de precisión, completitud y claridad.
**Puntos Fuertes:**
* **Concepto Principal Correcto:** El estudiante identifica correctamente que las assertions sirven para comprobar resultados, lo cual es el núcleo de su función.
* **Ubicación General Correcta:**  La afirmación de que se utilizan generalmente en la fase final de las pruebas es también correcta, aunque con matices (ver "Conceptos Faltantes").
**Errores y Deficiencias:**
* **Definición Simplista:** La descripción "comprobaciones entre los resultados obtenidos en el test y los resultados esperados" es muy básica y no captura la esencia de lo que realmente hacen las assertions.  No especifica que las assertions *verifican* una condición, y si esa condición es falsa, *detienen la ejecución* y reportan un error.
* **Terminología Incorrecta:** El término "test" se utiliza de forma genérica. Se podría hablar de "unidades de prueba" o "casos de prueba" para ser más preciso.
* **Falta de Explicación de Propósito:** La respuesta no menciona el *propósito* principal de las assertions: detectar errores lógicos en el código durante el desarrollo y depuración. Simplemente describe *qué* hacen, no *por qué* se utilizan.
* **Conceptos Faltantes:** La respuesta omite información importante sobre:
    * **Cuándo usar assertions:** Las assertions no son exclusivamente para la fase final.  Son cruciales durante el desarrollo para identificar problemas temprano.
    * **Su función en la depuración:**  Las assertions son herramientas esenciales para la depuración del código.
    * **Diferencia entre Assertions y Validación:**  Si bien relacionadas, la validación (a menudo a través de pruebas de integración o de sistema) tiene un alcance más amplio que la verificación realizada con assertions.
    * **Ejemplo Simple:** Un ejemplo sencillo de una assertion (e.g., `assert x &gt; 0: "x debe ser positivo"`)  podría haber mejorado la claridad.
**Justificación de la Calificación:**
La respuesta demuestra un entendimiento rudimentario del concepto, ganando</t>
  </si>
  <si>
    <t>Respuesta: Las aserciones sirven para evaluar concretamente un valor esperado del test ya sea en una comparación de valores, de referencias, booleanas, etc...</t>
  </si>
  <si>
    <t>## Corrección de la Respuesta del Estudiante: "Las aserciones sirven para evaluar concretamente un valor esperado del test ya sea en una comparación de valores, de referencias, booleanas, etc..."
**Calificación: 5/10**
**Justificación:**
La respuesta tiene algo de verdad, pero es considerablemente incompleta y carece de precisión conceptual.
**Puntos Positivos (Conceptos Correctamente Mencionados):**
*   **Evaluar un valor esperado:** La respuesta reconoce que las aserciones están relacionadas con la evaluación de resultados esperados.
*   **Comparación de valores:** Identifica correctamente que las aserciones pueden involucrar la comparación de valores.
*   **Booleanas:** Menciona correctamente el tipo booleano como un posible contexto de uso, lo que indica cierta comprensión de su función fundamental.
**Errores y Omisiones (Conceptos Faltantes/Inexactitudes):**
*   **Definición Incompleta:** La respuesta no proporciona una definición clara y concisa de lo que son las aserciones. No explica que son expresiones que se evalúan como verdaderas o falsas y que se utilizan para verificar si una condición se cumple.
*   **Contexto de Uso:** La respuesta no menciona el contexto principal donde se utilizan las aserciones: **pruebas unitarias y el desarrollo de software en general**.  Las aserciones son herramientas esenciales para garantizar que el código se comporte como se espera.
*   **Propósito Principal:** La respuesta se centra en "evaluar" de una manera vaga. El propósito principal de una aserción es *verificar* si algo es cierto o no. Si la aserción es falsa, indica un error en el código.
*   **"Test" vs. "Código":** La referencia a "test" es imprecisa. Las aserciones se insertan dentro del *código* que se está probando, no en un "test" separado (aunque sí se usan mucho en el contexto de pruebas).
*   **Ejemplos:**  La respuesta carece de ejemplos concretos que ilustren el uso de aserciones.
**En resumen:**
La respuesta demuestra una comprensión superficial del concepto de aserciones, pero le falta profundidad y precisión.  La falta de una definición clara, el contexto de uso y ejemplos concretos restan valor a la respuesta.  Para mejorar, la respuesta</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</si>
  <si>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</si>
  <si>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Okay, entiendo. Analizaré la respuesta del estudiante y la calificaré de 0 a 10, justificando la nota con un análisis detallado.
**Respuesta del estudiante:** "Hay varios tipos de aserciones como por ejemplo AssertionEquals, aquí se pone primero el resultado esperado y luego lo que realiza el test, es muy importante saber que tipo de aserción utilizar para los test ya que estas pueden cambiar el resultado de estos"
**Calificación: 5/10**
**Justificación:**
* **Conceptos Correctamente Mencionados:** El estudiante reconoce la existencia de diferentes tipos de aserciones y menciona correctamente `AssertionEquals` como un ejemplo.  También subraya la importancia de elegir la aserción correcta, lo cual es un punto clave en las pruebas unitarias.
* **Errores Detectados:**
    * **Falta de Profundidad:** La respuesta es superficial. Solo menciona un tipo de aserción (`AssertionEquals`) y no explora otros tipos comunes (e.g., `AssertNotEquals`, `assertTrue`, `assertFalse`, `assertNull`, `assertNotNull`, `assertThrows`).
    * **Claridad y Precisión:** La frase "aquí se pone primero el resultado esperado y luego lo que realiza el test" es confusa. En general, la estructura de una aserción es `assert(condición_esperada, valor_real_obtenido)`. La descripción es imprecisa y podría llevar a malentendidos.
    * **Generalización Excesiva:** La afirmación "estas pueden cambiar el resultado de estos" es vaga y potencialmente engañosa. Las aserciones *no* cambian el resultado del código que se está probando. Determinan si el código se comporta como se espera o no.  La lógica de la prueba no afecta el funcionamiento del código bajo prueba.
    * **Falta de Contexto:** La respuesta carece de contexto sobre el *propósito* de las aserciones dentro de las pruebas unitarias. No explica que las aserciones son el mecanismo por el cual las pruebas verifican si el código funciona correctamente.
* **Conceptos Importantes Faltantes:**
    * **El Propósito de las Aserciones:**  Explicar que las aserciones son la base para determinar si una prueba ha pasado o fallado.
    * **Tipos Comunes de Aserciones</t>
  </si>
  <si>
    <t>Respuesta: Las aserciones son verificaciones de las validaciones de entrada. Un ejemplo podría ser assertionNotNull(actual) / assertionNull(actual) que nos sirve para conocer si el valor de entrada (actual) es nulo o no.</t>
  </si>
  <si>
    <t>Okay, vamos a evaluar esta respuesta sobre "aserción" en el contexto de pruebas y validación de datos. Aquí tienes mi análisis y calificación:
**Calificación: 6/10**
**Justificación:**
* **Conceptos Correctamente Mencionados:**
    * La respuesta identifica correctamente que las aserciones se relacionan con la verificación de datos de entrada (validación). Esto es un punto crucial.
    * El ejemplo `assertionNotNull(actual) / assertionNull(actual)` es correcto y demuestra una comprensión básica de cómo se pueden usar las aserciones para verificar la nulidad de un valor. El uso de `assertionNotNull` y `assertionNull` como nombres de método es razonable.
* **Errores Detectados:**
    * **Definición Incompleta:** La definición de "aserción" es demasiado limitada. Una aserción es mucho más que solo verificar si un valor es nulo o no.  Las aserciones son una forma general de verificar que una condición específica es verdadera.  Podrían verificar rangos de valores, tipos de datos, formatos, etc. La respuesta se centra únicamente en la nulidad.
    * **Falta de Contexto:**  La respuesta carece de contexto. No menciona *dónde* o *para qué* se utilizan las aserciones. Las aserciones son herramientas fundamentales en pruebas unitarias y de integración, y la respuesta no lo indica. No explica su propósito dentro del ciclo de desarrollo.
    * **Terminología Limitada:**  Aunque usa los términos "validación" y "actual," podría ser más preciso. Podría haber mencionado el término "condición" en relación a la aserción.
* **Conceptos Importantes que Faltan:**
    * **Propósito de las Aserciones en Pruebas:**  La parte más importante que falta es la explicación de por qué usamos aserciones. Las aserciones son la *base* de una prueba; sin ellas, no hay forma de saber si el código está funcionando como se espera.  Debería explicar que una aserción falla la prueba si la condición es falsa, indicando un error en el código.
    * **Diferencia entre Validación y Aserción (aunque sutil):** Aunque conecta aserción con validación, no se profundiza en la diferencia sutil. La validación asegura que los datos de entrada sean *correct</t>
  </si>
  <si>
    <t>Respuesta: Las aserciones se utilizan para estructurar y validar la forma en al que los tests se realizan. Esto hace que sean mas fiables y que tenga mayor cobertura.</t>
  </si>
  <si>
    <t>Okay, vamos a evaluar esta respuesta.
**Calificación: 5/10**
**Justificación:**
* **Conceptos Correctamente Mencionados:** La respuesta identifica correctamente que las aserciones están relacionadas con la estructura y validación de tests, lo cual es una idea central.  La mención de la fiabilidad y cobertura es también relevante para el propósito de las aserciones.
* **Errores Detectados:** La explicación es demasiado vaga y superficial. No profundiza en *cómo* las aserciones estructuran y validan los tests.  La frase "en al que los tests se realizan" es gramaticalmente incorrecta. El uso de la palabra "mas" en lugar de "más" es un error de ortografía.
* **Conceptos Importantes Faltantes:** La respuesta omite la esencia de las aserciones: que son enunciados que se presentan como verdaderos o falsos, y que se utilizan para evaluar el conocimiento del estudiante sobre un tema específico. No se menciona la relación entre las aserciones y los objetivos de aprendizaje, ni cómo ayudan a identificar conceptos erróneos en la comprensión del estudiante. Tampoco se menciona la importancia de que las aserciones sean claras, precisas y relevantes para el contenido evaluado. La respuesta no distingue entre aserciones verdaderas y falsas, ni el rol de las distracciones en las aserciones falsas (en el caso de las aserciones de opción múltiple).
**En resumen:** La respuesta demuestra una comprensión básica de la idea general de las aserciones, pero carece de profundidad, precisión y claridad en la explicación. Se queda en un nivel descriptivo sin entrar en los detalles importantes de su función y construcción. Necesita ser mucho más elaborada y precisa para obtener una calificación más alta.
**Ejemplo de Corrección Real (para comparación):**
"Las aserciones (o enunciados) son elementos clave en la construcción de pruebas objetivas, especialmente en tests de verdadero/falso o de opción múltiple. Su función principal es presentar una afirmación que el estudiante debe evaluar como verdadera o falsa, permitiendo así medir su conocimiento y comprensión sobre un tema específico.  Una buena aserción es clara, concisa, y directamente relacionada con los objetivos de aprendizaje.  En tests de opción múltiple, las aserciones falsas pueden incluir 'distractores', que son afirmaciones plausibles pero incorrectas diseñadas para</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</si>
  <si>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</si>
  <si>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 Corrección de la respuesta sobre "Aserciones en Tests"
**Calificación:** 7/10
**Análisis:**
La respuesta es *generalmente* correcta y demuestra una comprensión básica del propósito de las aserciones en las pruebas unitarias. Sin embargo, adolece de cierta superficialidad y falta de profundidad en la explicación.
**Puntos Positivos:**
*   **Concepto principal correcto:** La respuesta identifica correctamente que las aserciones sirven para verificar el funcionamiento correcto del código. Esto es crucial y demuestra una comprensión fundamental.
*   **Ejemplos de aserciones:**  Menciona correctamente `assertEquals`, `assertThrows` y `assertNotNull`, que son aserciones comunes y relevantes.  Esto indica que el estudiante ha tenido contacto con algunas implementaciones de aserciones.
*   **Énfasis en la fiabilidad:** El estudiante resalta la importancia de las funciones predefinidas para obtener resultados precisos, lo cual es un buen punto.
**Puntos Negativos y Conceptos Faltantes:**
*   **Falta de detalle en la explicación:** La descripción de cada aserción es muy breve y carece de ejemplos concretos.  Por ejemplo,  "assertEquals que compara dos datos y dice si son iguales" es una descripción simplista y no explica cómo se usa en la práctica.  Un ejemplo de uso sería valioso.
*   **Ausencia de la idea de "pruebas con casos borde":**  La respuesta no menciona la importancia de escribir aserciones que cubran casos límite, valores nulos, entradas inválidas, etc.  Un buen conjunto de pruebas debería abordar estos escenarios.
*   **No se menciona la estructura básica de una prueba:** La respuesta se centra en las aserciones en sí mismas, pero no explica cómo se integran dentro de una prueba unitaria completa (setup, ejecución del código a probar, aserción).
*   **No se discute la importancia de la legibilidad:** Las aserciones deben ser claras y concisas para facilitar la comprensión de lo que se está probando.
**Ejemplo de corrección real (para referencia):**
"Las aserciones son la piedra angular de las pruebas unitarias. Permiten verificar que el código se comporta como se espera.  Hay diferentes tipos de aserciones para validar diversos aspectos:
*   **assertEquals(expected, actual):** Compara si dos valores son</t>
  </si>
  <si>
    <t>Respuesta: La asserciones en los test son declaraciones dentro de los test que validan el código, es decir es uno de los elemento más importantes de los test ya que son las líneas del código del test que validan o invalidan un test.</t>
  </si>
  <si>
    <t>Okay, vamos a evaluar esta respuesta sobre "aserción" en el contexto de pruebas de software.
**Calificación:** 4/10
**Justificación:**
La respuesta demuestra una comprensión muy básica del concepto de "aserción" pero adolece de imprecisiones y falta de profundidad.
*   **Conceptos Correctamente Mencionados:** El estudiante identifica correctamente que las aserciones se encuentran dentro de los tests y que tienen una función de validación. Reconoce su importancia en el proceso de testing.
*   **Errores Detectados:**
    *   **Ortografía:** "Asserciones" es un error ortográfico. La forma correcta es "aserciónes". Esto resta puntos a la claridad general.
    *   **Definición Imprecisa:** La definición de "aserción" como "líneas del código del test que validan o invalidan un test" es confusa. Las aserciones no *son* el código del test en sí; son *expresiones* que evalúan una condición y determinan si un test pasa o falla.  Confundir la aserción con el código del test es un error conceptual importante.
    *   **Falta de Explicación del Propósito:** La respuesta no explica *qué* se está validando. No menciona que las aserciones comparan el resultado esperado con el resultado real. La esencia de una aserción es verificar que el comportamiento del sistema coincide con lo esperado.
*   **Conceptos Importantes Faltantes:**
    *   **Comparación de Resultados:** El elemento crucial de una aserción – comparar un valor esperado con el valor real – no se menciona.
    *   **Tipos de Aserciones:** No se mencionan diferentes tipos de aserciones (igualdad, desigualdad, pertenencia, etc.).
    *   **Frameworks de Testing:**  No se hace ninguna referencia a cómo se implementan las aserciones en diferentes frameworks de testing (JUnit, pytest, etc.).
    *   **Ejemplo Concreto:**  Una breve explicación con un ejemplo de aserción (e.g., "assert resultado == valor_esperado") habría mejorado significativamente la respuesta.
**En resumen:** La respuesta muestra un entendimiento superficial, pero carece de la precisión conceptual, la claridad y la completitud necesarias para obtener una calificación alta. Se centra demasiado en la ubicación de la as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</si>
  <si>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</si>
  <si>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 Corrección de la Respuesta sobre Aserciones en Tests
**Calificación:** 7/10
**Análisis:**
La respuesta del estudiante demuestra un entendimiento general de las aserciones en pruebas unitarias, pero carece de profundidad y especificidad.
**Puntos Fuertes (Conceptos Correctamente Mencionados):**
*   **Función de las Aserciones:** El estudiante comprende que las aserciones son utilizadas para verificar resultados dentro de un test.  Menciona correctamente que permiten "especificar el valor que quieres obtener".
*   **Importancia del Aislamiento:**  Entiende la utilidad de las aserciones para aislar valores que pueden variar, lo cual es fundamental para probar el comportamiento esperado del código.
*   **Ejemplo de `assertEquals`:**  Nombrar `assertEquals` como un ejemplo de aserción es positivo, ya que es una de las más comunes. Demuestra conocimiento de la existencia de diferentes tipos de aserciones.
**Debilidades (Errores y Conceptos Faltantes):**
*   **Explicación Superficial:** La explicación es un tanto vaga y no profundiza en *cómo* las aserciones ayudan a especificar el valor esperado.  No explica que una aserción *compara* el valor real con el valor esperado y falla si no coinciden.
*   **Tipos de Aserciones:** Se limita a mencionar `assertEquals`, sin mencionar otros tipos de aserciones importantes como `assertTrue`, `assertFalse`, `assertNull`, `assertNotNull`, `assertThrows` (o equivalentes dependiendo del framework de testing usado). La variedad de aserciones disponibles es crucial para probar diferentes escenarios.
*   **Propósito General de los Tests:** La respuesta se enfoca un poco demasiado en el "valor esperado" y no menciona explícitamente que el objetivo principal de un test es verificar que el código se comporta como se espera bajo diversas condiciones (casos de prueba).
*   **Contexto de los Tests Unitarios:**  No se menciona explícitamente que las aserciones son parte del proceso de pruebas unitarias, donde se aísla una unidad de código (función, método, clase) para verificar su correcto funcionamiento.
**Justificación de la Calificación:**
La respuesta demuestra un conocimiento básico de las aserciones, por lo que recibe una calificación de 7. Sin embargo, la falta de profundidad</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</si>
  <si>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</si>
  <si>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 xml:space="preserve">Okay, vamos a analizar y corregir la respuesta del estudiante sobre "assertions" en el contexto de pruebas de software.
**Calificación:** 7/10
**Justificación:**
*   **Conceptos Correctamente Mencionados:** La respuesta identifica correctamente que las assertions se utilizan en pruebas para verificar escenarios y comparar valores. Menciona ejemplos válidos de comprobaciones comunes (igualdades, verificación de nulos). El estudiante comprende que la assertion es crucial para determinar el éxito o fracaso de una prueba.  También se destaca la importancia de un assertion bien planteado para la calidad del test.
*   **Errores Detectados:**  La respuesta carece de profundidad en varios aspectos importantes. No se mencionan diferentes tipos de assertions (e.g., `assertEquals`, `assertTrue`, `assertFalse`, `assertThrows`, etc.), ni se explica su propósito específico.  La redacción "Existen de muchos tipos" es vaga y no aporta información útil.  El uso de la palabra "asserciones" es correcto pero es preferible usar el término "assertions" directamente, que es el estándar en inglés.
*   **Conceptos Importantes que Faltan:**
    *   **Tipos específicos de Assertions:**  El estudiante debería mencionar ejemplos concretos de assertions disponibles en frameworks de testing populares (JUnit, pytest, NUnit, etc.). Esto demuestra un conocimiento más práctico.
    *   **Propósito de las Assertions:**  Una explicación más profunda del *por qué* de las assertions sería útil.  Se trata de verificar que el comportamiento del código coincide con las expectativas.
    *   **Importancia de Assertions Claros y Descriptivos:**  Aunque menciona la calidad del test, no profundiza en cómo lograrla a través de assertions claros y descriptivos que indiquen explícitamente lo que se está verificando. Un buen assertion debe ser fácil de entender incluso para alguien que no está familiarizado con el código que se está probando.
    *   **Relación con el Diseño de Pruebas:**  Un test bien escrito no solo necesita un assertion bien planteado, sino que también debe estar diseñado para probar un aspecto específico y aislado del código.
**Ejemplo de Corrección (para comparación):**
"En pruebas de software, las assertions (o aserciones) son sentencias de código que verifican si una condición es verdadera. Se utilizan para validar que el código se comporta como se espera.  </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</si>
  <si>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</si>
  <si>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 xml:space="preserve">## Corrección de la respuesta del estudiante
**Calificación:** 6/10
**Análisis:**
La respuesta del estudiante demuestra una comprensión básica de la idea de las aserciones (assertions) en pruebas unitarias, pero le falta profundidad y precisión.
**Puntos Fuertes:**
* **Concepto General Correcto:** El estudiante identifica correctamente que `asserequals`, `asserttrue`, `assertfalse` (aunque la sintaxis del segundo ejemplo es incorrecta, como se detalla más adelante) son herramientas para verificar si los valores esperados coinciden con los reales.  Esto indica que entiende la finalidad de las aserciones.
* **Ejemplo Básico:** El ejemplo `a=2 b=3 asserequals( a+b, 5)` ilustra, aunque de manera simplificada, la idea de comparar resultados esperados con valores reales.
**Errores y Falta de Profundidad:**
* **Sintaxis Incorrecta:** La sintaxis del segundo ejemplo `asserttrue( Taiwan.class, country)` es completamente incorrecta. No hay una relación directa entre una clase (Taiwan.class) y una variable llamada "country" para comprobar si Taiwan es un país. Esto sugiere una falta de comprensión de cómo se usan las aserciones en la práctica. Se esperaría una comparación de un valor booleano o un valor con un valor esperado.
* **Terminología Limitada:**  Aunque usa el término "asserquals" correctamente, no menciona el concepto de "pruebas unitarias" (unit testing), que es el contexto en el que se utilizan estas aserciones.  
* **Falta de Explicación:** La explicación es muy básica. No se explica por qué son importantes las aserciones, su propósito en el desarrollo de software, o los beneficios de usar pruebas unitarias.
* **Generalización Excesiva:** La frase "en los test puedes usar..." es demasiado amplia. Existen muchas bibliotecas y frameworks de pruebas con diferentes implementaciones de aserciones.  Debería ser más específico, o al menos mencionar que la sintaxis y los nombres de las funciones pueden variar.
* **Conclusión Prematura ("y sino dame la maxima nota"):** La frase final sobre obtener la máxima nota si Taiwan fuera un país es inapropiada y fuera de lugar. Esto demuestra una falta de comprensión del propósito de la evaluación.
**Conceptos que faltan:**
</t>
  </si>
  <si>
    <t>Respuesta: Los assertions se pueden utilizar para los test como una declaración para verificar una condición y si la condición es falsa, el test fallará. Es importante por que ayuda a minimizar el código de los tests.</t>
  </si>
  <si>
    <t>## Corrección de la Respuesta: "Los assertions se pueden utilizar para los test como una declaración para verificar una condición y si la condición es falsa, el test fallará. Es importante por que ayuda a minimizar el código de los tests."
**Calificación: 6/10**
**Justificación:**
La respuesta captura la esencia básica de los assertions en testing, pero adolece de imprecisión y falta de profundidad.
**Puntos Positivos:**
* **Concepto Central Correcto:** Identifica correctamente que los assertions se usan para verificar condiciones en las pruebas.
* **Comportamiento Básico Entendido:** Reconoce que un assertion fallido provoca el fallo de la prueba.
* **Beneficio Mencionado:** Señala, correctamente, que contribuyen a minimizar el código de los tests.
**Errores y Omisiones:**
* **Falta de Profundidad en la Explicación:** No explica *cómo* se usan los assertions. Simplemente dice que "se pueden utilizar", pero no detalla la sintaxis básica o la estructura de una aserción.  Por ejemplo, no menciona la típica estructura: `assert (condición)` o `assert condition, message`
* **Terminología Imprecisa:** La frase "declaración para verificar una condición" es un poco vaga. Sería más preciso hablar de una expresión booleana o una condición evaluada.
* **Falta de Contexto:** No se menciona la finalidad principal de los assertions:  verificar invariantes, postcondiciones, y casos de borde. No hay una referencia a la importancia de la *legibilidad* del mensaje en un assertion para facilitar la depuración.
* **Ausencia de Ejemplos:** La respuesta carece de un ejemplo práctico que ilustre el uso de un assertion.  Un ejemplo simple como `assert x == 5, "x debe ser igual a 5"` habría mejorado significativamente la respuesta.
**Conceptos Importantes que Faltan:**
* **¿Qué es un invariante?** Una aserción es especialmente útil para verificar invariantes: propiedades que siempre deben ser verdaderas en un punto determinado del código.
* **El propósito de un mensaje en un assertion.** El mensaje es crucial para entender *por qué* la aserción falló.
* **Ubicación estratégica de las aserciones.**  ¿Cuándo es mejor usar un assertion? (antes, después</t>
  </si>
  <si>
    <t>Respuesta: Las aserciones son importantes ya que validad los resultados de los tests, al fin y al cabo son los encargados de decir si un test pasa o no. Se utilizan al final del test</t>
  </si>
  <si>
    <t>Okay, vamos a analizar esta respuesta y asignarle una calificación, basándonos en los criterios que has establecido.
**Respuesta del Estudiante:** "Las aserciones son importantes ya que validan los resultados de los tests, al fin y al cabo son los encargados de decir si un test pasa o no. Se utilizan al final del test."
**Calificación:** 3/10
**Justificación:**
* **Precisión Conceptual (3/5):** La respuesta reconoce, de manera superficial, la importancia de las aserciones, asociándolas con la validación de resultados. Esta conexión es correcta en el sentido general. Sin embargo, la idea de que "validan" los resultados es un poco imprecisa. Las aserciones *contribuyen* a la validación, pero no son el único factor ni lo validan directamente. La validación es un proceso mucho más amplio.
* **Completitud (2/5):** La respuesta es muy incompleta.  No explica qué son las aserciones, ni cómo funcionan, ni por qué son cruciales para la evaluación.  Solo menciona su importancia y un uso muy general.  Omite la distinción crucial entre aserciones de **elementos** (respuestas a preguntas individuales) y aserciones de **test** (resultados globales).
* **Uso de Terminología (2/5):**  Usa el término "test" correctamente, pero la falta de especificidad y la simplificación de la idea de "validación"  indican una comprensión limitada de la terminología específica del campo de la evaluación.  No menciona términos importantes como "claves de corrección", "baremos", "puntuación", etc.
* **Claridad de la Explicación (3/5):** La explicación es relativamente clara en su brevedad, pero la falta de detalle la hace vaga y poco informativa. El uso de frases como "al fin y al cabo" y "decir si un test pasa o no" son coloquiales y no propias de una respuesta académica rigurosa.
**Conceptos Correctamente Mencionados:**
* Importancia de las aserciones en el proceso de evaluación.
* Relación (aunque vaga) entre las aserciones y los resultados de los tests.
**Errores Detectados:**
* **Confusión entre aserciones y validación:**  Las aserciones son una herramienta para facilitar la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</si>
  <si>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</si>
  <si>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Okay, entiendo la tarea. Analizaré la respuesta del estudiante, la compararé con lo que consideraría una corrección ideal, y proporcionaré una calificación y justificación detallada.
**Respuesta del Estudiante:**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
**Corrección Ideal (para referencia):** "Las pruebas unitarias son un método de prueba de software que consiste en probar unidades individuales de código (funciones, métodos, clases) de forma aislada.  Permiten verificar que cada componente funciona correctamente según las especificaciones.  Un ejemplo sencillo sería probar una función de suma con varios pares de entradas (ej: 2+2=4, 0+5=5, -1+1=0) para asegurar que produce el resultado esperado en cada caso.  La utilidad de las pruebas unitarias va más allá de funciones simples; son cruciales en el desarrollo de sistemas complejos, ya que proporcionan una retroalimentación rápida sobre la corrección de cada módulo y facilitan la detección temprana de errores, minimizando el riesgo de fallos en etapas posteriores del desarrollo.  Adicionalmente, las pruebas unitarias sirven como documentación viva del código, ilustrando cómo se espera que funcione cada componente."
**Calificación: 6/10**
**Justificación:**
* **Conceptos Correctamente Mencionados (Puntos a favor):**
    * **Propósito de las Pruebas Unitarias:** El estudiante identifica correctamente que las pruebas unitarias sirven para verificar si un método funciona como se espera.  Esto demuestra una comprensión básica del propósito.
    * **Ejemplo de Prueba Unitaria:** El ejemplo de la función de suma es un intento válido para ilustrar el concepto de probar con valores concretos.
    * **Escalabilidad:**  El estudiante reconoce que el concepto es escalable a métodos más complejos, lo cual es un punto importante.
    * **Retroalimentación (Feedback):**  La mención de la importancia del feedback al verificar la codificación es relevante para el proceso de pruebas unitarias.
* **Errores Detectados (Puntos en Contra):**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</si>
  <si>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</si>
  <si>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 Corrección y Calificación de la Respuesta sobre Assertions
**Calificación:** 6.5 / 10
**Análisis Detallado:**
* **Precisión Conceptual (5/5):** La respuesta captura la idea fundamental de las assertions: verificar la veracidad de una condición. La definición básica es correcta.
* **Completitud (3/5):** La respuesta es **parcialmente incompleta**. Menciona que el test falla si la condición no se cumple, lo cual es crucial, pero no explica *qué* es un test en el contexto de las assertions (generalmente tests unitarios). No profundiza en el propósito de las assertions dentro del proceso de testing.
* **Uso Correcto de Terminología (4/5):**  Utiliza correctamente el término "assertions" y menciona ejemplos comunes como "assertEquals" y "assertTrue".  El uso de "pordemos" (debería ser "podemos") es un error de ortografía que afecta ligeramente la calidad.
* **Claridad de la Explicación (4/5):** La explicación es relativamente clara y comprensible, aunque un poco repetitiva ("miden si una condición es verdadera o no" es similar a la definición inicial). La falta de contexto (test unitario, propósito general) reduce la claridad general.
**Justificación:**
La respuesta demuestra una comprensión básica del concepto de assertions como herramientas para verificar la verdad de condiciones. La mención de ejemplos concretos es un punto a favor. Sin embargo, carece de profundidad al no explicar el contexto más amplio de las assertions dentro del testing (especialmente testing unitario).  La respuesta asume que el lector ya comprende qué es un "test", lo cual no es necesariamente el caso.  La repetición y el error ortográfico, aunque menores, también impactan la nota.
**Ejemplos de Correcciones Reales (Comparación):**
* **Ejemplo de Respuesta Excelente (9/10):** "En el contexto de las pruebas unitarias, una assertion es una instrucción que verifica si una condición específica se cumple. Actúa como una comprobación dentro de un test unitario para asegurar que el código se comporta como se espera.  Si la assertion falla, el test unitario se marca como fallido, indicando que hay un problema en el código.  Existen diferentes tipos de assertions, como `assertEquals` (verifica si dos valores son iguales), `assertTrue</t>
  </si>
  <si>
    <t>Respuesta: Son importantes porque se pueden usar para distintas situaciones, ya sea para ver si funcionan, para ver si son iguales, para eliminar o añadir mas.</t>
  </si>
  <si>
    <t>De acuerdo, analicemos la respuesta del estudiante: "Son importantes porque se pueden usar para distintas situaciones, ya sea para ver si funcionan, para ver si son iguales, para eliminar o añadir mas."
**Calificación: 4/10**
**Justificación:**
* **Conceptos Correctamente Mencionados:** La respuesta, aunque vaga, intenta abordar la utilidad de algo (asumo que se refiere a algoritmos o estructuras de datos, dada la temática usual de evaluación académica en este nivel).  La idea de usarlos para "ver si funcionan" (probablemente refiriéndose a la corrección) y "ver si son iguales" (comparación) son relevantes.
* **Errores Detectados:** La principal debilidad es la **falta de especificidad**.  La respuesta carece de un sujeto. ¿"Son" qué?  No indica de qué se está hablando.  La frase "para eliminar o añadir más" es demasiado general y sin contexto. ¿Eliminar qué? ¿Añadir qué?  Además, la redacción es poco fluida y carece de precisión.
* **Conceptos Importantes que Faltan:**
    * **Definición:** La respuesta no define de qué se está hablando. Es fundamental identificar el tema.
    * **Profundidad:**  La explicación es superficial. No se mencionan ejemplos concretos de situaciones donde se utilizan.
    * **Terminología:** No se utiliza ninguna terminología técnica relevante al tema (por ejemplo, si el tema es algoritmos, se podría mencionar eficiencia, complejidad, tipos de algoritmos, etc.).
    * **Claridad:** La redacción es ambigua y difícil de entender sin contexto.
**Ejemplos de Correcciones Reales (para comparar):**
* **Ejemplo 1 (Calificación: 9/10):** "Los algoritmos de búsqueda son fundamentales en la informática porque permiten encontrar información específica dentro de un conjunto de datos. Existen varios tipos, como la búsqueda lineal (que recorre cada elemento secuencialmente) y la búsqueda binaria (que requiere que los datos estén ordenados y divide el espacio de búsqueda a la mitad en cada paso). La elección del algoritmo depende de la eficiencia deseada y de las características de los datos."
* **Ejemplo 2 (Calificación: 6/10):** "Las estructuras de datos como listas y arrays son importantes porque permiten organizar y manipular información de</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</si>
  <si>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</si>
  <si>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 Corrección de la Respuesta del Estudiante
**Calificación:** 7/10
**Análisis:**
La respuesta del estudiante demuestra una comprensión básica del concepto de "asserts" o aserciones en el contexto de las pruebas (testing). Identifica correctamente su función principal: verificar el resultado de una función. Además, menciona algunos tipos de aserciones comunes (`assertTrue`, `assertFalse`, `asserthrow`), lo que indica cierto conocimiento práctico.
**Puntos Fuertes (Conceptos Correctamente Mencionados):**
*   **Función de las Aserciones:** El estudiante explica correctamente que las aserciones se usan para verificar los resultados de una función.
*   **Ejemplos de Aserciones:** Menciona varios tipos de aserciones comunes.
*   **Interpretación de Resultados:** Comprende que un test que pasa se considera "verde" (una convención común en entornos de testing).
*   **Ventajas:**  Destaca la importancia de las aserciones por su simplicidad, cobertura del código y facilidad de implementación.
**Errores y Deficiencias (Conceptos Faltantes o Incorrectos):**
*   **Sintaxis Incorrecta del Ejemplo:** El ejemplo `asserTrue( 5 , clase.Suma(3,2))` es incorrecto. La sintaxis correcta de `assertTrue` generalmente es `assertTrue(condicion, mensaje)` o  `assertTrue(variable, mensaje)`. La función `Suma(3,2)` debería ser el valor esperado, y la condición sería la comparación del valor retornado por la función con ese valor esperado.  No es claro si el estudiante entiende cómo usar las aserciones para comparar valores.
*   **Falta de Profundidad en la Explicación:** Si bien menciona la importancia de las aserciones, no explica *por qué* son importantes desde una perspectiva de calidad del software. No aborda conceptos como la detección temprana de errores, la reducción de riesgos o la documentación del comportamiento esperado del código.
*   **Ámbito de las Aserciones:** La respuesta se centra en la verificación de *resultados*.  No se menciona que las aserciones también se pueden usar para validar *condiciones* dentro del código, no solo el resultado final de una función.  Esto incluye verificar valores de variables, tipos de datos, o el estado de un objeto.
*   **Tipos de Pruebas:** La respuesta</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</si>
  <si>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</si>
  <si>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Okay, vamos a analizar esta respuesta y asignarle una calificación, comparándola con ejemplos de correcciones reales y proporcionando una justificación detallada.
**Calificación: 6.5/10**
**Justificación:**
La respuesta demuestra una comprensión básica de la idea general detrás de las aserciones en pruebas de software, pero le falta profundidad y precisión.  Aquí desglosamos los aspectos positivos y negativos:
**Aspectos Positivos (Conceptos Correctamente Mencionados):**
*   **Importancia de las aserciones:** La respuesta reconoce correctamente que las aserciones tienen un propósito en el código.
*   **Diversidad de usos:** Menciona que las aserciones tienen varios usos dentro del código.
*   **Ejemplos de aserciones:** Proporciona algunos ejemplos de nombres de aserciones (AssertEqual, AssertTrue, AssertFalse, AssertNotNull, AssertNull). Esto indica que el estudiante tiene cierta familiaridad con la sintaxis o nomenclatura.
**Errores Detectados y Falta de Profundidad:**
*   **Falta de Definición Clara:** La respuesta no define *qué* son las aserciones en términos de pruebas.  No explica que las aserciones son declaraciones que verifican condiciones en el código durante la ejecución de las pruebas, y que fallan si la condición es falsa.  Esencialmente, el estudiante describe *qué hacen* algunos nombres de aserciones, pero no *por qué* existen las aserciones en general.
*   **Uso Impreciso de la Terminología:**  La frase "distintas etiquetas sirven o para igualar dos valores (@AssertEqual)" es un poco confusa.  "Etiquetas" no es el término preciso. Se refiere a las funciones de aserción en sí.
*   **Explicación Superficial:** Las explicaciones sobre cada tipo de aserción son muy breves y carecen de detalle. Por ejemplo, decir que "devuelvan o no null (@AssertNotNull/@AssertNull)" no explica realmente *cuándo* usarías estas aserciones y *qué* estás probando.
*   **Conceptos Importantes Ausentes:**
    *   **El Propósito Principal de las Pruebas Unitarias:** La respuesta no menciona que las aserciones son *centrales* para las pruebas unitarias. Las aserciones son el mecanismo por el cual se verifica el</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</si>
  <si>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</si>
  <si>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Okay, vamos a analizar y corregir la respuesta del estudiante sobre "assertions" en el contexto de pruebas (testing).
**Calificación:** 6/10
**Justificación:**
* **Puntos Fuertes (Conceptos Correctamente Mencionados):**
    * El estudiante comprende la idea central de las assertions: verificar la corrección de los datos.  La descripción de que retornan `true` con datos correctos y fallan con datos incorrectos es fundamentalmente correcta.
    * Menciona un uso potencial de las assertions: validar las notas de estudiantes, lo cual demuestra que el estudiante intenta aplicar el concepto a un contexto real.
    * Identifica algunos tipos de assertions (`AssertNotNull`, `AssertEquals`, `AssertNull`).  Esto indica cierto conocimiento de la terminología básica.
* **Errores y Deficiencias:**
    * **Explicación Superficial:** La explicación general es muy breve y carece de profundidad. No explica *cómo* funcionan las assertions dentro de un framework de pruebas (JUnit, pytest, etc.).  La respuesta se queda a nivel de "hacen esto" sin explicar el "por qué" o el "cómo" a nivel técnico.
    * **Contexto de Pruebas Insuficiente:** La respuesta no sitúa las assertions en el contexto más amplio de las pruebas automatizadas.  Una respuesta más completa mencionaría que las assertions son componentes esenciales de las pruebas unitarias, de integración, o de cualquier otro tipo de pruebas.  No se menciona que las assertions están típicamente dentro de un método de prueba (test method).
    * **Ejemplos Falta:** Si bien nombra algunas assertions, no proporciona ejemplos de código.  Un ejemplo sencillo de cómo utilizar `AssertEquals` en un escenario básico de prueba sería muy útil para demostrar la comprensión.
    * **Terminología:** Aunque nombra algunos tipos de assertions, no explica su función específica. Por ejemplo:
        * `AssertNotNull` se utiliza para comprobar que un objeto no es nulo.
        * `AssertEquals` se utiliza para comprobar que dos valores son iguales.
        * `AssertNull` se utiliza para comprobar que un objeto es nulo.
        Esta falta de detalles debilita la respuesta.
* **Conceptos Importantes que Faltan:**
    * **Frameworks de Pruebas:** No se menciona la necesidad de utilizar un framework de pruebas (JUnit para Java, pytest</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</si>
  <si>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</si>
  <si>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 Corrección de la Respuesta sobre Aserciones
**Calificación:** 6/10
**Justificación:**
La respuesta del estudiante demuestra una comprensión *parcial* de lo que son las aserciones, aunque la explicación es algo confusa y carece de profundidad.
**Puntos Fuertes (Conceptos Correctamente Mencionados):**
*   **Función Básica:** El estudiante identifica correctamente que las aserciones se utilizan para verificar condiciones.
*   **Resultado de la Verificación:**  Entiende que una aserción puede tener un resultado de "éxito" (si la condición se cumple) o "fallo" (si la condición no se cumple).
*   **Uso en Test:** Menciona correctamente el uso de las aserciones en las pruebas de software para verificar parámetros y requisitos.
*   **Ejemplo:** El ejemplo de `asserEquals(valor esperado, valor que tienes)` es correcto y ayuda a ilustrar el concepto de una aserción.
**Errores y Conceptos Faltantes:**
*   **Definición Imprecisa:** La definición inicial ("condiciones que se ponen para verificar algo") es demasiado genérica. Una aserción, en el contexto de programación y pruebas, es una expresión booleana que se evalúa durante la ejecución del código para comprobar si una propiedad del sistema se cumple.
*   **Alcance Limitado:** La explicación se centra únicamente en la verificación de valores (entre rangos especificados), pero las aserciones pueden usarse para validar muchísimas otras cosas: tipos de datos, objetos no nulos, estructuras de datos correctas, etc.
*   **Falta de Contexto:** No se menciona el *por qué* las aserciones son importantes más allá de la simple verificación de valores.  Se podrían mencionar conceptos como:
    *   **Debugging:** Las aserciones ayudan a identificar errores en tiempo de desarrollo.
    *   **Diseño por Contrato:** Las aserciones se usan para implementar el concepto de "diseño por contrato" validando precondiciones, postcondiciones e invariantes.
    *   **Robustez del Código:**  Las aserciones ayudan a prevenir comportamientos inesperados y a hacer el código más robusto.
*   **Terminología:** Podría ser más precisa en el uso de la terminología (ej., "parámetros" vs.</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</si>
  <si>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</si>
  <si>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Okay, vamos a analizar y calificar esta respuesta, basándonos en el rol de profesor experto en evaluación académica.
**Respuesta del Estudiante:**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
**Calificación: 6/10**
**Justificación Detallada:**
*   **Precisión Conceptual (4/5):** La idea general es correcta. Las aserciones *sí* se pueden usar para validar entradas de usuario y prevenir errores.  La mención de "anticiparse a un posible error" es pertinente. El concepto de las aserciones como mecanismos de validación es comprendido.
*   **Completitud de la Respuesta (2/5):** La respuesta es bastante escueta y carece de profundidad. No explica *cómo* se utilizan las aserciones para la validación.  No hay ejemplos concretos de código o escenarios. La idea se presenta de manera muy general.
*   **Uso Correcto de la Terminología (3/5):** El uso de "ISNOTNULL" es un poco confuso en este contexto. Aunque en algunos lenguajes de base de datos puede ser un concepto similar, el término generalmente no se asocia directamente con aserciones en lenguajes de programación.  Esto sugiere una falta de precisión en la terminología específica del tema de las aserciones. Se puede interpretar como que el estudiante está tratando de relacionar aserciones con validaciones de tipo de datos (que es correcto en esencia), pero la terminología utilizada es imprecisa.
*   **Claridad de la Explicación (3/5):** La explicación es comprensible, pero carece de claridad y detalle. La frase "en funcion de estos funcionar o no" es un poco ambigua y podría reescribirse para ser más clara.  La justificación de por qué son importantes ("evitar que el código falle") es correcta pero no especialmente elaborada.
**Conceptos Correctamente Mencionados:**
*   Uso de aserciones para validar entradas.
*   Relación entre validación y prevención de errores.
**Errores Detectados:**
*   Uso</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</si>
  <si>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</si>
  <si>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 Corrección de la Respuesta sobre Aserciones en Pruebas Unitarias
**Calificación:** 7.5 / 10
**Análisis:**
Esta respuesta demuestra una comprensión básica de las aserciones en pruebas unitarias y el patrón AAA, pero carece de profundidad y precisión en algunos aspectos.
**Puntos Fuertes (Conceptos Correctamente Mencionados):**
* **Implementación antes de terminar el test:** Correctamente identifica que las aserciones se colocan al final de cada prueba.
* **Estructura AAA (Arrange-Act-Assert):**  Menciona correctamente la estructura AAA, aunque la explicación podría ser más detallada (ver "Puntos Débiles").
* **Propósito de las aserciones:** Comprende la función principal de las aserciones: verificar que el resultado de una acción (Act) coincide con el resultado esperado.
* **Importancia del fallo:** Reconoce que un fallo en la aserción marca el test como erróneo.
* **Ejemplos de tipos de aserciones:**  Menciona algunos tipos comunes de aserciones como `AssertTrue/False` y `Null/NotNull`.
**Puntos Débiles (Errores Detectados y Conceptos Faltantes):**
* **Explicación del Arrange y Act:** La explicación de las fases "Arrange" y "Act" es bastante superficial. Se podría profundizar en qué implica preparar el entorno de prueba (Arrange) y qué se está probando durante la fase de "Act". No explica que "Arrange" implica configurar los *inputs* a la función y "Act" la ejecución de la función con esos *inputs*.
* **Falta de ejemplos concretos:** Aunque menciona tipos de aserciones, no ofrece ejemplos de código para ilustrar cómo se utilizan.  Esto dificulta la comprensión para alguien que no está familiarizado con el concepto. Un ejemplo de `AssertTrue(x == 5)` haría la explicación mucho más clara.
* **Limitación de tipos de aserciones:** Si bien menciona algunos tipos comunes, la lista no es exhaustiva.  Hay muchos más tipos de aserciones (por ejemplo, `AssertEquals`, `AssertRaises`, etc.) que podrían mencionarse.
* **No menciona el "por qué" de la verificación:** La respuesta se centra en *cómo* se hacen las aserciones, pero no explica por qué son *es</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</si>
  <si>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</si>
  <si>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Okay, voy a analizar la respuesta del estudiante y asignarle una calificación, basándome en los criterios que mencionaste.
**Calificación: 5/10**
**Análisis y Justificación:**
* **Precisión Conceptual (Parcialmente Correcta):** La respuesta toca la idea central de que las aserciones son importantes para la validación de datos y la detección de errores. Sin embargo, la explicación es superficial y carece de precisión técnica. La idea de "desarrollo seguro y libre de fallos internos" es demasiado optimista; las aserciones *ayudan* a detectar errores, pero no los eliminan por completo. Tampoco son la única herramienta para garantizar seguridad.
* **Completitud (Incompleta):**  La respuesta es bastante breve y no explora la funcionalidad de las aserciones en profundidad. Se limita a mencionar su propósito general pero no entra en detalles sobre cómo funcionan o cómo se utilizan correctamente.
* **Uso Correcto de Terminología (Adecuado):**  El uso de la palabra "aserción" es correcto. No hay errores gramaticales graves ni de vocabulario.
* **Claridad de la Explicación (Regular):** La explicación es algo confusa. La frase "dando más dinamicidad al desarrollo porque te olvidas de tener que pensar que los valores de tu código puedan acarrear algún error" es poco clara y podría ser interpretada de varias maneras.  La idea principal está ahí, pero la redacción es imprecisa y no explica bien el mecanismo de las aserciones.
**Conceptos Correctamente Mencionados:**
* **Validación de datos:** La respuesta identifica correctamente que las aserciones se utilizan para validar datos.
* **Detección de errores:** Se menciona que ayudan a evitar errores.
**Errores Detectados:**
* **Exageración de la efectividad:** Implica que las aserciones previenen fallos completamente, lo cual no es cierto.  Son una herramienta de *detección* temprana, no una solución definitiva.
* **Falta de detalle en el funcionamiento:** No explica *cómo* las aserciones validan los datos (por ejemplo, comparando con un valor esperado, verificando el tipo de dato, etc.).
* **Confusión entre errores internos y externos:** La respuesta no distingue entre errores causados por la lógica del código (internos) y errores caus</t>
  </si>
  <si>
    <t>Respuesta: Las aserciones en los test sirven para que el codigo no influya en los datos, es decir, para que el codigo no pueda cambiar o eliminar cualquier tipo de dato que estamos verificando con los tests</t>
  </si>
  <si>
    <t>Okay, analicemos la respuesta del estudiante y la calificaremos.
**Respuesta del Estudiante:** "Las aserciones en los test sirven para que el código no influya en los datos, es decir, para que el código no pueda cambiar o eliminar cualquier tipo de dato que estamos verificando con los tests."
**Calificación: 6/10**
**Justificación:**
* **Conceptos Correctamente Mencionados:** El estudiante comprende la idea central de que las aserciones (assertions) están relacionadas con la protección de los datos durante las pruebas.  La idea de evitar que el código influya en los datos es correcta. El estudiante también identifica que se usan para verificar los datos.
* **Errores Detectados:** La explicación es un tanto simplista y no captura la verdadera esencia de las aserciones.  La formulación "para que el código no pueda cambiar o eliminar cualquier tipo de dato..." es un poco exagerada y potencialmente incorrecta.  Las aserciones *no* previenen que el código modifique los datos; su propósito es *detectar* si los datos se han modificado de forma incorrecta *después* de que el código ha tenido la oportunidad de actuar sobre ellos.  La respuesta no distingue entre el código que se está probando y el código de prueba en sí.
* **Conceptos Importantes que Faltan:**
    * **Propósito principal de las aserciones:** La función principal es verificar que una condición sea verdadera en un punto específico del código. Si la condición es falsa, la aserción falla y se genera una excepción, indicando un error.  La respuesta no menciona esto directamente.
    * **Aserciones como parte de pruebas unitarias:** La respuesta no contextualiza las aserciones dentro del proceso de pruebas unitarias o de pruebas en general.  Las aserciones son un componente crucial de las pruebas, permitiendo verificar el comportamiento esperado del código.
    * **Ejemplos concretos:** No hay ningún ejemplo que ilustre cómo se utilizan las aserciones en la práctica.
    * **Diferencia entre aserción y validación de datos:** Si bien relacionadas, son conceptos distintos. La respuesta no aborda esta diferenciación.
**Ejemplo de Corrección Real (para comparación):**
"Las aserciones, o 'asserts', son declaraciones en el código que verifican si una condición es verdadera en un momento dado</t>
  </si>
  <si>
    <t>Respuesta: Se pueden utilizar por ejemplo cuando un campo no puede ser nulo, poniendo @NOTNULL para evitar campos que no se rellenen y sean obligatorios, saltando el error correspondiente para solucionarlo.</t>
  </si>
  <si>
    <t>Okay, vamos a analizar y calificar esta respuesta, comparándola con lo que esperaría de un estudiante con un buen entendimiento de la validación de datos en programación (asumiendo que este es el contexto).
**Respuesta del Estudiante:** "Se pueden utilizar por ejemplo cuando un campo no puede ser nulo, poniendo @NOTNULL para evitar campos que no se rellenen y sean obligatorios, saltando el error correspondiente para solucionarlo."
**Calificación:** 6/10
**Justificación Detallada:**
* **Conceptos Correctamente Mencionados:** La respuesta identifica correctamente la necesidad de evitar campos nulos (campos que no se rellenan) y sugiere una forma de hacerlo.  La idea de que esto previene errores es fundamental.
* **Errores Detectados:**
    * **Demasiado Vago/Específico:** El uso de "@NOTNULL" es *muy* específico y podría no ser ampliamente comprensible.  Hay muchísimas maneras de implementar la validación de datos (librerías, frameworks, atributos de base de datos, código personalizado, etc.).  Asumir un lenguaje/framework específico sin mencionarlo limita la generalidad de la respuesta.
    * **"Saltando el error correspondiente para solucionarlo" es impreciso:** Validar datos *no* es "saltar" un error.  Es *detectar* el error y, a menudo, *prevenir* que se propague a otras partes del sistema, o *informar* al usuario para que corrija la entrada.  La redacción implica una solución mágica que no existe.
    * **Falta de Profundidad en la Explicación:** La respuesta es muy superficial. No explica *cómo* @NOTNULL (o su equivalente en otro contexto) realmente funciona para prevenir la nulidad.  No se menciona la importancia de la validación para la integridad de los datos.
* **Conceptos Importantes Faltantes:**
    * **Contexto:**  La respuesta carece de contexto. ¿En qué lenguaje de programación o framework se está hablando? ¿Se refiere a la base de datos? ¿Al código de la aplicación?
    * **Tipos de Validación:**  Además de la nulidad, existen muchos otros tipos de validación: rango de valores, formato de datos (email, teléfono, etc.), longitud de cadena, patrones específicos, etc.
    * **Propósito de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</si>
  <si>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</si>
  <si>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Okay, vamos a analizar y calificar esta respuesta.
**Calificación: 6/10**
**Justificación:**
* **Puntos Fuertes (Conceptos Correctamente Mencionados):** La respuesta identifica correctamente que las aserciones se utilizan para comparar valores, datos o resultados dentro de una prueba (test).  La mención del ejemplo de "resultado igual al esperado" es un buen punto de partida para ilustrar su función. Reconocer la importancia de las aserciones para cubrir una mayor parte del código es también acertado.
* **Errores Detectados:** La explicación es vaga y superficial.  No explica *cómo* las aserciones permiten la comparación. Solo se dice que "se pueden utilizar para comparar", lo que es una afirmación trivial.  La frase "si un valor es válido..." no está bien desarrollada; ¿qué significa "válido" en este contexto?  Debería explicarse que las aserciones verifican si una condición es verdadera, y si no lo es, lanzan una excepción o un error que detiene la ejecución de la prueba, señalando el fallo.
* **Conceptos Importantes Faltantes:**
    * **El propósito fundamental de una aserción:** Su objetivo principal es verificar que una condición se cumple en un punto específico del código y asegurar que el programa se comporta como se espera.
    * **El concepto de "afirmación":**  Una aserción es una afirmación (assertion) sobre el estado del programa.  Es una declaración de que "esto *debería* ser cierto en este punto".
    * **El impacto de un fallo en la aserción:**  Es crucial explicar que cuando una aserción falla, detiene la ejecución del programa o de la prueba, permitiendo al desarrollador identificar y corregir el error rápidamente.  No solo es que "señalan el fallo", sino que *lo detienen*.
    * **Ejemplos concretos:** Se podría haber proporcionado un ejemplo sencillo en pseudo-código o en un lenguaje de programación específico para ilustrar cómo se escribe una aserción (por ejemplo: `assert(x &gt; 0)`).
    * **Contexto de pruebas unitarias:**  Las aserciones son *esenciales* en las pruebas unitarias. Mencionar este contexto sería beneficioso.
**En resumen:**  La respuesta demuestra una comprensión básica del concepto de aserciones,</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</si>
  <si>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</si>
  <si>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Okay, analicemos la respuesta del estudiante con el objetivo de asignarle una calificación y justificación.
**Calificación:** 6.5 / 10
**Justificación:**
**Puntos Fuertes (Conceptos Correctamente Mencionados):**
*   **Propósito de las Aserciones (Assertions):** El estudiante entiende el propósito fundamental de las aserciones: verificar que el programa se comporta como se espera y que las funciones retornan los valores correctos bajo condiciones específicas.
*   **Verificación del Funcionamiento de Funciones:** Reconoce que las aserciones ayudan a validar el comportamiento de las funciones individuales.
*   **Relación con Condiciones:**  Menciona que las aserciones se usan con "condiciones," lo cual es crucial para su correcta aplicación.
**Errores y Omisiones (Conceptos Faltantes/Precisión Deficiente):**
*   **Falta de Profundidad en la Explicación:** La respuesta es bastante superficial. No explica *cómo* se utilizan las aserciones ni qué tipo de condiciones se suelen verificar. No menciona la sintaxis básica de una aserción (por ejemplo, `assert(condicion)` en Python).
*   **"Comprobar que un programa funciona de la manera que se espera que lo haga":** Esta frase es vaga.  Las aserciones no "comprueban *que todo* el programa funciona," sino partes específicas. La prueba del programa en su totalidad se logra con pruebas unitarias y de integración, que pueden utilizar aserciones como una herramienta dentro de ellas.
*   **No se habla de la reacción ante el fallo de una aserción:**  Un aspecto clave es que cuando una aserción falla (la condición es falsa), el programa generalmente se detiene y muestra un mensaje de error. Esta reacción es fundamental para identificar el problema.
*   **Ausencia de ejemplos:** La falta de un ejemplo sencillo de una aserción deja la explicación abstracta y poco comprensible para alguien que no está familiarizado con el concepto.
*   **Terminología limitada:** Podría haber utilizado términos más precisos como "condición de prueba" o "caso de prueba" en lugar de simplemente "condiciones".
**Comparación con Correcciones Reales (Ejemplos Imaginarios para Ilustrar):**
*   **Respuesta Ideal (10/10):** "Las aserciones</t>
  </si>
  <si>
    <t>Respuesta: Las aserciones son comprobadores de datos que devueven valores de tipo bool (verdadero o falso) en los tests. Su importancia esta en que al utilizar las aserciones, ayudan a el desarrollo de codigo limpio y seguro.</t>
  </si>
  <si>
    <t>Okay, vamos a analizar la respuesta del estudiante sobre las aserciones.
**Calificación: 6/10**
**Justificación:**
*   **Conceptos Correctamente Mencionados:** El estudiante identifica correctamente que las aserciones (assertions) se utilizan para verificar datos y que devuelven valores booleanos (verdadero/falso). También menciona su importancia para el desarrollo de código limpio y seguro, lo cual es un punto crucial.
*   **Errores Detectados:** La descripción es algo imprecisa. Si bien las aserciones *devuelven* valores booleanos, su función principal *no* es devolverlos.  La función principal de una aserción es *detener* la ejecución del programa si una condición especificada es falsa. No se trata simplemente de una verificación, sino de una declaración de que algo *debe* ser cierto en ese punto. El texto sugiere que la aserción es una herramienta para obtener información, cuando en realidad es un mecanismo de control de flujo.
*   **Conceptos Importantes que Faltan:**
    *   **Propósito Principal:** Se omite la idea central de que las aserciones se usan para verificar *condiciones* y asegurar que el programa se comporta como se espera. No solo se trata de verificar datos, sino de validar que el estado del programa es el correcto.
    *   **Uso en Pruebas (Tests):** Aunque menciona los "tests," no explica cómo las aserciones son fundamentales en las pruebas unitarias para verificar el comportamiento correcto de las funciones o métodos.  Debería mencionarse que las aserciones en los tests son una forma de comprobar si los resultados esperados coinciden con los resultados reales.
    *   **Comportamiento ante Fallo:** No se menciona qué sucede cuando una aserción falla.  Es importante indicar que la ejecución se interrumpe y, típicamente, se lanza una excepción (AssertionError).
    *   **Contexto de Desarrollo:** No se menciona que las aserciones son, generalmente, para el desarrollo y depuración, y no deberían usarse para manejo de errores en producción.
**Ejemplo de Corrección Real (y cómo se podría haber respondido mejor):**
"Las aserciones (assertions) son sentencias en un código que verifican si una condición es verdadera en un punto específico del programa. Si la condición es falsa, la aser</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</si>
  <si>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</si>
  <si>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Okay, analicemos la respuesta del estudiante sobre "assertions" en programación (asumo que se refiere a pruebas unitarias).
**Calificación: 6/10**
**Justificación:**
*   **Conceptos Correctamente Mencionados:** La respuesta identifica correctamente la idea básica de una aserción (assertion) como una forma de verificar si algo es verdadero. También menciona correctamente ejemplos comunes como `assertEqual` y `assertTrue` (o `assertionsEqual` y `assertionsTrue` como escribe el estudiante, aunque la nomenclatura correcta es la primera). La distinción entre `assertEqual` (comparación de igualdad) y `assertTrue` (verificación de una condición booleana) es importante y el estudiante intenta explicarla.
*   **Errores Detectados:**
    *   **Terminología:** El uso de "clásico" para referirse a `assertEqual` o `assertTrue` es inapropiado y confuso. Son ejemplos comunes, pero no "clásicos" en un sentido técnico.
    *   **Explicación de `assertEqual`:** Aunque menciona que `assertEqual` compara si algo es igual, la explicación es algo imprecisa.  `assertEqual` verifica si dos expresiones son *iguales* según una forma específica de comparación (que podría implicar conversiones de tipos, dependiendo de la implementación). Simplemente poner "2+3=5" es un ejemplo correcto, pero la explicación podría ser más detallada.
    *   **Explicación de `assertTrue`:** La explicación de `assertTrue` es correcta, pero podría ser más clara y concisa.  Además, podría añadir que `assertTrue` (y variantes como `assertFalse`, `assertNotEqual`, etc.) se utilizan para probar condiciones más complejas que simplemente la igualdad.
*   **Conceptos Importantes Faltantes:**
    *   **Propósito de las Aserciones:** La respuesta se centra en la sintaxis y los nombres de las funciones, pero no explica el *propósito* fundamental de las aserciones en las pruebas unitarias:  establecer expectativas sobre el comportamiento del código y verificar que esas expectativas se cumplen.  Falta una explicación del concepto de "prueba" como una serie de aserciones.
    *   **`assert` vs. otras formas de Validación:** No se menciona que las aserciones son solo una *forma* de validar resultados.  Podrían existir otras técnicas (como el análisis de registros</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</si>
  <si>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</si>
  <si>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Okay, vamos a evaluar la respuesta proporcionada.
**Calificación: 4/10**
**Justificación:**
La respuesta demuestra una comprensión muy básica del concepto de aserciones y su propósito general, pero carece de precisión, profundidad y claridad.
**Puntos Positivos:**
*   **Concepto General:** El estudiante identifica correctamente que las aserciones sirven para verificar condiciones (verdadero/falso) y que una falla indica que la condición es falsa. Esto indica una comprensión inicial del objetivo principal de las aserciones.
*   **Mención de Tipos:** El estudiante menciona algunos tipos de aserciones (@NotNull, @Email, @MaxNum), lo cual demuestra un conocimiento superficial de ejemplos.
**Errores y Deficiencias:**
*   **Terminología Incorrecta:** El uso de "test" es impreciso. Se debe hablar de "validación" o "verificación" de datos.  El término "test" se usa más para referirse a pruebas unitarias o de integración, mientras que las aserciones son mecanismos de validación dentro de la propia clase/método.
*   **Explicación Incompleta:** La explicación de cómo funcionan las aserciones es vaga. No se menciona el mecanismo de error o excepción que se lanza cuando una aserción falla. Tampoco explica cómo se utilizan en el código.
*   **Ejemplos Poco Claros:**  Aunque menciona algunos tipos de aserciones, no explica para qué sirven realmente en un contexto de programación.  @MaxNum no es un tipo de aserción estándar y el estudiante parece estar inventando un ejemplo.
*   **Justificación Insuficiente:**  La justificación de la importancia de las aserciones es muy general. No explica cómo mejoran la calidad del código, la depuración o la detección temprana de errores.  Falta mencionar que las aserciones ayudan a asegurar la validez de los datos y a prevenir errores en tiempo de ejecución.
*   **Gramática y Estilo:** La redacción es informal y contiene errores gramaticales ("asegurar si ciertas condiciones es verdadedra", "serían estas las que verificaría si el test funcionara").
**Conceptos Importantes que Faltan:**
*   **Mecanismo de Error:** Explicar que las aserciones lanzan excepciones (como `AssertionError` en Python o la falla en las</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</si>
  <si>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</si>
  <si>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Okay, vamos a evaluar esta respuesta sobre las aserciones (asserts) en el contexto de pruebas unitarias.
**Calificación: 6/10**
**Justificación:**
* **Puntos Fuertes (Conceptos Correctamente Mencionados):**
    * La respuesta identifica correctamente que las aserciones ("asserts") se utilizan para comprobar la validez de variables o datos.
    * Reconoce la importancia de las aserciones dentro del contexto de las pruebas (tests).
    * Señala que ayudan a verificar que los tests están funcionando correctamente.
    * Menciona que las aserciones se utilizan para verificar los métodos codificados.
* **Errores y Omisiones (Lo que falta para una nota más alta):**
    * **Falta de Profundidad en la Explicación:**  La respuesta es bastante superficial. No explica *cómo* funcionan las aserciones en la práctica.  Por ejemplo, no menciona el concepto de una condición que se evalúa dentro de la aserción y qué sucede cuando esa condición es falsa (normalmente, se lanza una excepción).
    * **Terminología Imprecisa:** Si bien el uso de "test" es común, sería mejor hablar de "pruebas unitarias" para mayor precisión. La respuesta no hace una distinción clara entre pruebas unitarias y otros tipos de pruebas.
    * **Ausencia del Concepto de "Condición" en la Aserción:**  Un aspecto crucial de una aserción es que *siempre* está asociada con una condición que se espera que sea verdadera. La respuesta omite este punto vital.
    * **Ejemplo Ausente:** La ausencia de un ejemplo concreto de cómo se usa una aserción debilita considerablemente la respuesta. Un ejemplo simple ilustraría mucho mejor el concepto.
    * **Propósito General:** La respuesta se centra en el "funcionamiento" de los tests, pero no menciona el propósito más amplio de las aserciones:  validar que el código se comporta como se espera, detectando errores temprano en el proceso de desarrollo.
**Ejemplo de Corrección Real (Para comparación):**
"En programación, una aserción (o 'assert') es una declaración que comprueba una condición durante la ejecución de un programa. Se utiliza principalmente en pruebas unitarias para verificar que el código se comporta como se espera. Una aserción contiene una expresión boole</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</si>
  <si>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</si>
  <si>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 Corrección de la Respuesta del Estudiante sobre Aserciones en Pruebas
**Calificación:** 6.5 / 10
**Análisis:**
La respuesta demuestra una comprensión básica de las aserciones, pero carece de profundidad y precisión en algunos aspectos clave.
**Puntos Fuertes (Conceptos Correctamente Mencionados):**
* **Definición básica:** El estudiante identifica correctamente que las aserciones son declaraciones que evalúan condiciones verdaderas o falsas.
* **Uso en pruebas:** Menciona el uso de aserciones en pruebas (tests) para verificar el comportamiento de funciones o métodos.
* **Comparación de valores:** Indica la comparación del valor real con el esperado.
* **Importancia del resultado:** Destaca que el resultado de la aserción determina si la prueba pasa o falla, y que esto garantiza la validez de las pruebas.
**Errores y Falta de Profundidad:**
* **Terminología:** El uso de la palabra "condicion" en lugar de "condición" es un error gramatical. Si bien no afecta a la comprensión, es un detalle importante en la comunicación académica.
* **Descripción Limitada:** La explicación es bastante superficial. No se menciona explícitamente la estructura de una aserción, que generalmente involucra un valor, un operador de comparación (==, !=, &gt;, &lt;, etc.) y un valor esperado.  Un ejemplo concreto de la sintaxis de una aserción (en un lenguaje de programación) sería útil.
* **Falta de ejemplos:** No se proporciona ningún ejemplo concreto de una aserción, lo que dificulta la comprensión de cómo se aplican en la práctica.  Un ejemplo simple, como `assert x == 5` (donde `x` es la variable a probar y 5 es el valor esperado), sería muy ilustrativo.
* **No se menciona el propósito del "fail" en pruebas:** Si bien se menciona que un fallo en la aserción causa que la prueba falle, no se explica qué significa eso en términos de reporte de resultados.  Es importante mencionar que una aserción fallida indica un error en el código que está siendo probado.
* **Omisión de la importancia del "assert" en la depuración:** Las aserciones son muy útiles en la depuración de código, no solo en las pruebas.  Permiten verificar precondiciones y post</t>
  </si>
  <si>
    <t>Respuesta: Tendríamos diferentes aserciones,
Asssert.Equals() -&gt; asegura que el valor de entrada y el valor esperado es igual.
No me acuerdo de mas asserts ahora mismo ;(
Los asserts son el motor básico del test y lo que asegura que lo que estamos probando esta bien.</t>
  </si>
  <si>
    <t>Okay, vamos a analizar esta respuesta de un estudiante sobre "Asserts" en pruebas de software, comparándola con ejemplos de correcciones reales y asignándole una calificación.
**Calificación: 4/10**
**Justificación:**
* **Conceptos Correctamente Mencionados (Parcialmente):** El estudiante ha tocado la idea fundamental de que los asserts sirven para verificar si algo es como se espera.  La referencia a `Assert.Equals()` (asumiendo que se refiere a la función Assert en un lenguaje de programación como Java o C#) indica una comprensión básica de que existe una función específica para comparar valores.
* **Errores Detectados:**
    * **Definición Incompleta:** La explicación de `Assert.Equals()` es simplista y podría ser más precisa. Simplemente decir que "asegura que el valor de entrada y el valor esperado es igual" no explica el propósito de *por qué* queremos que sean iguales en un contexto de prueba.
    * **Falta de Profundidad:** La respuesta es muy superficial. No explica la importancia de los asserts en el proceso de pruebas, ni cómo se integran en un framework de testing.
    * **Uso de Terminología:** Aunque usa "Asserts", la explicación general carece de la terminología formal asociada a las pruebas unitarias. No menciona conceptos como casos de prueba, condiciones de borde, etc.
    * **Reconocimiento de Limitaciones:** La frase "No me acuerdo de mas asserts ahora mismo ;("  indica una falta de conocimiento sobre los diferentes tipos de asserts disponibles y sus usos específicos (e.g., `Assert.IsTrue()`, `Assert.IsFalse()`, `Assert.IsNull()`, `Assert.IsNotNull()`, `Assert.ThrowsException()`). Esto es un problema significativo, ya que los asserts son mucho más versátiles de lo que sugiere la respuesta.
    * **Redacción:** La redacción es informal y carece de claridad.  La frase "los asserts son el motor básico del test" es una metáfora imprecisa. Sería mejor decir que son un componente *esencial* del test.
* **Conceptos Importantes Faltantes:**
    * **Propósito de las Pruebas Unitarias:** La respuesta no contextualiza los asserts dentro del proceso de pruebas unitarias.  Debería explicar que las pruebas unitarias tienen como objetivo aislar y verificar pequeñas partes del</t>
  </si>
  <si>
    <t>Respuesta: No lo se :(</t>
  </si>
  <si>
    <t>## Corrección de la Respuesta: "No lo se :("
**Calificación:** 0/10
**Justificación:**
Esta respuesta es completamente insuficiente para obtener una calificación positiva. Aunque la emoción expresada (":(") puede indicar frustración o dificultad con la pregunta, no proporciona absolutamente ninguna información relevante para la evaluación.
*   **Conceptos Correctamente Mencionados:** Ninguno. No se intenta abordar la pregunta en absoluto.
*   **Errores Detectados:** La respuesta no ofrece ningún argumento, información o razonamiento que pueda ser evaluado. Por lo tanto, no hay errores específicos en el contenido, simplemente la ausencia de contenido.
*   **Conceptos Importantes que Faltan:** Todos. La respuesta no demuestra comprensión de ningún concepto relacionado con la pregunta (cualquiera que esta sea).  Faltan elementos fundamentales como:
    *   Intento de respuesta, aunque sea parcial o incorrecto.
    *   Identificación del tema o concepto central de la pregunta.
    *   Uso de la terminología adecuada.
    *   Razonamiento o justificación, por escaso que sea.
**Ejemplos de Correcciones Reales (para comparación y referencia):**
*   **Respuesta Buena (8/10):** "La fotosíntesis es el proceso por el cual las plantas convierten la energía lumínica en energía química. Utilizan dióxido de carbono y agua, y liberan oxígeno como subproducto. Este proceso es vital para la vida en la Tierra porque proporciona la base de la cadena alimenticia y libera el oxígeno que respiramos." *Justificación: Explica correctamente la fotosíntesis, menciona los elementos clave (luz, CO2, agua, oxígeno) y su importancia. Podría mejorar mencionando la clorofila y el ciclo de Calvin.*
*   **Respuesta Regular (5/10):** "Las plantas necesitan luz para crecer, y toman aire y agua. Eso es todo lo que sé." *Justificación: Identifica algunos aspectos básicos de la fotosíntesis (luz, aire, agua), pero la explicación es muy simplificada y carece de precisión y detalles importantes. No menciona el oxígeno ni la conversión de energía.*
*   **Respuesta Incorrecta (2/10):** "Los animales hacen la fotosíntesis." *Justificación:  Muestra una comprensión completamente errónea del concepto de fotosíntesis. No menciona plantas</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</si>
  <si>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</si>
  <si>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Okay, vamos a evaluar la respuesta del estudiante con respecto a las aserciones (assertions) en programación, comparándola con ejemplos de correcciones reales.
**Calificación:** 7/10
**Justificación:**
**Puntos Fuertes (Conceptos Correctamente Mencionados):**
*   **Definición Básica:** El estudiante comprende que las aserciones se utilizan para validar datos o variables. Esta es la idea central y la ha captado.
*   **Ejemplos de Aserciones:** El estudiante proporciona ejemplos concretos de aserciones comunes como `@NotNull` y `@Email`. Esto demuestra un conocimiento práctico de su uso.
*   **Importancia de la Validación Previa:** El estudiante entiende que las aserciones son útiles para validar datos antes de realizar pruebas (tests), lo cual es fundamental para garantizar la calidad del código.
**Debilidades y Errores Detectados:**
*   **Terminología:**  Aunque menciona "condición" al principio, el término "aserción" es el correcto y debería ser utilizado de forma consistente.  El uso de "condición" al inicio crea confusión.
*   **Profundidad en la Explicación:** La explicación de *cómo* funcionan las aserciones es superficial. No se menciona que las aserciones son una forma de *verificación de invariantes* o de *contratos de programación*. Falta una explicación del comportamiento cuando una aserción falla (lanzamiento de una excepción, terminación del programa, etc.).  No se describe el propósito de las aserciones en términos de depuración y detección temprana de errores.
*   **Tipos de Aserciones (Limitado):** Se mencionan dos tipos de aserciones, lo cual es bien, pero se podría ampliar la lista (por ejemplo, aserciones para verificar rangos numéricos, tipos de datos, etc.).
*   **Contexto más amplio:** No se menciona que las aserciones son herramientas de programación *defensiva*.
**Conceptos Importantes Faltantes:**
*   **Propósito de las Aserciones:**  Explicar que las aserciones se utilizan para verificar que el código se comporta como se espera y para detectar errores en una etapa temprana del desarrollo.
*   **Manejo de Fallos:** Explicar qué sucede cuando una aserción falla (e.g., se lanza una excepción</t>
  </si>
  <si>
    <t>Respuesta: Las aserciones de los test sirven para comprobar que el programa funciona de la manera esperada por el programador. Es una verificación del programa que funciona correctamente.</t>
  </si>
  <si>
    <t>## Corrección de la Respuesta: "Las aserciones de los test sirven para comprobar que el programa funciona de la manera esperada por el programador. Es una verificación del programa que funciona correctamente."
**Calificación: 6/10**
**Justificación:**
La respuesta captura la idea fundamental de que las aserciones están relacionadas con la verificación del funcionamiento del programa. Sin embargo, la explicación es demasiado simplista y carece de profundidad. 
**Análisis Detallado:**
* **Conceptos Correctamente Mencionados:**
    * Se reconoce que las aserciones están ligadas a la verificación de la ejecución del programa.
    * Se menciona la idea de que se pretende comprobar si el programa se comporta de la manera deseada por el programador.
* **Errores Detectados:**
    * **Definición Insuficiente:** La respuesta no define qué es una aserción (assert) de manera formal. No se menciona que es una expresión booleana que se evalúa durante la ejecución y que, si es falsa, interrumpe la ejecución con un error.
    * **Falta de Contexto:** No se explica *por qué* se usan las aserciones.  Se omite la idea de que son una forma de depuración y validación temprana de errores, ayudando a encontrar problemas en el código antes de que lleguen a la fase de pruebas más amplias.
    * **Verificación vs. Prueba:** La respuesta mezcla "verificación" y "prueba". Las aserciones son parte de la verificación durante el desarrollo, no son pruebas a nivel de sistema.  Las pruebas implican ejecutar el código con entradas diferentes y verificar los resultados.
    * **Énfasis Incorrecto:** Se centra demasiado en el punto de vista del programador, en lugar de en el beneficio para el programa en sí. Las aserciones ayudan a asegurar la *corrección* del código, no solo que el programador esté contento.
* **Conceptos Importantes Faltantes:**
    * **Definición Formal:**  Se debería explicar que una aserción es una expresión que, si se evalúa como `False`, lanza una excepción (normalmente `AssertionError`).
    * **Propósito de Depuración:** Destacar que las aserciones son una herramienta de depuración, principalmente durante el desarrollo, y que generalmente se deshabilitan en la versión final del software (por razones</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</si>
  <si>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</si>
  <si>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 Corrección de la Respuesta sobre Aserciones en Test
**Calificación:** 4/10
**Justificación:**
Esta respuesta demuestra una comprensión **parcial** del concepto de aserciones en pruebas unitarias, pero adolece de varias deficiencias importantes en la explicación y la comprensión del propósito real.
**Aspectos Positivos (lo que se menciona correctamente):**
*   **Mención de la declaración de aserciones:** La respuesta identifica correctamente que las aserciones se definen "junto" al test.
*   **Ejemplo sintáctico (@NOTNULL):**  El uso del ejemplo `@NOTNULL` indica un conocimiento básico de la sintaxis común para definir restricciones en algunas herramientas de testing (aunque el contexto específico no se menciona).
**Errores y Omisiones Significativas:**
*   **Propósito Fundamental de las Aserciones:** La respuesta **no explica correctamente** el propósito principal de una aserción. Dice que "sirven para comprobar de que no se pasan datos que no se deberían poder de pasar si el código funcionara correctamente."  Si bien esto es *un* beneficio, es una descripción muy limitada. Las aserciones sirven para **verificar que el resultado de una acción (una función, un método) es el esperado**. El código podría funcionar "correctamente" en otros aspectos pero fallar en la lógica principal, y las aserciones capturan ese fallo.  La respuesta confunde la aserción con una validación de entrada (aunque la validación de entrada *puede* incluir aserciones).
*   **Aserciones como Verificación de Resultados:**  El concepto clave de que las aserciones **afirman (assert) una condición específica sobre el *resultado*** de una operación no se menciona.
*   **Tipos de Aserciones:**  No se mencionan los diferentes tipos de aserciones (igualdad, desigualdad, pertenencia, etc.) ni cómo se utilizan para verificar diferentes aspectos del código.
*   **El papel del framework de pruebas:** No se menciona que las aserciones se usan dentro de un framework de pruebas (JUnit, pytest, etc.) y cómo se integran en la ejecución del test.
*   **"Junto" es vago:** Decir que están "junto" es ambiguo. Se podría explicar que las aserciones son parte del código del test, utilizando la sintaxis proporcionada por el</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</si>
  <si>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</si>
  <si>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 Corrección de la Respuesta sobre Assertions (Aserciones)
**Calificación:** 7.5 / 10
**Justificación:**
La respuesta demuestra una comprensión general del concepto de assertions (aserciones) en el contexto de las pruebas unitarias, aunque podría ser más completa y precisa.
**Aspectos Positivos:**
*   **Concepto Central Correcto:** La respuesta identifica correctamente que las assertions son mecanismos para verificar la validez de datos o variables, y que se utilizan en las pruebas para validar el comportamiento del código.
*   **Ejemplo de Uso:** Se menciona correctamente `assertTrue(valores_esperado, valor_recibido)` como un ejemplo de assertion, ilustrando su propósito de comparar valores esperados con valores recibidos.
*   **Casos de Uso Adicionales:** La respuesta menciona correctamente la posibilidad de usar assertions para verificar si un valor es nulo o para verificar condiciones falsas (complementando el `assertTrue`).
*   **Importancia Resaltada:** Se señala la importancia de las assertions para la verificación del código, y su relación con la estructura AAA de las pruebas.
**Errores y Omisiones:**
*   **Falta de Profundidad Conceptual:** La explicación es un tanto superficial. No se profundiza en el *por qué* de las assertions o en su rol fundamental para garantizar la calidad del código.  No se menciona que las assertions deben ser lo más específicas posible para detectar errores de manera precisa.
*   **Terminología:** Si bien se usa la palabra "método", podría ser más preciso referirse a las assertions como "funciones" o "sentencias" dentro del contexto de las pruebas.
*   **Tipos de Assertions:**  Solo se menciona `assertTrue`. Existen muchos otros tipos de assertions (por ejemplo, `assertEquals`, `assertFalse`, `assertIsNone`, `assertIn`, `assertRaises`, etc.) que son importantes conocer. La respuesta carece de este abanico de posibilidades.
*   **Contexto de Fallo:** No se menciona cómo se comportan las assertions cuando una condición es falsa. Es crucial entender que una assertion fallida detiene la ejecución de la prueba y reporta un error.
*   **Consideraciones de Diseño:** Se podría mencionar que el uso excesivo de assertions (o assertions mal diseñadas) puede llevar a pruebas frágiles y difíciles de mantener.
**Ejemplos de Correcciones Reales Comparables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</si>
  <si>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</si>
  <si>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Okay, voy a corregir la respuesta proporcionada y luego asignaré una calificación con justificación detallada.
**Corrección de la Respuesta:**
La respuesta es confusa y presenta errores en la redacción y en la comprensión de lo que son las "aserciónes" (aserciones).  Si bien menciona la idea general de validar datos en pruebas, la explicación es vaga y los ejemplos son incorrectos o incompletos.
Analicemos punto por punto:
*   **"La asercion la podemos utilizar para ver y validar los datos en los distintos tipos de test."** - Esta frase es gramaticalmente incorrecta y poco precisa. Las aserciones no se "utilizan" para *ver* datos. Se utilizan para *verificar* que las condiciones que esperamos sean ciertas.
*   **"Hay varios tipos de aserciones."** - Correcto, pero no se profundiza en qué tipos son.
*   **"@Email, nes verifica que el formato que ha devuelto a sido de forma Email."** - **Error grave.**  `@Email` (o algo similar) no es una aserción estándar en la mayoría de los lenguajes o frameworks.  Es una *anotación* (o validador) que se utiliza en algunos frameworks (como Spring en Java) para validar que un campo sea una dirección de correo electrónico válida. La confusión entre aserción y anotación es significativa. La redacción "nes verifica" es incorrecta.
*   **"El @NotNull, que nos dice si la respuesta ha sido nula y vacia."** -  Similar al anterior, `@NotNull` es una anotación (o validador), no una aserción.  Es útil para asegurarse de que un valor no sea nulo, pero no necesariamente "vacío".  Un valor puede ser nulo sin ser necesariamente una cadena vacía ("").
*   **"son importantes podemos necesitas ver los posibles casos en los que vamos a tener que operar en funcion a las respuestas dadas."** -  Gramaticalmente incorrecto y confuso. La idea de considerar diferentes casos de respuesta es correcta, pero la expresión es ilegible.
**Ejemplo de Corrección Real (lo que *debería* haber dicho el estudiante):**
"Las aserciones son comprobaciones que realizamos en el código para verificar que una condición sea verdadera en un punto determinado. Se utilizan para asegurar que</t>
  </si>
  <si>
    <t>Respuesta: Son importantes porque permiten un mayor control a la hora de hacer el testing, y permite el uso de una mayor cantidad de datos, permitiendo que el test sea más viable al cubrir mayor cantidad de datos .</t>
  </si>
  <si>
    <t>Okay, veamos esta respuesta. Asumiré que la pregunta original se refiere a la importancia de los *datos sintéticos* en el testing (o validación) de modelos de machine learning, por ejemplo. Si la pregunta era sobre otra cosa, la evaluación podría cambiar.
**Calificación: 5/10**
**Justificación:**
* **Conceptos Correctamente Mencionados:** La respuesta identifica correctamente que los datos sintéticos ofrecen un mayor control en el proceso de testing. Esta es una ventaja clave de los datos sintéticos.  También menciona la posibilidad de usar una mayor cantidad de datos, lo cual es cierto y un beneficio importante. La idea de que esto "permita que el test sea más viable al cubrir mayor cantidad de datos" es un razonamiento básico correcto.
* **Errores Detectados:** La respuesta es *demasiado vaga*. No explica *cómo* los datos sintéticos permiten un mayor control. No se menciona el problema de los datos reales, ni por qué es necesario generar datos sintéticos.  El lenguaje es impreciso ("un mayor control a la hora de hacer el testing").  La frase "más viable" es imprecisa y no explica el beneficio específico.
* **Conceptos Importantes que Faltan:**  Faltan varios aspectos cruciales:
    * **El problema que resuelven los datos sintéticos:**  Por qué los datos reales pueden ser insuficientes (sesgos, falta de ejemplos de casos raros, problemas de privacidad, costo de adquisición).
    * **Cómo se generan los datos sintéticos:**  Mencionar brevemente técnicas comunes (simulación, modelos generativos, etc.).
    * **Ventajas específicas del control:** Se podría mencionar que los datos sintéticos permiten controlar la distribución de los datos, balancear clases, o generar ejemplos específicos de casos de borde.
    * **Desventajas:**  Aunque no es obligatorio, mencionar que los datos sintéticos pueden no representar perfectamente la realidad y pueden introducir sesgos propios.
    * **El propósito del testing:** Un poco más de contexto sobre por qué el testing es importante.
**Ejemplo de Corrección Real (para comparación):**
"Los datos sintéticos son cruciales en el testing de modelos de machine learning porque permiten superar las limitaciones inherentes a los datos reales.  A menudo, los datos reales son escasos, sesgados, o contienen información sensible que impide su uso libre.  Los datos sintéticos,</t>
  </si>
  <si>
    <t>Respuesta: No
se
la
respuesta</t>
  </si>
  <si>
    <t>## Corrección de la respuesta: "No se la respuesta"
**Calificación: 0/10**
**Justificación:**
La respuesta "No se la respuesta" es **completamente insuficiente** para cualquier propósito evaluativo.  No presenta ninguna información relevante, no aborda el tema que se estaría evaluando, y carece de cualquier forma de argumento o explicación. 
* **Precisión conceptual:**  No hay conceptos presentes, por lo tanto, no hay precisión conceptual que evaluar.
* **Completitud:** La respuesta es incompleta en su totalidad. No aporta ningún dato.
* **Uso de la terminología:** No utiliza ninguna terminología relevante al tema que se podría estar evaluando.
* **Claridad de la explicación:**  La "explicación" es confusa e incoherente. No transmite un mensaje comprensible.
**En resumen:** La respuesta es un fracaso total en términos de evaluación.  Demuestra una falta de entendimiento o esfuerzo por responder a la pregunta.
&lt;end_of_turn&gt;</t>
  </si>
  <si>
    <t>Respuesta: NO SE</t>
  </si>
  <si>
    <t>## Corrección de la respuesta "NO SE"
**Calificación:** 0 / 10
**Justificación:**
Esta respuesta no proporciona absolutamente nada de contenido relacionado con el tema evaluado. La afirmación "NO SE" indica una falta total de comprensión, intento de respuesta o esfuerzo. 
**Análisis detallado:**
* **Precisión Conceptual:** Nula. No hay conceptos presentados, por lo tanto, no hay precisión conceptual.
* **Completitud:** Incompleta por definición. No hay información para evaluar su completitud.
* **Uso de Terminología:** No se utiliza ninguna terminología.
* **Claridad de la Explicación:** No hay explicación.
**Conceptos importantes que faltan:**
Sin saber el tema de la evaluación original, es imposible enumerar los conceptos específicos faltantes. Sin embargo, la falta de cualquier tipo de respuesta indica que el estudiante no ha abordado **ninguno** de los conceptos relevantes para la pregunta.
**Recomendaciones para el estudiante:**
* **Comprender la pregunta:** Asegurarse de entender completamente lo que se está preguntando. Si hay dudas, pedir aclaraciones.
* **Realizar un intento de respuesta:** Incluso si no se está seguro, es importante intentar responder algo, aunque sea una idea inicial o una hipótesis.  Un intento, aunque incorrecto, demuestra un esfuerzo.
* **Investigar y estudiar:** Si se desconoce el tema, es necesario dedicar tiempo a estudiar y comprender los conceptos clave.
* **Solicitar ayuda:** No dudar en pedir ayuda al profesor, compañeros o buscar recursos adicionales si se tiene dificultad para entender el material.
**En resumen, la respuesta "NO SE" es inaceptable en un contexto de evaluación académica y requiere una intervención inmediata para identificar las causas de esta falta de respuesta y ofrecer el apoyo necesario al estudiante.**
&lt;end_of_turn&gt;</t>
  </si>
  <si>
    <t>Respuesta: Con la libreria Jakarta puedes usar aserciones en los test de forma sencilla ya que te añade las funciones como por ejemplo assertequals, son importantes ya que te permiten agilizar y cubrir mejor ciertas cosas a testear.</t>
  </si>
  <si>
    <t>Okay, vamos a analizar la respuesta del estudiante desde la perspectiva de un profesor experto en evaluación académica.
**Respuesta del Estudiante:** "Con la librería Jakarta puedes usar aserciones en los test de forma sencilla ya que te añade las funciones como por ejemplo assertequals, son importantes ya que te permiten agilizar y cubrir mejor ciertas cosas a testear."
**Corrección y Calificación: 6/10**
**Justificación:**
* **Conceptos Correctamente Mencionados:**
    * **Librería Jakarta:** El estudiante identifica correctamente que la librería Jakarta (específicamente Jakarta Assert) proporciona funcionalidades para tests.
    * **Aserciones:**  Menciona correctamente el concepto de "aserción" en el contexto de pruebas.
    * **`assertequals`:**  Identifica un tipo específico de aserción, `assertequals`, que es relevante.
    * **Agilización y Cobertura:** El estudiante menciona que las aserciones permiten agilizar y mejorar la cobertura de las pruebas, lo cual es un beneficio real.
* **Errores Detectados:**
    * **Falta de Especificidad:** La respuesta es muy genérica. No especifica *qué* es Jakarta Assert, ni cuál es su rol específico dentro de Jakarta EE (si el estudiante conoce este contexto). Asume que el lector ya sabe de qué está hablando.
    * **Explicación Insuficiente de las Aserciones:** No explica *qué* son las aserciones en sí mismas. Simplemente menciona que están disponibles y que son "importantes." Una buena respuesta explicaría que las aserciones verifican si una condición se cumple y que fallan la prueba si la condición es falsa.
    * **Ausencia de Ejemplos:**  No proporciona un ejemplo de cómo usar `assertequals` o cualquier otra aserción. Un ejemplo concreto fortalecería enormemente la respuesta.
    * **Lenguaje Informal:** El uso de "cosas a testear" es demasiado informal para una evaluación académica.
* **Conceptos Importantes que Faltan:**
    * **Propósito de las Pruebas Unitarias:** La respuesta asume que el lector ya conoce el propósito de las pruebas unitarias. Una buena respuesta debería, aunque sea brevemente, mencionar que las pruebas unitarias son para verificar que pequeñas partes del código (unidades) funcionen correctamente.
    *</t>
  </si>
  <si>
    <t>Respuesta: Las aserciones se pueden utilizar para comprobar las salidas de los test en función de las entradas. Esto es muy importante para comprobar si la salida tiene sentido teniendo en cuenta las entradas del test.</t>
  </si>
  <si>
    <t>De acuerdo, vamos a evaluar esta respuesta sobre el uso de aserciones en pruebas (testing).
**Calificación: 4/10**
**Justificación:**
* **Conceptos Correctamente Mencionados:** La respuesta identifica correctamente una función principal de las aserciones: comprobar las salidas de las pruebas en relación con las entradas. Esto demuestra una comprensión básica de su propósito.
* **Errores Detectados:** La respuesta es bastante vaga y carece de profundidad.  No explica *cómo* se utilizan las aserciones, ni qué tipo de salidas se están comprobando.  Se limita a una afirmación general sobre la "importancia" de la comprobación de la salida, sin detallar cómo las aserciones hacen eso.  La explicación es superficial y no aborda la esencia de lo que implica una aserción.
* **Conceptos Importantes que Faltan:**
    * **Definición formal de una aserción:**  La respuesta no explica que una aserción es una expresión booleana que se evalúa a `True` o `False`.  No menciona que, cuando la aserción es `False`, se lanza una excepción, indicando un error en la prueba.
    * **Ejemplos de aserciones:** No se proporcionan ejemplos concretos de cómo se usan las aserciones en código (ej. `assert x == 5`, `assert len(lista) &gt; 0`). Esto es crucial para demostrar comprensión práctica.
    * **Tipos de aserciones:** No se menciona que las aserciones pueden comprobar diferentes tipos de condiciones (igualdad, desigualdad, pertenencia, etc.).
    * **Propósito en el desarrollo:** No se explica cómo las aserciones ayudan a detectar errores en el código durante el desarrollo y las pruebas, facilitando la depuración.
    * **Diferencia entre aserciones y validaciones:**  No se distingue entre aserciones (para desarrollo y pruebas internas) y validaciones (para comprobar la validez de las entradas del usuario o de datos externos).
**Ejemplos de Correcciones Reales Comparativas (para dar contexto):**
**Ejemplo de respuesta excelente (9/10):**
"Las aserciones son sentencias en el código que se utilizan para verificar si una condición es verdadera durante el desarrollo y las pruebas. Son una forma de autocomprobación: si la condición que se eval</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</si>
  <si>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</si>
  <si>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 Corrección de la Respuesta del Estudiante sobre Aserciones
**Calificación:** 7.5 / 10
**Justificación:**
La respuesta del estudiante demuestra una comprensión básica y correcta del concepto de aserciones en pruebas unitarias. Se identifican correctamente los siguientes aspectos positivos:
*   **Concepto principal correcto:** El estudiante define correctamente las aserciones como herramientas para validar la salida de una función en función de sus entradas.
*   **Importancia en pruebas:** Se menciona la importancia de las aserciones dentro de los tests para comprobar las operaciones esperadas.
*   **Ejemplo concreto:** Se proporciona un ejemplo claro y comprensible de cómo usar `assertEquals` para verificar la salida de una función de suma.
*   **Terminología adecuada:** Se utiliza correctamente la terminología "aserción" y "assertEquals".
**Errores y Conceptos Faltantes:**
Si bien la respuesta es buena, carece de algo de profundidad y detalle. Los siguientes puntos podrían mejorarla:
*   **Tipos de Aserciones:** La respuesta se centra en `assertEquals`. Se podría mencionar brevemente que existen otros tipos de aserciones (e.g., `assertTrue`, `assertFalse`, `assertNotNull`, `assertNull`, `assertThrows`) para verificar diferentes condiciones.  El estudiante podría demostrar una comprensión más amplia de las herramientas disponibles.
*   **Propósito más allá de la igualdad:** Si bien el ejemplo de `assertEquals` es bueno, se podría mencionar que las aserciones se utilizan para verificar una variedad más amplia de condiciones, no solo la igualdad.  Por ejemplo, verificar si un valor está dentro de un rango, si una lista contiene un elemento específico, o si se lanza una excepción específica.
*   **Conexión con Frameworks de Testing:** La respuesta no menciona explícitamente frameworks de testing populares (e.g., JUnit en Java, pytest en Python, etc.) donde las aserciones son fundamentales.  Aunque no es estrictamente necesario, mencionarlos contextualizaría mejor el concepto.
*   **Claridad en el propósito de la Prueba:**  Se podría enfatizar que las aserciones no solo verifican el *resultado* de la función, sino que también ayudan a garantizar que la función se comporta correctamente *bajo diversas circunstancias* (casos de prueba).  Esto conecta las aserciones directamente con el objetivo de las pruebas unitarias.
**En resumen,** la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</si>
  <si>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</si>
  <si>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Okay, vamos a analizar y corregir esta respuesta con el rigor de un profesor experto en evaluación.
**Evaluación de la Respuesta:**
**Calificación:** 5/10
**Justificación:**
Esta respuesta demuestra una comprensión *básica* del concepto de assertions en pruebas unitarias, pero carece de profundidad, precisión y completitud. A continuación, un desglose de los aspectos positivos, negativos y lo que se echa en falta:
**Puntos Positivos:**
*   **Identificación de la Importancia:** El estudiante reconoce correctamente que las assertions (a las que se refiere como "vitales" y "de las partes más importantes") son fundamentales en las pruebas unitarias.
*   **Conexión con la Validez:** Establece una relación entre las assertions y la validez del código, lo cual es correcto.  Una buena assertion ayuda a verificar que el código se comporta como se espera, confirmando su validez.
*   **Mención de `assert.Equals`:** La mención de `assert.Equals` es un buen indicio de que el estudiante ha tenido alguna exposición a la implementación práctica de las assertions.  Es un tipo de assertion muy común.
**Puntos Negativos / Errores:**
*   **Terminología Imprecisa:**  El uso de "asertar" es un error. El término correcto es "assertion" (tomado del inglés) o, si se quiere traducir, "afirmación" o "verificación".  "Asertar" no es una palabra común en el contexto de pruebas.
*   **Explicación Superficial:** La explicación de cómo las assertions mejoran la relevancia, seguridad y precisión es muy vaga. No explica *por qué* las assertions logran estos beneficios.  Simplemente los afirma sin argumentarlo.
*   **Falta de Profundidad Conceptual:**  La respuesta no explica qué es una assertion en sí misma.  No define que es una expresión que evalúa una condición y falla si esa condición es falsa.
*   **Ejemplo Limitado:**  Si bien mencionar `assert.Equals` es bueno, la explicación es insuficiente.  No se explica el propósito de `assert.Equals` (comparar dos valores para verificar su igualdad). Podría ser más útil mostrar un ejemplo breve de cómo se usaría.
*   **Falta de Contexto:** La respuesta carece de contexto sobre el propósito de</t>
  </si>
  <si>
    <t>Respuesta: digo lo mismo que en la anterior pregunta</t>
  </si>
  <si>
    <t>Okay, entiendo. Para poder evaluar la respuesta "digo lo mismo que en la anterior pregunta", necesito más contexto. **No tengo información sobre la "anterior pregunta".** Por lo tanto, mi evaluación debe basarse en la respuesta en sí misma, considerando que es una respuesta aislada.
**Calificación:** 1/10
**Justificación:**
*   **Conceptos Correctamente Mencionados:**  La respuesta reconoce la existencia de una pregunta anterior.  Este es el único aspecto positivo, y es una observación muy superficial.
*   **Errores Detectados:**  La respuesta es extremadamente vaga y no proporciona ninguna información sustancial sobre el tema en cuestión.  No hay ningún intento de responder a la pregunta implícita. Simplemente repite una frase sin desarrollar ningún pensamiento o argumento.  La falta de contenido es el principal problema.
*   **Conceptos Importantes que Faltan:**  Todo. No hay evidencia de comprensión de ningún concepto relevante a la pregunta original. Falta cualquier tipo de análisis, explicación, ejemplos, o razonamiento.  La respuesta no demuestra ningún esfuerzo por abordar la temática.
**En resumen:** Esta respuesta es esencialmente vacía.  Se trata de una señal de falta de comprensión, desinterés o, potencialmente, un problema técnico que impidió al estudiante responder correctamente.  Para una evaluación más precisa, necesito conocer la pregunta anterior y el contexto general de la tarea.  Sin eso, solo puedo calificarla como muy baja, dado que no presenta ninguna información útil ni demuestra ningún nivel de comprensión.
&lt;end_of_turn&gt;</t>
  </si>
  <si>
    <t>Okay, vamos a analizar y calificar esta respuesta sobre aserciones en pruebas (tests).
**Calificación: 6.5 / 10**
**Justificación:**
* **Conceptos Correctamente Mencionados:** La respuesta capta la idea fundamental de que las aserciones están ligadas a la ejecución de pruebas y a la validación del comportamiento del código.  La idea de que se "añaden" y luego se "ejecutan" para "comprobar" el comportamiento es correcta.
* **Errores Detectados:**
    * **Falta de Precisión en la Definición:** La definición de "aserción" es vaga. La respuesta no explica *qué* es una aserción en sí misma.  Una aserción es una expresión booleana que se evalúa en tiempo de ejecución para verificar si una condición es verdadera.  No es simplemente "para ejecutar los test", sino que es la herramienta *dentro* del test que verifica una expectativa.
    * **Circularidad en la Explicación:** La explicación se vuelve un poco circular.  Se dice que se "añade un test, se implementa y al usar aserciones, se ejecuta...".  No se explica la *función* de la aserción en el contexto del test implementado.  La aserción es la pieza que determina si el test *pasa* o *falla*.
    * **Falta de Ejemplos Concretos:**  El "por ejemplo" es demasiado vago.  Sería mucho mejor incluir un breve ejemplo de cómo se usa una aserción en código (aunque sea pseudocódigo).  Por ejemplo: "Si esperamos que una función `sumar(2,3)` devuelva `5`, usaríamos una aserción como `assert sumar(2,3) == 5`."
* **Conceptos Importantes que Faltan:**
    * **Propósito de las Aserciones:**  La respuesta no explica claramente el propósito de las aserciones: verificar que el código se comporta *como se espera*.  Están destinadas a detectar errores y garantizar la corrección del código.
    * **Tipos de Aserciones:**  Aunque no es esencial en una respuesta básica, mencionar que existen diferentes tipos de aserciones (igualdad, desigualdad, pertenencia, etc.) añadiría profundidad.
    * **Integración con Frameworks</t>
  </si>
  <si>
    <t>## Corrección de la respuesta sobre Aserciones en Test
**Calificación: 6/10**
**Análisis:**
La respuesta muestra una comprensión básica del rol de las aserciones en el contexto de las pruebas unitarias, pero carece de profundidad y precisión.
**Puntos Fuertes (conceptos correctamente mencionados):**
*   **Ejecución de tests:** Se entiende que las aserciones están vinculadas a la ejecución de los tests.
*   **Validación del funcionamiento:** La idea de que las aserciones sirven para validar el comportamiento del código es correcta.
*   **Relación con la implementación:** Se menciona la relación entre la implementación del test y el uso de aserciones.
**Errores y Conceptos Faltantes:**
*   **Definición de Aserción:** La respuesta no define *qué es* una aserción. No explica que es una expresión que evalúa una condición y determina si el código se comporta como se espera. La respuesta lo describe como un "elemento" que se "añade" pero no lo define en sí mismo.
*   **Propósito fundamental:** La explicación se centra demasiado en el *proceso* de añadir un test y ejecutarlo.  Lo que realmente importa es que la aserción *verifica* una expectativa específica sobre el resultado del código. Se pierde la idea central de que las aserciones *comprueban* si un valor es el esperado.
*   **Tipos de Aserciones:**  No se menciona que existen diferentes tipos de aserciones (igualdad, desigualdad, pertenencia, etc.) y cómo se utilizan para verificar diferentes aspectos del código.
*   **Claridad y Precisión:** El lenguaje es un poco confuso ("se añade, se ejecuta..."). La redacción podría ser más clara y directa. La repetición de "se ejecuta" hace la explicación menos fluida.
**Justificación Detallada:**
La respuesta captura la idea general de que las aserciones son necesarias para ejecutar y validar tests. Sin embargo, la falta de una definición clara de qué es una aserción y el enfoque en el proceso en lugar del propósito fundamental restringen su valor. La ausencia de ejemplos concretos y la falta de mención a los diferentes tipos de aserciones demuestran una comprensión incompleta del concepto.
**Recomendaciones para el Estudiante:**
*   Investigar y comprender la</t>
  </si>
  <si>
    <t>Okay, vamos a analizar esta respuesta sobre aserciones en pruebas (tests).
**Calificación: 6/10**
**Justificación:**
* **Conceptos Correctamente Mencionados:** La respuesta identifica correctamente que las aserciones están relacionadas con la ejecución de pruebas y que sirven para validar el funcionamiento del código.  La idea de que se añaden pruebas (tests) y luego se ejecutan con aserciones para verificar su comportamiento es correcta.
* **Errores Detectados:** La respuesta es algo confusa y circular en su explicación.  La frase "Las aserciones en los test se utilizan para ejecutar los test ya implementados" no es del todo precisa. Las aserciones *no* ejecutan los tests; son parte integral de los tests y se utilizan para *verificar* resultados *después* de que el test se ha ejecutado.  La redacción "se ejecuta, por lo tanto, se comprueba su comportamiento respecto al test" es redundante y poco clara.
* **Conceptos Importantes que Faltan:**
    * **El Propósito Principal de las Aserciones:** La respuesta no explica *qué* están verificando las aserciones.  Debería mencionar que las aserciones comparan un valor esperado con un valor real y que el test falla si la comparación es falsa. Se necesita mencionar la idea de verificar condiciones o resultados esperados.
    * **Tipos de Aserciones:** No se menciona que existen diferentes tipos de aserciones (e.g., igualdad, desigualdad, mayor que, menor que, pertenencia, etc.).
    * **Ejemplo Concreto:** La respuesta es demasiado abstracta. Un ejemplo simple de una aserción (e.g., `assert x == 5`) haría la explicación mucho más comprensible.
    * **Importancia en el Desarrollo:** No se menciona cómo las aserciones ayudan en el desarrollo (e.g., detección temprana de errores, mejora de la calidad del código, documentación del comportamiento esperado).
**En resumen:** La respuesta demuestra una comprensión básica de la relación entre tests y aserciones, pero le falta profundidad, precisión y claridad. La explicación es un poco vaga y no aborda los aspectos fundamentales del propósito y la función de las aserciones.  Un ejemplo y una descripción más precisa de lo que verifican las aserciones serían mejoras significativas.
&lt;end_of_turn&gt;</t>
  </si>
  <si>
    <t>Okay, vamos a analizar y calificar la respuesta del estudiante sobre las aserciones en las pruebas de software.
**Calificación: 5/10**
**Justificación:**
*   **Conceptos Correctamente Mencionados:** La respuesta identifica correctamente que las aserciones están relacionadas con la ejecución de las pruebas y la validación del funcionamiento del código. También toca el punto de que se añaden las aserciones al test y que estas permiten comprobar el comportamiento.
*   **Errores Detectados:** La explicación es confusa y circular. La frase "se añade un test, se implementa y al usar aserciones, se ejecuta, por lo tanto, se comprueba su comportamiento respecto al test" es redundante y no aclara el papel específico de las aserciones.  La respuesta da la impresión de que las aserciones son un paso adicional a la ejecución del test, en lugar de una parte integral de la verificación de resultados.
*   **Conceptos Importantes que Faltan:**
    *   **Definición de Aserción:** La respuesta *no* define qué es una aserción.  Debería explicar que una aserción es una expresión que evalúa una condición y, si la condición es falsa, la prueba falla. Es decir, es la forma de expresar la expectativa de un resultado.
    *   **Propósito Principal:** La respuesta no destaca que el propósito principal de una aserción es *verificar que el código se comporta como se espera*. No es solo "comprobar su comportamiento", sino confirmar si cumple una condición específica.
    *   **Ejemplos Concretos:**  La falta de un ejemplo concreto hace que la explicación sea muy abstracta.  Un ejemplo simple de una aserción (e.g., "assert resultado == 10") ayudaría a entender mejor su función.
    *   **Relación con el Framework de Testing:**  Aunque no es esencial, mencionar brevemente que las aserciones suelen estar proporcionadas por el framework de testing (JUnit, pytest, etc.) daría una mayor contextualización.
**Ejemplo de Corrección Real (para comparar):**
"Las aserciones son expresiones dentro de una prueba de software que verifican si una condición es verdadera.  Son una parte fundamental de las pruebas unitarias y de integración, ya que permiten validar que el código se comporta de la manera esperada.  Por</t>
  </si>
  <si>
    <t>Okay, vamos a evaluar la respuesta proporcionada sobre el uso de aserciones en pruebas (tests).
**Calificación: 5/10**
**Justificación:**
*   **Conceptos Correctamente Mencionados:** La respuesta identifica correctamente que las aserciones se utilizan en el contexto de las pruebas y que están relacionadas con la validación del funcionamiento del código. La idea de "ejecutar" los tests ya implementados también es correcta.
*   **Errores Detectados:** La explicación es circular y confusa. Repite la idea de "se añade, se implementa, se ejecuta, se comprueba" sin aclarar la *función* específica de la aserción.  La frase "se comprueba su comportamiento respecto al test" es vaga y no explica cómo las aserciones facilitan esa comprobación.  La respuesta no explica *qué* verifican las aserciones.
*   **Conceptos Importantes Faltantes:**
    *   **Definición Clara de Aserción:** La respuesta no define explícitamente qué es una aserción. Una aserción es una expresión booleana que se evalúa durante la ejecución de la prueba y que determina si la prueba ha pasado o fallado. Es una *condición* que se espera que sea verdadera.
    *   **Propósito de las Aserciones:** La respuesta omite explicar que las aserciones se utilizan para *verificar* que el código se comporta como se espera. Se comparan los resultados reales con los resultados esperados.
    *   **Sintaxis Básica (no imprescindible, pero mejoraría la respuesta):** Aunque no es esencial para una respuesta básica, mencionar brevemente que las aserciones suelen usar palabras clave como `assert` o estructuras similares (dependiendo del lenguaje de programación) habría ayudado.
    *   **Ejemplo Concreto:**  La falta de un ejemplo simple de una aserción (e.g., "assert resultado == valor_esperado") desvirtúa la comprensión.
**Ejemplo de Corrección Real (para comparación):**
"En las pruebas de software, las aserciones son sentencias que se utilizan para verificar si una condición es verdadera durante la ejecución de la prueba.  Son un componente crucial de las pruebas unitarias y de integración, ya que permiten validar que el código se comporta como se espera. Por ejemplo, si tenemos una función que calcula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</si>
</sst>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3" xfId="0" applyFont="1" applyNumberFormat="1"/>
    <xf borderId="0" fillId="0" fontId="1" numFmtId="0" xfId="0" applyFont="1"/>
    <xf borderId="0" fillId="0" fontId="2" numFmtId="0" xfId="0" applyAlignment="1" applyFont="1">
      <alignment horizontal="right" readingOrder="0" vertical="bottom"/>
    </xf>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gemma3-12-RespuestaIdeal_2042tokens</a:t>
            </a:r>
          </a:p>
        </c:rich>
      </c:tx>
      <c:overlay val="0"/>
    </c:title>
    <c:plotArea>
      <c:layout/>
      <c:lineChart>
        <c:varyColors val="0"/>
        <c:ser>
          <c:idx val="0"/>
          <c:order val="0"/>
          <c:spPr>
            <a:ln cmpd="sng">
              <a:solidFill>
                <a:srgbClr val="4285F4"/>
              </a:solidFill>
            </a:ln>
          </c:spPr>
          <c:marker>
            <c:symbol val="none"/>
          </c:marker>
          <c:cat>
            <c:strRef>
              <c:f>'gemma3-12-RespuestaIdeal_2042to'!$A$2:$A$77</c:f>
            </c:strRef>
          </c:cat>
          <c:val>
            <c:numRef>
              <c:f>'gemma3-12-RespuestaIdeal_2042to'!$I$2:$I$77</c:f>
              <c:numCache/>
            </c:numRef>
          </c:val>
          <c:smooth val="0"/>
        </c:ser>
        <c:axId val="2000555170"/>
        <c:axId val="75525753"/>
      </c:lineChart>
      <c:catAx>
        <c:axId val="2000555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5525753"/>
      </c:catAx>
      <c:valAx>
        <c:axId val="755257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055517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114300</xdr:colOff>
      <xdr:row>3</xdr:row>
      <xdr:rowOff>552450</xdr:rowOff>
    </xdr:from>
    <xdr:ext cx="1062037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63"/>
  </cols>
  <sheetData>
    <row r="1">
      <c r="A1" s="1" t="s">
        <v>0</v>
      </c>
      <c r="B1" s="1" t="s">
        <v>1</v>
      </c>
      <c r="C1" s="1" t="s">
        <v>2</v>
      </c>
      <c r="D1" s="1" t="s">
        <v>3</v>
      </c>
      <c r="E1" s="1" t="s">
        <v>4</v>
      </c>
      <c r="F1" s="1" t="s">
        <v>5</v>
      </c>
      <c r="G1" s="2" t="s">
        <v>6</v>
      </c>
      <c r="H1" s="3" t="s">
        <v>7</v>
      </c>
      <c r="I1" s="3" t="s">
        <v>8</v>
      </c>
      <c r="J1" s="3"/>
      <c r="K1" s="3"/>
      <c r="L1" s="3"/>
      <c r="M1" s="4" t="s">
        <v>9</v>
      </c>
      <c r="N1" s="4" t="s">
        <v>10</v>
      </c>
      <c r="O1" s="4" t="s">
        <v>11</v>
      </c>
      <c r="P1" s="4" t="s">
        <v>12</v>
      </c>
      <c r="Q1" s="5">
        <v>1.0</v>
      </c>
      <c r="R1" s="5">
        <v>2.0</v>
      </c>
      <c r="S1" s="5">
        <v>3.0</v>
      </c>
      <c r="T1" s="5">
        <v>4.0</v>
      </c>
      <c r="U1" s="5">
        <v>5.0</v>
      </c>
      <c r="V1" s="5">
        <v>-1.0</v>
      </c>
      <c r="W1" s="5">
        <v>-2.0</v>
      </c>
      <c r="X1" s="5">
        <v>-3.0</v>
      </c>
      <c r="Y1" s="5">
        <v>-4.0</v>
      </c>
      <c r="Z1" s="5">
        <v>-5.0</v>
      </c>
      <c r="AA1" s="4" t="s">
        <v>13</v>
      </c>
    </row>
    <row r="2">
      <c r="A2" s="1">
        <v>0.0</v>
      </c>
      <c r="B2" s="1" t="s">
        <v>14</v>
      </c>
      <c r="C2" s="1" t="s">
        <v>15</v>
      </c>
      <c r="D2" s="1" t="s">
        <v>16</v>
      </c>
      <c r="E2" s="1">
        <v>4.0</v>
      </c>
      <c r="F2" s="6">
        <v>77.0</v>
      </c>
      <c r="G2" s="7" t="str">
        <f>IFERROR(__xludf.DUMMYFUNCTION("ARRAYFORMULA(SUBSTITUTE(IF(D2:D1000="""", """", IFERROR(REGEXEXTRACT(D2:D1000, ""(?i)calificaci[óo]n[^0-9]*([0-9.,]+)""), """")), ""."", "",""))"),"6")</f>
        <v>6</v>
      </c>
      <c r="H2" s="8">
        <v>2.0</v>
      </c>
      <c r="I2" s="9">
        <f t="shared" ref="I2:I25" si="2">E2-G2</f>
        <v>-2</v>
      </c>
      <c r="J2" s="3"/>
      <c r="K2" s="3"/>
      <c r="L2" s="3"/>
      <c r="M2" s="5">
        <f>MAX(H1:H90)</f>
        <v>6.5</v>
      </c>
      <c r="N2" s="10">
        <f t="shared" ref="N2:O2" si="1">AVERAGE(H1:H90)</f>
        <v>1.939189189</v>
      </c>
      <c r="O2" s="10">
        <f t="shared" si="1"/>
        <v>-0.4797297297</v>
      </c>
      <c r="P2" s="11">
        <f>COUNTIF(I2:I101, 0) / COUNT(I2:I101)
</f>
        <v>0.1621621622</v>
      </c>
      <c r="Q2" s="12">
        <f>COUNTIF(I2:I72, 1) / COUNT(I2:I72)</f>
        <v>0.1304347826</v>
      </c>
      <c r="R2" s="13">
        <f>COUNTIF(I2:I72, 2) / COUNT(I2:I72)</f>
        <v>0.1014492754</v>
      </c>
      <c r="S2" s="13">
        <f>COUNTIF(I2:I72, 3) / COUNT(I2:I72)</f>
        <v>0.05797101449</v>
      </c>
      <c r="T2" s="13">
        <f>COUNTIF(I2:I72, 4) / COUNT(I2:I72)</f>
        <v>0.01449275362</v>
      </c>
      <c r="U2" s="13">
        <f>COUNTIF(I2:I72, 5) / COUNT(I2:I72)</f>
        <v>0</v>
      </c>
      <c r="V2" s="13">
        <f>COUNTIF(I2:I72, -1) / COUNT(I2:I72)</f>
        <v>0.04347826087</v>
      </c>
      <c r="W2" s="13">
        <f>COUNTIF(I2:I72, -2) / COUNT(I2:I72)</f>
        <v>0.1449275362</v>
      </c>
      <c r="X2" s="13">
        <f>COUNTIF(I2:I72, -3) / COUNT(I2:I72)</f>
        <v>0.1014492754</v>
      </c>
      <c r="Y2" s="13">
        <f>COUNTIF(H2:H72, -4) / COUNT(H2:H72)</f>
        <v>0</v>
      </c>
      <c r="Z2" s="13">
        <f>COUNTIF(I2:I72, -5) / COUNT(I2:I72)</f>
        <v>0.01449275362</v>
      </c>
      <c r="AA2" s="13">
        <f>COUNTIF(H:H, "&lt;=1") / COUNT(H:H)</f>
        <v>0.4054054054</v>
      </c>
    </row>
    <row r="3">
      <c r="A3" s="1">
        <v>1.0</v>
      </c>
      <c r="B3" s="1" t="s">
        <v>17</v>
      </c>
      <c r="C3" s="1" t="s">
        <v>15</v>
      </c>
      <c r="D3" s="1" t="s">
        <v>18</v>
      </c>
      <c r="E3" s="1">
        <v>2.0</v>
      </c>
      <c r="F3" s="6">
        <v>76.0</v>
      </c>
      <c r="G3" s="7" t="str">
        <f>IFERROR(__xludf.DUMMYFUNCTION("""COMPUTED_VALUE"""),"4")</f>
        <v>4</v>
      </c>
      <c r="H3" s="9">
        <f t="shared" ref="H3:H25" si="3">ABS(I3)</f>
        <v>2</v>
      </c>
      <c r="I3" s="9">
        <f t="shared" si="2"/>
        <v>-2</v>
      </c>
      <c r="J3" s="3"/>
      <c r="K3" s="3"/>
      <c r="L3" s="3"/>
      <c r="M3" s="14" t="s">
        <v>19</v>
      </c>
      <c r="N3" s="14" t="s">
        <v>20</v>
      </c>
      <c r="O3" s="15" t="s">
        <v>21</v>
      </c>
      <c r="P3" s="15" t="s">
        <v>22</v>
      </c>
      <c r="Q3" s="16">
        <f>SUM(Q2:T2)</f>
        <v>0.3043478261</v>
      </c>
      <c r="R3" s="17">
        <f>SUM(V2:X2)</f>
        <v>0.2898550725</v>
      </c>
      <c r="S3" s="3"/>
      <c r="T3" s="3"/>
      <c r="U3" s="3"/>
      <c r="V3" s="3"/>
      <c r="W3" s="3"/>
      <c r="X3" s="3"/>
      <c r="Y3" s="3"/>
      <c r="Z3" s="3"/>
      <c r="AA3" s="3"/>
    </row>
    <row r="4">
      <c r="A4" s="1">
        <v>2.0</v>
      </c>
      <c r="B4" s="1" t="s">
        <v>23</v>
      </c>
      <c r="C4" s="1" t="s">
        <v>15</v>
      </c>
      <c r="D4" s="1" t="s">
        <v>24</v>
      </c>
      <c r="E4" s="1">
        <v>5.0</v>
      </c>
      <c r="F4" s="6">
        <v>76.0</v>
      </c>
      <c r="G4" s="7" t="str">
        <f>IFERROR(__xludf.DUMMYFUNCTION("""COMPUTED_VALUE"""),"5")</f>
        <v>5</v>
      </c>
      <c r="H4" s="9">
        <f t="shared" si="3"/>
        <v>0</v>
      </c>
      <c r="I4" s="9">
        <f t="shared" si="2"/>
        <v>0</v>
      </c>
    </row>
    <row r="5">
      <c r="A5" s="1">
        <v>3.0</v>
      </c>
      <c r="B5" s="1" t="s">
        <v>25</v>
      </c>
      <c r="C5" s="1" t="s">
        <v>15</v>
      </c>
      <c r="D5" s="1" t="s">
        <v>26</v>
      </c>
      <c r="E5" s="1">
        <v>4.0</v>
      </c>
      <c r="F5" s="6">
        <v>78.0</v>
      </c>
      <c r="G5" s="7" t="str">
        <f>IFERROR(__xludf.DUMMYFUNCTION("""COMPUTED_VALUE"""),"6")</f>
        <v>6</v>
      </c>
      <c r="H5" s="9">
        <f t="shared" si="3"/>
        <v>2</v>
      </c>
      <c r="I5" s="9">
        <f t="shared" si="2"/>
        <v>-2</v>
      </c>
    </row>
    <row r="6">
      <c r="A6" s="1">
        <v>4.0</v>
      </c>
      <c r="B6" s="1" t="s">
        <v>27</v>
      </c>
      <c r="C6" s="1" t="s">
        <v>15</v>
      </c>
      <c r="D6" s="1" t="s">
        <v>28</v>
      </c>
      <c r="E6" s="1">
        <v>6.0</v>
      </c>
      <c r="F6" s="6">
        <v>76.0</v>
      </c>
      <c r="G6" s="7" t="str">
        <f>IFERROR(__xludf.DUMMYFUNCTION("""COMPUTED_VALUE"""),"4")</f>
        <v>4</v>
      </c>
      <c r="H6" s="9">
        <f t="shared" si="3"/>
        <v>2</v>
      </c>
      <c r="I6" s="9">
        <f t="shared" si="2"/>
        <v>2</v>
      </c>
    </row>
    <row r="7">
      <c r="A7" s="1">
        <v>5.0</v>
      </c>
      <c r="B7" s="1" t="s">
        <v>29</v>
      </c>
      <c r="C7" s="1" t="s">
        <v>15</v>
      </c>
      <c r="D7" s="1" t="s">
        <v>30</v>
      </c>
      <c r="E7" s="1">
        <v>6.0</v>
      </c>
      <c r="F7" s="6">
        <v>77.0</v>
      </c>
      <c r="G7" s="7" t="str">
        <f>IFERROR(__xludf.DUMMYFUNCTION("""COMPUTED_VALUE"""),"7,5")</f>
        <v>7,5</v>
      </c>
      <c r="H7" s="9">
        <f t="shared" si="3"/>
        <v>1.5</v>
      </c>
      <c r="I7" s="9">
        <f t="shared" si="2"/>
        <v>-1.5</v>
      </c>
    </row>
    <row r="8">
      <c r="A8" s="1">
        <v>6.0</v>
      </c>
      <c r="B8" s="1" t="s">
        <v>31</v>
      </c>
      <c r="C8" s="1" t="s">
        <v>15</v>
      </c>
      <c r="D8" s="1" t="s">
        <v>32</v>
      </c>
      <c r="E8" s="1">
        <v>7.0</v>
      </c>
      <c r="F8" s="6">
        <v>77.0</v>
      </c>
      <c r="G8" s="7" t="str">
        <f>IFERROR(__xludf.DUMMYFUNCTION("""COMPUTED_VALUE"""),"7,5")</f>
        <v>7,5</v>
      </c>
      <c r="H8" s="9">
        <f t="shared" si="3"/>
        <v>0.5</v>
      </c>
      <c r="I8" s="9">
        <f t="shared" si="2"/>
        <v>-0.5</v>
      </c>
    </row>
    <row r="9">
      <c r="A9" s="1">
        <v>7.0</v>
      </c>
      <c r="B9" s="1" t="s">
        <v>33</v>
      </c>
      <c r="C9" s="1" t="s">
        <v>15</v>
      </c>
      <c r="D9" s="1" t="s">
        <v>34</v>
      </c>
      <c r="E9" s="1">
        <v>5.0</v>
      </c>
      <c r="F9" s="6">
        <v>77.0</v>
      </c>
      <c r="G9" s="7" t="str">
        <f>IFERROR(__xludf.DUMMYFUNCTION("""COMPUTED_VALUE"""),"5")</f>
        <v>5</v>
      </c>
      <c r="H9" s="9">
        <f t="shared" si="3"/>
        <v>0</v>
      </c>
      <c r="I9" s="9">
        <f t="shared" si="2"/>
        <v>0</v>
      </c>
    </row>
    <row r="10">
      <c r="A10" s="1">
        <v>8.0</v>
      </c>
      <c r="B10" s="1" t="s">
        <v>35</v>
      </c>
      <c r="C10" s="1" t="s">
        <v>15</v>
      </c>
      <c r="D10" s="1" t="s">
        <v>36</v>
      </c>
      <c r="E10" s="1">
        <v>7.0</v>
      </c>
      <c r="F10" s="6">
        <v>77.0</v>
      </c>
      <c r="G10" s="7" t="str">
        <f>IFERROR(__xludf.DUMMYFUNCTION("""COMPUTED_VALUE"""),"6")</f>
        <v>6</v>
      </c>
      <c r="H10" s="9">
        <f t="shared" si="3"/>
        <v>1</v>
      </c>
      <c r="I10" s="9">
        <f t="shared" si="2"/>
        <v>1</v>
      </c>
    </row>
    <row r="11">
      <c r="A11" s="1">
        <v>9.0</v>
      </c>
      <c r="B11" s="1" t="s">
        <v>37</v>
      </c>
      <c r="C11" s="1" t="s">
        <v>15</v>
      </c>
      <c r="D11" s="1" t="s">
        <v>38</v>
      </c>
      <c r="E11" s="1">
        <v>6.0</v>
      </c>
      <c r="F11" s="6">
        <v>77.0</v>
      </c>
      <c r="G11" s="7" t="str">
        <f>IFERROR(__xludf.DUMMYFUNCTION("""COMPUTED_VALUE"""),"4")</f>
        <v>4</v>
      </c>
      <c r="H11" s="9">
        <f t="shared" si="3"/>
        <v>2</v>
      </c>
      <c r="I11" s="9">
        <f t="shared" si="2"/>
        <v>2</v>
      </c>
    </row>
    <row r="12">
      <c r="A12" s="1">
        <v>10.0</v>
      </c>
      <c r="B12" s="1" t="s">
        <v>39</v>
      </c>
      <c r="C12" s="1" t="s">
        <v>15</v>
      </c>
      <c r="D12" s="1" t="s">
        <v>40</v>
      </c>
      <c r="E12" s="1">
        <v>6.0</v>
      </c>
      <c r="F12" s="6">
        <v>77.0</v>
      </c>
      <c r="G12" s="7" t="str">
        <f>IFERROR(__xludf.DUMMYFUNCTION("""COMPUTED_VALUE"""),"6")</f>
        <v>6</v>
      </c>
      <c r="H12" s="9">
        <f t="shared" si="3"/>
        <v>0</v>
      </c>
      <c r="I12" s="9">
        <f t="shared" si="2"/>
        <v>0</v>
      </c>
    </row>
    <row r="13">
      <c r="A13" s="1">
        <v>11.0</v>
      </c>
      <c r="B13" s="1" t="s">
        <v>41</v>
      </c>
      <c r="C13" s="1" t="s">
        <v>15</v>
      </c>
      <c r="D13" s="1" t="s">
        <v>42</v>
      </c>
      <c r="E13" s="1">
        <v>6.0</v>
      </c>
      <c r="F13" s="6">
        <v>77.0</v>
      </c>
      <c r="G13" s="7" t="str">
        <f>IFERROR(__xludf.DUMMYFUNCTION("""COMPUTED_VALUE"""),"6,5")</f>
        <v>6,5</v>
      </c>
      <c r="H13" s="9">
        <f t="shared" si="3"/>
        <v>0.5</v>
      </c>
      <c r="I13" s="9">
        <f t="shared" si="2"/>
        <v>-0.5</v>
      </c>
    </row>
    <row r="14">
      <c r="A14" s="1">
        <v>12.0</v>
      </c>
      <c r="B14" s="1" t="s">
        <v>43</v>
      </c>
      <c r="C14" s="1" t="s">
        <v>15</v>
      </c>
      <c r="D14" s="1" t="s">
        <v>44</v>
      </c>
      <c r="E14" s="1">
        <v>8.0</v>
      </c>
      <c r="F14" s="6">
        <v>78.0</v>
      </c>
      <c r="G14" s="7" t="str">
        <f>IFERROR(__xludf.DUMMYFUNCTION("""COMPUTED_VALUE"""),"7")</f>
        <v>7</v>
      </c>
      <c r="H14" s="9">
        <f t="shared" si="3"/>
        <v>1</v>
      </c>
      <c r="I14" s="9">
        <f t="shared" si="2"/>
        <v>1</v>
      </c>
    </row>
    <row r="15">
      <c r="A15" s="1">
        <v>13.0</v>
      </c>
      <c r="B15" s="1" t="s">
        <v>45</v>
      </c>
      <c r="C15" s="1" t="s">
        <v>15</v>
      </c>
      <c r="D15" s="1" t="s">
        <v>46</v>
      </c>
      <c r="E15" s="1">
        <v>5.0</v>
      </c>
      <c r="F15" s="6">
        <v>76.0</v>
      </c>
      <c r="G15" s="7" t="str">
        <f>IFERROR(__xludf.DUMMYFUNCTION("""COMPUTED_VALUE"""),"6,5")</f>
        <v>6,5</v>
      </c>
      <c r="H15" s="9">
        <f t="shared" si="3"/>
        <v>1.5</v>
      </c>
      <c r="I15" s="9">
        <f t="shared" si="2"/>
        <v>-1.5</v>
      </c>
    </row>
    <row r="16">
      <c r="A16" s="1">
        <v>14.0</v>
      </c>
      <c r="B16" s="1" t="s">
        <v>47</v>
      </c>
      <c r="C16" s="1" t="s">
        <v>15</v>
      </c>
      <c r="D16" s="1" t="s">
        <v>48</v>
      </c>
      <c r="E16" s="1">
        <v>7.0</v>
      </c>
      <c r="F16" s="6">
        <v>76.0</v>
      </c>
      <c r="G16" s="7" t="str">
        <f>IFERROR(__xludf.DUMMYFUNCTION("""COMPUTED_VALUE"""),"4")</f>
        <v>4</v>
      </c>
      <c r="H16" s="9">
        <f t="shared" si="3"/>
        <v>3</v>
      </c>
      <c r="I16" s="9">
        <f t="shared" si="2"/>
        <v>3</v>
      </c>
    </row>
    <row r="17">
      <c r="A17" s="1">
        <v>15.0</v>
      </c>
      <c r="B17" s="1" t="s">
        <v>49</v>
      </c>
      <c r="C17" s="1" t="s">
        <v>15</v>
      </c>
      <c r="D17" s="1" t="s">
        <v>50</v>
      </c>
      <c r="E17" s="1">
        <v>2.0</v>
      </c>
      <c r="F17" s="6">
        <v>78.0</v>
      </c>
      <c r="G17" s="7" t="str">
        <f>IFERROR(__xludf.DUMMYFUNCTION("""COMPUTED_VALUE"""),"5")</f>
        <v>5</v>
      </c>
      <c r="H17" s="9">
        <f t="shared" si="3"/>
        <v>3</v>
      </c>
      <c r="I17" s="9">
        <f t="shared" si="2"/>
        <v>-3</v>
      </c>
    </row>
    <row r="18">
      <c r="A18" s="1">
        <v>16.0</v>
      </c>
      <c r="B18" s="1" t="s">
        <v>51</v>
      </c>
      <c r="C18" s="1" t="s">
        <v>15</v>
      </c>
      <c r="D18" s="1" t="s">
        <v>52</v>
      </c>
      <c r="E18" s="1">
        <v>7.0</v>
      </c>
      <c r="F18" s="6">
        <v>77.0</v>
      </c>
      <c r="G18" s="7" t="str">
        <f>IFERROR(__xludf.DUMMYFUNCTION("""COMPUTED_VALUE"""),"6")</f>
        <v>6</v>
      </c>
      <c r="H18" s="9">
        <f t="shared" si="3"/>
        <v>1</v>
      </c>
      <c r="I18" s="9">
        <f t="shared" si="2"/>
        <v>1</v>
      </c>
    </row>
    <row r="19">
      <c r="A19" s="1">
        <v>17.0</v>
      </c>
      <c r="B19" s="1" t="s">
        <v>53</v>
      </c>
      <c r="C19" s="1" t="s">
        <v>15</v>
      </c>
      <c r="D19" s="1" t="s">
        <v>54</v>
      </c>
      <c r="E19" s="1">
        <v>9.0</v>
      </c>
      <c r="F19" s="6">
        <v>77.0</v>
      </c>
      <c r="G19" s="7" t="str">
        <f>IFERROR(__xludf.DUMMYFUNCTION("""COMPUTED_VALUE"""),"6")</f>
        <v>6</v>
      </c>
      <c r="H19" s="9">
        <f t="shared" si="3"/>
        <v>3</v>
      </c>
      <c r="I19" s="9">
        <f t="shared" si="2"/>
        <v>3</v>
      </c>
    </row>
    <row r="20">
      <c r="A20" s="1">
        <v>18.0</v>
      </c>
      <c r="B20" s="1" t="s">
        <v>55</v>
      </c>
      <c r="C20" s="1" t="s">
        <v>15</v>
      </c>
      <c r="D20" s="1" t="s">
        <v>56</v>
      </c>
      <c r="E20" s="1">
        <v>7.0</v>
      </c>
      <c r="F20" s="6">
        <v>78.0</v>
      </c>
      <c r="G20" s="7" t="str">
        <f>IFERROR(__xludf.DUMMYFUNCTION("""COMPUTED_VALUE"""),"7")</f>
        <v>7</v>
      </c>
      <c r="H20" s="9">
        <f t="shared" si="3"/>
        <v>0</v>
      </c>
      <c r="I20" s="9">
        <f t="shared" si="2"/>
        <v>0</v>
      </c>
    </row>
    <row r="21">
      <c r="A21" s="1">
        <v>19.0</v>
      </c>
      <c r="B21" s="1" t="s">
        <v>57</v>
      </c>
      <c r="C21" s="1" t="s">
        <v>15</v>
      </c>
      <c r="D21" s="1" t="s">
        <v>58</v>
      </c>
      <c r="E21" s="1">
        <v>0.0</v>
      </c>
      <c r="F21" s="6">
        <v>76.0</v>
      </c>
      <c r="G21" s="7" t="str">
        <f>IFERROR(__xludf.DUMMYFUNCTION("""COMPUTED_VALUE"""),"3")</f>
        <v>3</v>
      </c>
      <c r="H21" s="9">
        <f t="shared" si="3"/>
        <v>3</v>
      </c>
      <c r="I21" s="9">
        <f t="shared" si="2"/>
        <v>-3</v>
      </c>
    </row>
    <row r="22">
      <c r="A22" s="1">
        <v>20.0</v>
      </c>
      <c r="B22" s="1" t="s">
        <v>59</v>
      </c>
      <c r="C22" s="1" t="s">
        <v>15</v>
      </c>
      <c r="D22" s="1" t="s">
        <v>60</v>
      </c>
      <c r="E22" s="1">
        <v>8.0</v>
      </c>
      <c r="F22" s="6">
        <v>79.0</v>
      </c>
      <c r="G22" s="7" t="str">
        <f>IFERROR(__xludf.DUMMYFUNCTION("""COMPUTED_VALUE"""),"8")</f>
        <v>8</v>
      </c>
      <c r="H22" s="9">
        <f t="shared" si="3"/>
        <v>0</v>
      </c>
      <c r="I22" s="9">
        <f t="shared" si="2"/>
        <v>0</v>
      </c>
    </row>
    <row r="23">
      <c r="A23" s="1">
        <v>21.0</v>
      </c>
      <c r="B23" s="1" t="s">
        <v>61</v>
      </c>
      <c r="C23" s="1" t="s">
        <v>15</v>
      </c>
      <c r="D23" s="1" t="s">
        <v>62</v>
      </c>
      <c r="E23" s="1">
        <v>4.0</v>
      </c>
      <c r="F23" s="6">
        <v>76.0</v>
      </c>
      <c r="G23" s="7" t="str">
        <f>IFERROR(__xludf.DUMMYFUNCTION("""COMPUTED_VALUE"""),"6")</f>
        <v>6</v>
      </c>
      <c r="H23" s="9">
        <f t="shared" si="3"/>
        <v>2</v>
      </c>
      <c r="I23" s="9">
        <f t="shared" si="2"/>
        <v>-2</v>
      </c>
    </row>
    <row r="24">
      <c r="A24" s="1">
        <v>22.0</v>
      </c>
      <c r="B24" s="1" t="s">
        <v>63</v>
      </c>
      <c r="C24" s="1" t="s">
        <v>15</v>
      </c>
      <c r="D24" s="1" t="s">
        <v>64</v>
      </c>
      <c r="E24" s="1">
        <v>7.0</v>
      </c>
      <c r="F24" s="6">
        <v>77.0</v>
      </c>
      <c r="G24" s="7" t="str">
        <f>IFERROR(__xludf.DUMMYFUNCTION("""COMPUTED_VALUE"""),"6,5")</f>
        <v>6,5</v>
      </c>
      <c r="H24" s="9">
        <f t="shared" si="3"/>
        <v>0.5</v>
      </c>
      <c r="I24" s="9">
        <f t="shared" si="2"/>
        <v>0.5</v>
      </c>
    </row>
    <row r="25">
      <c r="A25" s="1">
        <v>23.0</v>
      </c>
      <c r="B25" s="1" t="s">
        <v>65</v>
      </c>
      <c r="C25" s="1" t="s">
        <v>15</v>
      </c>
      <c r="D25" s="1" t="s">
        <v>66</v>
      </c>
      <c r="E25" s="1">
        <v>1.0</v>
      </c>
      <c r="F25" s="6">
        <v>76.0</v>
      </c>
      <c r="G25" s="7" t="str">
        <f>IFERROR(__xludf.DUMMYFUNCTION("""COMPUTED_VALUE"""),"3")</f>
        <v>3</v>
      </c>
      <c r="H25" s="9">
        <f t="shared" si="3"/>
        <v>2</v>
      </c>
      <c r="I25" s="9">
        <f t="shared" si="2"/>
        <v>-2</v>
      </c>
    </row>
    <row r="26">
      <c r="A26" s="1">
        <v>24.0</v>
      </c>
      <c r="B26" s="1" t="s">
        <v>67</v>
      </c>
      <c r="C26" s="1" t="s">
        <v>15</v>
      </c>
      <c r="D26" s="1" t="s">
        <v>68</v>
      </c>
      <c r="E26" s="1">
        <v>0.0</v>
      </c>
      <c r="F26" s="6">
        <v>24.0</v>
      </c>
      <c r="G26" s="7" t="str">
        <f>IFERROR(__xludf.DUMMYFUNCTION("""COMPUTED_VALUE"""),",")</f>
        <v>,</v>
      </c>
      <c r="H26" s="9"/>
      <c r="I26" s="9"/>
    </row>
    <row r="27">
      <c r="A27" s="1">
        <v>25.0</v>
      </c>
      <c r="B27" s="1" t="s">
        <v>69</v>
      </c>
      <c r="C27" s="1" t="s">
        <v>15</v>
      </c>
      <c r="D27" s="1" t="s">
        <v>70</v>
      </c>
      <c r="E27" s="1">
        <v>7.0</v>
      </c>
      <c r="F27" s="6">
        <v>76.0</v>
      </c>
      <c r="G27" s="7" t="str">
        <f>IFERROR(__xludf.DUMMYFUNCTION("""COMPUTED_VALUE"""),"6")</f>
        <v>6</v>
      </c>
      <c r="H27" s="9">
        <f t="shared" ref="H27:H63" si="4">ABS(I27)</f>
        <v>1</v>
      </c>
      <c r="I27" s="9">
        <f t="shared" ref="I27:I63" si="5">E27-G27</f>
        <v>1</v>
      </c>
    </row>
    <row r="28">
      <c r="A28" s="1">
        <v>26.0</v>
      </c>
      <c r="B28" s="1" t="s">
        <v>71</v>
      </c>
      <c r="C28" s="1" t="s">
        <v>15</v>
      </c>
      <c r="D28" s="1" t="s">
        <v>72</v>
      </c>
      <c r="E28" s="1">
        <v>7.0</v>
      </c>
      <c r="F28" s="6">
        <v>76.0</v>
      </c>
      <c r="G28" s="7" t="str">
        <f>IFERROR(__xludf.DUMMYFUNCTION("""COMPUTED_VALUE"""),"5")</f>
        <v>5</v>
      </c>
      <c r="H28" s="9">
        <f t="shared" si="4"/>
        <v>2</v>
      </c>
      <c r="I28" s="9">
        <f t="shared" si="5"/>
        <v>2</v>
      </c>
    </row>
    <row r="29">
      <c r="A29" s="1">
        <v>27.0</v>
      </c>
      <c r="B29" s="1" t="s">
        <v>73</v>
      </c>
      <c r="C29" s="1" t="s">
        <v>15</v>
      </c>
      <c r="D29" s="1" t="s">
        <v>74</v>
      </c>
      <c r="E29" s="1">
        <v>4.0</v>
      </c>
      <c r="F29" s="6">
        <v>76.0</v>
      </c>
      <c r="G29" s="7" t="str">
        <f>IFERROR(__xludf.DUMMYFUNCTION("""COMPUTED_VALUE"""),"5")</f>
        <v>5</v>
      </c>
      <c r="H29" s="9">
        <f t="shared" si="4"/>
        <v>1</v>
      </c>
      <c r="I29" s="9">
        <f t="shared" si="5"/>
        <v>-1</v>
      </c>
    </row>
    <row r="30">
      <c r="A30" s="1">
        <v>28.0</v>
      </c>
      <c r="B30" s="1" t="s">
        <v>75</v>
      </c>
      <c r="C30" s="1" t="s">
        <v>15</v>
      </c>
      <c r="D30" s="1" t="s">
        <v>76</v>
      </c>
      <c r="E30" s="1">
        <v>4.0</v>
      </c>
      <c r="F30" s="6">
        <v>76.0</v>
      </c>
      <c r="G30" s="7" t="str">
        <f>IFERROR(__xludf.DUMMYFUNCTION("""COMPUTED_VALUE"""),"6")</f>
        <v>6</v>
      </c>
      <c r="H30" s="9">
        <f t="shared" si="4"/>
        <v>2</v>
      </c>
      <c r="I30" s="9">
        <f t="shared" si="5"/>
        <v>-2</v>
      </c>
    </row>
    <row r="31">
      <c r="A31" s="1">
        <v>29.0</v>
      </c>
      <c r="B31" s="1" t="s">
        <v>77</v>
      </c>
      <c r="C31" s="1" t="s">
        <v>15</v>
      </c>
      <c r="D31" s="1" t="s">
        <v>78</v>
      </c>
      <c r="E31" s="1">
        <v>3.0</v>
      </c>
      <c r="F31" s="6">
        <v>76.0</v>
      </c>
      <c r="G31" s="7" t="str">
        <f>IFERROR(__xludf.DUMMYFUNCTION("""COMPUTED_VALUE"""),"5")</f>
        <v>5</v>
      </c>
      <c r="H31" s="9">
        <f t="shared" si="4"/>
        <v>2</v>
      </c>
      <c r="I31" s="9">
        <f t="shared" si="5"/>
        <v>-2</v>
      </c>
    </row>
    <row r="32">
      <c r="A32" s="1">
        <v>30.0</v>
      </c>
      <c r="B32" s="1" t="s">
        <v>79</v>
      </c>
      <c r="C32" s="1" t="s">
        <v>15</v>
      </c>
      <c r="D32" s="1" t="s">
        <v>80</v>
      </c>
      <c r="E32" s="1">
        <v>9.0</v>
      </c>
      <c r="F32" s="6">
        <v>78.0</v>
      </c>
      <c r="G32" s="7" t="str">
        <f>IFERROR(__xludf.DUMMYFUNCTION("""COMPUTED_VALUE"""),"7")</f>
        <v>7</v>
      </c>
      <c r="H32" s="9">
        <f t="shared" si="4"/>
        <v>2</v>
      </c>
      <c r="I32" s="9">
        <f t="shared" si="5"/>
        <v>2</v>
      </c>
    </row>
    <row r="33">
      <c r="A33" s="1">
        <v>31.0</v>
      </c>
      <c r="B33" s="1" t="s">
        <v>81</v>
      </c>
      <c r="C33" s="1" t="s">
        <v>15</v>
      </c>
      <c r="D33" s="1" t="s">
        <v>82</v>
      </c>
      <c r="E33" s="1">
        <v>8.0</v>
      </c>
      <c r="F33" s="6">
        <v>77.0</v>
      </c>
      <c r="G33" s="7" t="str">
        <f>IFERROR(__xludf.DUMMYFUNCTION("""COMPUTED_VALUE"""),"4")</f>
        <v>4</v>
      </c>
      <c r="H33" s="9">
        <f t="shared" si="4"/>
        <v>4</v>
      </c>
      <c r="I33" s="9">
        <f t="shared" si="5"/>
        <v>4</v>
      </c>
    </row>
    <row r="34">
      <c r="A34" s="1">
        <v>32.0</v>
      </c>
      <c r="B34" s="1" t="s">
        <v>83</v>
      </c>
      <c r="C34" s="1" t="s">
        <v>15</v>
      </c>
      <c r="D34" s="1" t="s">
        <v>84</v>
      </c>
      <c r="E34" s="1">
        <v>8.0</v>
      </c>
      <c r="F34" s="6">
        <v>77.0</v>
      </c>
      <c r="G34" s="7" t="str">
        <f>IFERROR(__xludf.DUMMYFUNCTION("""COMPUTED_VALUE"""),"7")</f>
        <v>7</v>
      </c>
      <c r="H34" s="9">
        <f t="shared" si="4"/>
        <v>1</v>
      </c>
      <c r="I34" s="9">
        <f t="shared" si="5"/>
        <v>1</v>
      </c>
    </row>
    <row r="35">
      <c r="A35" s="1">
        <v>33.0</v>
      </c>
      <c r="B35" s="1" t="s">
        <v>85</v>
      </c>
      <c r="C35" s="1" t="s">
        <v>15</v>
      </c>
      <c r="D35" s="1" t="s">
        <v>86</v>
      </c>
      <c r="E35" s="1">
        <v>9.0</v>
      </c>
      <c r="F35" s="6">
        <v>77.0</v>
      </c>
      <c r="G35" s="7" t="str">
        <f>IFERROR(__xludf.DUMMYFUNCTION("""COMPUTED_VALUE"""),"7")</f>
        <v>7</v>
      </c>
      <c r="H35" s="9">
        <f t="shared" si="4"/>
        <v>2</v>
      </c>
      <c r="I35" s="9">
        <f t="shared" si="5"/>
        <v>2</v>
      </c>
    </row>
    <row r="36">
      <c r="A36" s="1">
        <v>34.0</v>
      </c>
      <c r="B36" s="1" t="s">
        <v>87</v>
      </c>
      <c r="C36" s="1" t="s">
        <v>15</v>
      </c>
      <c r="D36" s="1" t="s">
        <v>88</v>
      </c>
      <c r="E36" s="1">
        <v>7.0</v>
      </c>
      <c r="F36" s="6">
        <v>78.0</v>
      </c>
      <c r="G36" s="7" t="str">
        <f>IFERROR(__xludf.DUMMYFUNCTION("""COMPUTED_VALUE"""),"6")</f>
        <v>6</v>
      </c>
      <c r="H36" s="9">
        <f t="shared" si="4"/>
        <v>1</v>
      </c>
      <c r="I36" s="9">
        <f t="shared" si="5"/>
        <v>1</v>
      </c>
    </row>
    <row r="37">
      <c r="A37" s="1">
        <v>35.0</v>
      </c>
      <c r="B37" s="1" t="s">
        <v>89</v>
      </c>
      <c r="C37" s="1" t="s">
        <v>15</v>
      </c>
      <c r="D37" s="1" t="s">
        <v>90</v>
      </c>
      <c r="E37" s="1">
        <v>6.0</v>
      </c>
      <c r="F37" s="6">
        <v>76.0</v>
      </c>
      <c r="G37" s="7" t="str">
        <f>IFERROR(__xludf.DUMMYFUNCTION("""COMPUTED_VALUE"""),"6")</f>
        <v>6</v>
      </c>
      <c r="H37" s="9">
        <f t="shared" si="4"/>
        <v>0</v>
      </c>
      <c r="I37" s="9">
        <f t="shared" si="5"/>
        <v>0</v>
      </c>
    </row>
    <row r="38">
      <c r="A38" s="1">
        <v>36.0</v>
      </c>
      <c r="B38" s="1" t="s">
        <v>91</v>
      </c>
      <c r="C38" s="1" t="s">
        <v>15</v>
      </c>
      <c r="D38" s="1" t="s">
        <v>92</v>
      </c>
      <c r="E38" s="1">
        <v>6.0</v>
      </c>
      <c r="F38" s="6">
        <v>76.0</v>
      </c>
      <c r="G38" s="7" t="str">
        <f>IFERROR(__xludf.DUMMYFUNCTION("""COMPUTED_VALUE"""),"3")</f>
        <v>3</v>
      </c>
      <c r="H38" s="9">
        <f t="shared" si="4"/>
        <v>3</v>
      </c>
      <c r="I38" s="9">
        <f t="shared" si="5"/>
        <v>3</v>
      </c>
    </row>
    <row r="39">
      <c r="A39" s="1">
        <v>37.0</v>
      </c>
      <c r="B39" s="1" t="s">
        <v>93</v>
      </c>
      <c r="C39" s="1" t="s">
        <v>15</v>
      </c>
      <c r="D39" s="1" t="s">
        <v>94</v>
      </c>
      <c r="E39" s="1">
        <v>8.0</v>
      </c>
      <c r="F39" s="6">
        <v>77.0</v>
      </c>
      <c r="G39" s="7" t="str">
        <f>IFERROR(__xludf.DUMMYFUNCTION("""COMPUTED_VALUE"""),"2")</f>
        <v>2</v>
      </c>
      <c r="H39" s="9">
        <f t="shared" si="4"/>
        <v>6</v>
      </c>
      <c r="I39" s="9">
        <f t="shared" si="5"/>
        <v>6</v>
      </c>
    </row>
    <row r="40">
      <c r="A40" s="1">
        <v>38.0</v>
      </c>
      <c r="B40" s="1" t="s">
        <v>95</v>
      </c>
      <c r="C40" s="1" t="s">
        <v>15</v>
      </c>
      <c r="D40" s="1" t="s">
        <v>96</v>
      </c>
      <c r="E40" s="1">
        <v>8.0</v>
      </c>
      <c r="F40" s="6">
        <v>76.0</v>
      </c>
      <c r="G40" s="7" t="str">
        <f>IFERROR(__xludf.DUMMYFUNCTION("""COMPUTED_VALUE"""),"6,5")</f>
        <v>6,5</v>
      </c>
      <c r="H40" s="9">
        <f t="shared" si="4"/>
        <v>1.5</v>
      </c>
      <c r="I40" s="9">
        <f t="shared" si="5"/>
        <v>1.5</v>
      </c>
    </row>
    <row r="41">
      <c r="A41" s="1">
        <v>39.0</v>
      </c>
      <c r="B41" s="1" t="s">
        <v>97</v>
      </c>
      <c r="C41" s="1" t="s">
        <v>15</v>
      </c>
      <c r="D41" s="1" t="s">
        <v>98</v>
      </c>
      <c r="E41" s="1">
        <v>1.0</v>
      </c>
      <c r="F41" s="6">
        <v>76.0</v>
      </c>
      <c r="G41" s="7" t="str">
        <f>IFERROR(__xludf.DUMMYFUNCTION("""COMPUTED_VALUE"""),"4")</f>
        <v>4</v>
      </c>
      <c r="H41" s="9">
        <f t="shared" si="4"/>
        <v>3</v>
      </c>
      <c r="I41" s="9">
        <f t="shared" si="5"/>
        <v>-3</v>
      </c>
    </row>
    <row r="42">
      <c r="A42" s="1">
        <v>40.0</v>
      </c>
      <c r="B42" s="1" t="s">
        <v>99</v>
      </c>
      <c r="C42" s="1" t="s">
        <v>15</v>
      </c>
      <c r="D42" s="1" t="s">
        <v>100</v>
      </c>
      <c r="E42" s="1">
        <v>8.0</v>
      </c>
      <c r="F42" s="6">
        <v>78.0</v>
      </c>
      <c r="G42" s="7" t="str">
        <f>IFERROR(__xludf.DUMMYFUNCTION("""COMPUTED_VALUE"""),"7")</f>
        <v>7</v>
      </c>
      <c r="H42" s="9">
        <f t="shared" si="4"/>
        <v>1</v>
      </c>
      <c r="I42" s="9">
        <f t="shared" si="5"/>
        <v>1</v>
      </c>
    </row>
    <row r="43">
      <c r="A43" s="1">
        <v>41.0</v>
      </c>
      <c r="B43" s="1" t="s">
        <v>101</v>
      </c>
      <c r="C43" s="1" t="s">
        <v>15</v>
      </c>
      <c r="D43" s="1" t="s">
        <v>102</v>
      </c>
      <c r="E43" s="1">
        <v>7.0</v>
      </c>
      <c r="F43" s="6">
        <v>77.0</v>
      </c>
      <c r="G43" s="7" t="str">
        <f>IFERROR(__xludf.DUMMYFUNCTION("""COMPUTED_VALUE"""),"6,5")</f>
        <v>6,5</v>
      </c>
      <c r="H43" s="9">
        <f t="shared" si="4"/>
        <v>0.5</v>
      </c>
      <c r="I43" s="9">
        <f t="shared" si="5"/>
        <v>0.5</v>
      </c>
    </row>
    <row r="44">
      <c r="A44" s="1">
        <v>42.0</v>
      </c>
      <c r="B44" s="1" t="s">
        <v>103</v>
      </c>
      <c r="C44" s="1" t="s">
        <v>15</v>
      </c>
      <c r="D44" s="1" t="s">
        <v>104</v>
      </c>
      <c r="E44" s="1">
        <v>6.0</v>
      </c>
      <c r="F44" s="6">
        <v>77.0</v>
      </c>
      <c r="G44" s="7" t="str">
        <f>IFERROR(__xludf.DUMMYFUNCTION("""COMPUTED_VALUE"""),"6")</f>
        <v>6</v>
      </c>
      <c r="H44" s="9">
        <f t="shared" si="4"/>
        <v>0</v>
      </c>
      <c r="I44" s="9">
        <f t="shared" si="5"/>
        <v>0</v>
      </c>
    </row>
    <row r="45">
      <c r="A45" s="1">
        <v>43.0</v>
      </c>
      <c r="B45" s="1" t="s">
        <v>105</v>
      </c>
      <c r="C45" s="1" t="s">
        <v>15</v>
      </c>
      <c r="D45" s="1" t="s">
        <v>106</v>
      </c>
      <c r="E45" s="1">
        <v>9.0</v>
      </c>
      <c r="F45" s="6">
        <v>79.0</v>
      </c>
      <c r="G45" s="7" t="str">
        <f>IFERROR(__xludf.DUMMYFUNCTION("""COMPUTED_VALUE"""),"6")</f>
        <v>6</v>
      </c>
      <c r="H45" s="9">
        <f t="shared" si="4"/>
        <v>3</v>
      </c>
      <c r="I45" s="9">
        <f t="shared" si="5"/>
        <v>3</v>
      </c>
    </row>
    <row r="46">
      <c r="A46" s="1">
        <v>44.0</v>
      </c>
      <c r="B46" s="1" t="s">
        <v>107</v>
      </c>
      <c r="C46" s="1" t="s">
        <v>15</v>
      </c>
      <c r="D46" s="1" t="s">
        <v>108</v>
      </c>
      <c r="E46" s="1">
        <v>3.0</v>
      </c>
      <c r="F46" s="6">
        <v>77.0</v>
      </c>
      <c r="G46" s="7" t="str">
        <f>IFERROR(__xludf.DUMMYFUNCTION("""COMPUTED_VALUE"""),"6")</f>
        <v>6</v>
      </c>
      <c r="H46" s="9">
        <f t="shared" si="4"/>
        <v>3</v>
      </c>
      <c r="I46" s="9">
        <f t="shared" si="5"/>
        <v>-3</v>
      </c>
    </row>
    <row r="47">
      <c r="A47" s="1">
        <v>45.0</v>
      </c>
      <c r="B47" s="1" t="s">
        <v>109</v>
      </c>
      <c r="C47" s="1" t="s">
        <v>15</v>
      </c>
      <c r="D47" s="1" t="s">
        <v>110</v>
      </c>
      <c r="E47" s="1">
        <v>8.0</v>
      </c>
      <c r="F47" s="6">
        <v>78.0</v>
      </c>
      <c r="G47" s="7" t="str">
        <f>IFERROR(__xludf.DUMMYFUNCTION("""COMPUTED_VALUE"""),"7,5")</f>
        <v>7,5</v>
      </c>
      <c r="H47" s="9">
        <f t="shared" si="4"/>
        <v>0.5</v>
      </c>
      <c r="I47" s="9">
        <f t="shared" si="5"/>
        <v>0.5</v>
      </c>
    </row>
    <row r="48">
      <c r="A48" s="1">
        <v>46.0</v>
      </c>
      <c r="B48" s="1" t="s">
        <v>111</v>
      </c>
      <c r="C48" s="1" t="s">
        <v>15</v>
      </c>
      <c r="D48" s="1" t="s">
        <v>112</v>
      </c>
      <c r="E48" s="1">
        <v>3.0</v>
      </c>
      <c r="F48" s="6">
        <v>77.0</v>
      </c>
      <c r="G48" s="7" t="str">
        <f>IFERROR(__xludf.DUMMYFUNCTION("""COMPUTED_VALUE"""),"5")</f>
        <v>5</v>
      </c>
      <c r="H48" s="9">
        <f t="shared" si="4"/>
        <v>2</v>
      </c>
      <c r="I48" s="9">
        <f t="shared" si="5"/>
        <v>-2</v>
      </c>
    </row>
    <row r="49">
      <c r="A49" s="1">
        <v>47.0</v>
      </c>
      <c r="B49" s="1" t="s">
        <v>113</v>
      </c>
      <c r="C49" s="1" t="s">
        <v>15</v>
      </c>
      <c r="D49" s="1" t="s">
        <v>114</v>
      </c>
      <c r="E49" s="1">
        <v>2.0</v>
      </c>
      <c r="F49" s="6">
        <v>76.0</v>
      </c>
      <c r="G49" s="7" t="str">
        <f>IFERROR(__xludf.DUMMYFUNCTION("""COMPUTED_VALUE"""),"6")</f>
        <v>6</v>
      </c>
      <c r="H49" s="9">
        <f t="shared" si="4"/>
        <v>4</v>
      </c>
      <c r="I49" s="9">
        <f t="shared" si="5"/>
        <v>-4</v>
      </c>
    </row>
    <row r="50">
      <c r="A50" s="1">
        <v>48.0</v>
      </c>
      <c r="B50" s="1" t="s">
        <v>115</v>
      </c>
      <c r="C50" s="1" t="s">
        <v>15</v>
      </c>
      <c r="D50" s="1" t="s">
        <v>116</v>
      </c>
      <c r="E50" s="1">
        <v>2.0</v>
      </c>
      <c r="F50" s="6">
        <v>76.0</v>
      </c>
      <c r="G50" s="7" t="str">
        <f>IFERROR(__xludf.DUMMYFUNCTION("""COMPUTED_VALUE"""),"6")</f>
        <v>6</v>
      </c>
      <c r="H50" s="9">
        <f t="shared" si="4"/>
        <v>4</v>
      </c>
      <c r="I50" s="9">
        <f t="shared" si="5"/>
        <v>-4</v>
      </c>
    </row>
    <row r="51">
      <c r="A51" s="1">
        <v>49.0</v>
      </c>
      <c r="B51" s="1" t="s">
        <v>117</v>
      </c>
      <c r="C51" s="1" t="s">
        <v>15</v>
      </c>
      <c r="D51" s="1" t="s">
        <v>118</v>
      </c>
      <c r="E51" s="1">
        <v>8.0</v>
      </c>
      <c r="F51" s="6">
        <v>76.0</v>
      </c>
      <c r="G51" s="7" t="str">
        <f>IFERROR(__xludf.DUMMYFUNCTION("""COMPUTED_VALUE"""),"6")</f>
        <v>6</v>
      </c>
      <c r="H51" s="9">
        <f t="shared" si="4"/>
        <v>2</v>
      </c>
      <c r="I51" s="9">
        <f t="shared" si="5"/>
        <v>2</v>
      </c>
    </row>
    <row r="52">
      <c r="A52" s="1">
        <v>50.0</v>
      </c>
      <c r="B52" s="1" t="s">
        <v>119</v>
      </c>
      <c r="C52" s="1" t="s">
        <v>15</v>
      </c>
      <c r="D52" s="1" t="s">
        <v>120</v>
      </c>
      <c r="E52" s="1">
        <v>8.0</v>
      </c>
      <c r="F52" s="6">
        <v>76.0</v>
      </c>
      <c r="G52" s="7" t="str">
        <f>IFERROR(__xludf.DUMMYFUNCTION("""COMPUTED_VALUE"""),"6,5")</f>
        <v>6,5</v>
      </c>
      <c r="H52" s="9">
        <f t="shared" si="4"/>
        <v>1.5</v>
      </c>
      <c r="I52" s="9">
        <f t="shared" si="5"/>
        <v>1.5</v>
      </c>
    </row>
    <row r="53">
      <c r="A53" s="1">
        <v>51.0</v>
      </c>
      <c r="B53" s="1" t="s">
        <v>121</v>
      </c>
      <c r="C53" s="1" t="s">
        <v>15</v>
      </c>
      <c r="D53" s="1" t="s">
        <v>122</v>
      </c>
      <c r="E53" s="1">
        <v>4.0</v>
      </c>
      <c r="F53" s="6">
        <v>76.0</v>
      </c>
      <c r="G53" s="7" t="str">
        <f>IFERROR(__xludf.DUMMYFUNCTION("""COMPUTED_VALUE"""),"6")</f>
        <v>6</v>
      </c>
      <c r="H53" s="9">
        <f t="shared" si="4"/>
        <v>2</v>
      </c>
      <c r="I53" s="9">
        <f t="shared" si="5"/>
        <v>-2</v>
      </c>
    </row>
    <row r="54">
      <c r="A54" s="1">
        <v>52.0</v>
      </c>
      <c r="B54" s="1" t="s">
        <v>123</v>
      </c>
      <c r="C54" s="1" t="s">
        <v>15</v>
      </c>
      <c r="D54" s="1" t="s">
        <v>124</v>
      </c>
      <c r="E54" s="1">
        <v>7.0</v>
      </c>
      <c r="F54" s="6">
        <v>77.0</v>
      </c>
      <c r="G54" s="7" t="str">
        <f>IFERROR(__xludf.DUMMYFUNCTION("""COMPUTED_VALUE"""),"6")</f>
        <v>6</v>
      </c>
      <c r="H54" s="9">
        <f t="shared" si="4"/>
        <v>1</v>
      </c>
      <c r="I54" s="9">
        <f t="shared" si="5"/>
        <v>1</v>
      </c>
    </row>
    <row r="55">
      <c r="A55" s="1">
        <v>53.0</v>
      </c>
      <c r="B55" s="1" t="s">
        <v>125</v>
      </c>
      <c r="C55" s="1" t="s">
        <v>15</v>
      </c>
      <c r="D55" s="1" t="s">
        <v>126</v>
      </c>
      <c r="E55" s="1">
        <v>5.0</v>
      </c>
      <c r="F55" s="6">
        <v>77.0</v>
      </c>
      <c r="G55" s="7" t="str">
        <f>IFERROR(__xludf.DUMMYFUNCTION("""COMPUTED_VALUE"""),"4")</f>
        <v>4</v>
      </c>
      <c r="H55" s="9">
        <f t="shared" si="4"/>
        <v>1</v>
      </c>
      <c r="I55" s="9">
        <f t="shared" si="5"/>
        <v>1</v>
      </c>
    </row>
    <row r="56">
      <c r="A56" s="1">
        <v>54.0</v>
      </c>
      <c r="B56" s="1" t="s">
        <v>127</v>
      </c>
      <c r="C56" s="1" t="s">
        <v>15</v>
      </c>
      <c r="D56" s="1" t="s">
        <v>128</v>
      </c>
      <c r="E56" s="1">
        <v>5.0</v>
      </c>
      <c r="F56" s="6">
        <v>78.0</v>
      </c>
      <c r="G56" s="7" t="str">
        <f>IFERROR(__xludf.DUMMYFUNCTION("""COMPUTED_VALUE"""),"6")</f>
        <v>6</v>
      </c>
      <c r="H56" s="9">
        <f t="shared" si="4"/>
        <v>1</v>
      </c>
      <c r="I56" s="9">
        <f t="shared" si="5"/>
        <v>-1</v>
      </c>
    </row>
    <row r="57">
      <c r="A57" s="1">
        <v>55.0</v>
      </c>
      <c r="B57" s="1" t="s">
        <v>129</v>
      </c>
      <c r="C57" s="1" t="s">
        <v>15</v>
      </c>
      <c r="D57" s="1" t="s">
        <v>130</v>
      </c>
      <c r="E57" s="1">
        <v>9.0</v>
      </c>
      <c r="F57" s="6">
        <v>78.0</v>
      </c>
      <c r="G57" s="7" t="str">
        <f>IFERROR(__xludf.DUMMYFUNCTION("""COMPUTED_VALUE"""),"6,5")</f>
        <v>6,5</v>
      </c>
      <c r="H57" s="9">
        <f t="shared" si="4"/>
        <v>2.5</v>
      </c>
      <c r="I57" s="9">
        <f t="shared" si="5"/>
        <v>2.5</v>
      </c>
    </row>
    <row r="58">
      <c r="A58" s="1">
        <v>56.0</v>
      </c>
      <c r="B58" s="1" t="s">
        <v>131</v>
      </c>
      <c r="C58" s="1" t="s">
        <v>15</v>
      </c>
      <c r="D58" s="1" t="s">
        <v>132</v>
      </c>
      <c r="E58" s="1">
        <v>4.0</v>
      </c>
      <c r="F58" s="6">
        <v>77.0</v>
      </c>
      <c r="G58" s="7" t="str">
        <f>IFERROR(__xludf.DUMMYFUNCTION("""COMPUTED_VALUE"""),"4")</f>
        <v>4</v>
      </c>
      <c r="H58" s="9">
        <f t="shared" si="4"/>
        <v>0</v>
      </c>
      <c r="I58" s="9">
        <f t="shared" si="5"/>
        <v>0</v>
      </c>
    </row>
    <row r="59">
      <c r="A59" s="1">
        <v>57.0</v>
      </c>
      <c r="B59" s="1" t="s">
        <v>133</v>
      </c>
      <c r="C59" s="1" t="s">
        <v>15</v>
      </c>
      <c r="D59" s="1" t="s">
        <v>134</v>
      </c>
      <c r="E59" s="1">
        <v>0.0</v>
      </c>
      <c r="F59" s="6">
        <v>75.0</v>
      </c>
      <c r="G59" s="7" t="str">
        <f>IFERROR(__xludf.DUMMYFUNCTION("""COMPUTED_VALUE"""),"0")</f>
        <v>0</v>
      </c>
      <c r="H59" s="9">
        <f t="shared" si="4"/>
        <v>0</v>
      </c>
      <c r="I59" s="9">
        <f t="shared" si="5"/>
        <v>0</v>
      </c>
    </row>
    <row r="60">
      <c r="A60" s="1">
        <v>58.0</v>
      </c>
      <c r="B60" s="1" t="s">
        <v>135</v>
      </c>
      <c r="C60" s="1" t="s">
        <v>15</v>
      </c>
      <c r="D60" s="1" t="s">
        <v>136</v>
      </c>
      <c r="E60" s="1">
        <v>2.0</v>
      </c>
      <c r="F60" s="6">
        <v>77.0</v>
      </c>
      <c r="G60" s="7" t="str">
        <f>IFERROR(__xludf.DUMMYFUNCTION("""COMPUTED_VALUE"""),"7")</f>
        <v>7</v>
      </c>
      <c r="H60" s="9">
        <f t="shared" si="4"/>
        <v>5</v>
      </c>
      <c r="I60" s="9">
        <f t="shared" si="5"/>
        <v>-5</v>
      </c>
    </row>
    <row r="61">
      <c r="A61" s="1">
        <v>59.0</v>
      </c>
      <c r="B61" s="1" t="s">
        <v>137</v>
      </c>
      <c r="C61" s="1" t="s">
        <v>15</v>
      </c>
      <c r="D61" s="1" t="s">
        <v>138</v>
      </c>
      <c r="E61" s="1">
        <v>3.0</v>
      </c>
      <c r="F61" s="6">
        <v>76.0</v>
      </c>
      <c r="G61" s="7" t="str">
        <f>IFERROR(__xludf.DUMMYFUNCTION("""COMPUTED_VALUE"""),"6")</f>
        <v>6</v>
      </c>
      <c r="H61" s="9">
        <f t="shared" si="4"/>
        <v>3</v>
      </c>
      <c r="I61" s="9">
        <f t="shared" si="5"/>
        <v>-3</v>
      </c>
    </row>
    <row r="62">
      <c r="A62" s="1">
        <v>60.0</v>
      </c>
      <c r="B62" s="1" t="s">
        <v>139</v>
      </c>
      <c r="C62" s="1" t="s">
        <v>15</v>
      </c>
      <c r="D62" s="1" t="s">
        <v>140</v>
      </c>
      <c r="E62" s="1">
        <v>1.0</v>
      </c>
      <c r="F62" s="6">
        <v>76.0</v>
      </c>
      <c r="G62" s="7" t="str">
        <f>IFERROR(__xludf.DUMMYFUNCTION("""COMPUTED_VALUE"""),"4")</f>
        <v>4</v>
      </c>
      <c r="H62" s="9">
        <f t="shared" si="4"/>
        <v>3</v>
      </c>
      <c r="I62" s="9">
        <f t="shared" si="5"/>
        <v>-3</v>
      </c>
    </row>
    <row r="63">
      <c r="A63" s="1">
        <v>61.0</v>
      </c>
      <c r="B63" s="1" t="s">
        <v>141</v>
      </c>
      <c r="C63" s="1" t="s">
        <v>15</v>
      </c>
      <c r="D63" s="1" t="s">
        <v>142</v>
      </c>
      <c r="E63" s="1">
        <v>9.0</v>
      </c>
      <c r="F63" s="6">
        <v>79.0</v>
      </c>
      <c r="G63" s="7" t="str">
        <f>IFERROR(__xludf.DUMMYFUNCTION("""COMPUTED_VALUE"""),"7,5")</f>
        <v>7,5</v>
      </c>
      <c r="H63" s="9">
        <f t="shared" si="4"/>
        <v>1.5</v>
      </c>
      <c r="I63" s="9">
        <f t="shared" si="5"/>
        <v>1.5</v>
      </c>
    </row>
    <row r="64">
      <c r="A64" s="1">
        <v>62.0</v>
      </c>
      <c r="B64" s="1" t="s">
        <v>143</v>
      </c>
      <c r="C64" s="1" t="s">
        <v>15</v>
      </c>
      <c r="D64" s="1" t="s">
        <v>144</v>
      </c>
      <c r="E64" s="1">
        <v>3.0</v>
      </c>
      <c r="F64" s="6">
        <v>77.0</v>
      </c>
      <c r="G64" s="7" t="str">
        <f>IFERROR(__xludf.DUMMYFUNCTION("""COMPUTED_VALUE"""),",")</f>
        <v>,</v>
      </c>
      <c r="H64" s="9"/>
      <c r="I64" s="9"/>
    </row>
    <row r="65">
      <c r="A65" s="1">
        <v>63.0</v>
      </c>
      <c r="B65" s="1" t="s">
        <v>145</v>
      </c>
      <c r="C65" s="1" t="s">
        <v>15</v>
      </c>
      <c r="D65" s="1" t="s">
        <v>146</v>
      </c>
      <c r="E65" s="1">
        <v>2.0</v>
      </c>
      <c r="F65" s="6">
        <v>76.0</v>
      </c>
      <c r="G65" s="7" t="str">
        <f>IFERROR(__xludf.DUMMYFUNCTION("""COMPUTED_VALUE"""),"5")</f>
        <v>5</v>
      </c>
      <c r="H65" s="9">
        <f t="shared" ref="H65:H77" si="6">ABS(I65)</f>
        <v>3</v>
      </c>
      <c r="I65" s="9">
        <f t="shared" ref="I65:I77" si="7">E65-G65</f>
        <v>-3</v>
      </c>
    </row>
    <row r="66">
      <c r="A66" s="1">
        <v>64.0</v>
      </c>
      <c r="B66" s="1" t="s">
        <v>147</v>
      </c>
      <c r="C66" s="1" t="s">
        <v>15</v>
      </c>
      <c r="D66" s="1" t="s">
        <v>148</v>
      </c>
      <c r="E66" s="1">
        <v>0.0</v>
      </c>
      <c r="F66" s="6">
        <v>33.0</v>
      </c>
      <c r="G66" s="7" t="str">
        <f>IFERROR(__xludf.DUMMYFUNCTION("""COMPUTED_VALUE"""),"0")</f>
        <v>0</v>
      </c>
      <c r="H66" s="9">
        <f t="shared" si="6"/>
        <v>0</v>
      </c>
      <c r="I66" s="9">
        <f t="shared" si="7"/>
        <v>0</v>
      </c>
    </row>
    <row r="67">
      <c r="A67" s="1">
        <v>65.0</v>
      </c>
      <c r="B67" s="1" t="s">
        <v>149</v>
      </c>
      <c r="C67" s="1" t="s">
        <v>15</v>
      </c>
      <c r="D67" s="1" t="s">
        <v>150</v>
      </c>
      <c r="E67" s="1">
        <v>0.0</v>
      </c>
      <c r="F67" s="6">
        <v>58.0</v>
      </c>
      <c r="G67" s="7" t="str">
        <f>IFERROR(__xludf.DUMMYFUNCTION("""COMPUTED_VALUE"""),"0")</f>
        <v>0</v>
      </c>
      <c r="H67" s="9">
        <f t="shared" si="6"/>
        <v>0</v>
      </c>
      <c r="I67" s="9">
        <f t="shared" si="7"/>
        <v>0</v>
      </c>
    </row>
    <row r="68">
      <c r="A68" s="1">
        <v>66.0</v>
      </c>
      <c r="B68" s="1" t="s">
        <v>151</v>
      </c>
      <c r="C68" s="1" t="s">
        <v>15</v>
      </c>
      <c r="D68" s="1" t="s">
        <v>152</v>
      </c>
      <c r="E68" s="1">
        <v>4.0</v>
      </c>
      <c r="F68" s="6">
        <v>76.0</v>
      </c>
      <c r="G68" s="7" t="str">
        <f>IFERROR(__xludf.DUMMYFUNCTION("""COMPUTED_VALUE"""),"6")</f>
        <v>6</v>
      </c>
      <c r="H68" s="9">
        <f t="shared" si="6"/>
        <v>2</v>
      </c>
      <c r="I68" s="9">
        <f t="shared" si="7"/>
        <v>-2</v>
      </c>
    </row>
    <row r="69">
      <c r="A69" s="1">
        <v>67.0</v>
      </c>
      <c r="B69" s="1" t="s">
        <v>153</v>
      </c>
      <c r="C69" s="1" t="s">
        <v>15</v>
      </c>
      <c r="D69" s="1" t="s">
        <v>154</v>
      </c>
      <c r="E69" s="1">
        <v>6.0</v>
      </c>
      <c r="F69" s="6">
        <v>76.0</v>
      </c>
      <c r="G69" s="7" t="str">
        <f>IFERROR(__xludf.DUMMYFUNCTION("""COMPUTED_VALUE"""),"4")</f>
        <v>4</v>
      </c>
      <c r="H69" s="9">
        <f t="shared" si="6"/>
        <v>2</v>
      </c>
      <c r="I69" s="9">
        <f t="shared" si="7"/>
        <v>2</v>
      </c>
    </row>
    <row r="70">
      <c r="A70" s="1">
        <v>68.0</v>
      </c>
      <c r="B70" s="1" t="s">
        <v>155</v>
      </c>
      <c r="C70" s="1" t="s">
        <v>15</v>
      </c>
      <c r="D70" s="1" t="s">
        <v>156</v>
      </c>
      <c r="E70" s="1">
        <v>8.0</v>
      </c>
      <c r="F70" s="6">
        <v>77.0</v>
      </c>
      <c r="G70" s="7" t="str">
        <f>IFERROR(__xludf.DUMMYFUNCTION("""COMPUTED_VALUE"""),"7,5")</f>
        <v>7,5</v>
      </c>
      <c r="H70" s="9">
        <f t="shared" si="6"/>
        <v>0.5</v>
      </c>
      <c r="I70" s="9">
        <f t="shared" si="7"/>
        <v>0.5</v>
      </c>
    </row>
    <row r="71">
      <c r="A71" s="1">
        <v>69.0</v>
      </c>
      <c r="B71" s="1" t="s">
        <v>157</v>
      </c>
      <c r="C71" s="1" t="s">
        <v>15</v>
      </c>
      <c r="D71" s="1" t="s">
        <v>158</v>
      </c>
      <c r="E71" s="1">
        <v>5.0</v>
      </c>
      <c r="F71" s="6">
        <v>76.0</v>
      </c>
      <c r="G71" s="7" t="str">
        <f>IFERROR(__xludf.DUMMYFUNCTION("""COMPUTED_VALUE"""),"5")</f>
        <v>5</v>
      </c>
      <c r="H71" s="9">
        <f t="shared" si="6"/>
        <v>0</v>
      </c>
      <c r="I71" s="9">
        <f t="shared" si="7"/>
        <v>0</v>
      </c>
    </row>
    <row r="72">
      <c r="A72" s="1">
        <v>70.0</v>
      </c>
      <c r="B72" s="1" t="s">
        <v>159</v>
      </c>
      <c r="C72" s="1" t="s">
        <v>15</v>
      </c>
      <c r="D72" s="1" t="s">
        <v>160</v>
      </c>
      <c r="E72" s="1">
        <v>0.0</v>
      </c>
      <c r="F72" s="6">
        <v>48.0</v>
      </c>
      <c r="G72" s="7" t="str">
        <f>IFERROR(__xludf.DUMMYFUNCTION("""COMPUTED_VALUE"""),"1")</f>
        <v>1</v>
      </c>
      <c r="H72" s="9">
        <f t="shared" si="6"/>
        <v>1</v>
      </c>
      <c r="I72" s="9">
        <f t="shared" si="7"/>
        <v>-1</v>
      </c>
    </row>
    <row r="73">
      <c r="A73" s="1">
        <v>71.0</v>
      </c>
      <c r="B73" s="1" t="s">
        <v>14</v>
      </c>
      <c r="C73" s="1" t="s">
        <v>15</v>
      </c>
      <c r="D73" s="1" t="s">
        <v>161</v>
      </c>
      <c r="E73" s="1">
        <v>0.0</v>
      </c>
      <c r="F73" s="6">
        <v>77.0</v>
      </c>
      <c r="G73" s="7" t="str">
        <f>IFERROR(__xludf.DUMMYFUNCTION("""COMPUTED_VALUE"""),"6,5")</f>
        <v>6,5</v>
      </c>
      <c r="H73" s="9">
        <f t="shared" si="6"/>
        <v>6.5</v>
      </c>
      <c r="I73" s="9">
        <f t="shared" si="7"/>
        <v>-6.5</v>
      </c>
    </row>
    <row r="74">
      <c r="A74" s="1">
        <v>72.0</v>
      </c>
      <c r="B74" s="1" t="s">
        <v>14</v>
      </c>
      <c r="C74" s="1" t="s">
        <v>15</v>
      </c>
      <c r="D74" s="1" t="s">
        <v>162</v>
      </c>
      <c r="E74" s="1">
        <v>0.0</v>
      </c>
      <c r="F74" s="6">
        <v>77.0</v>
      </c>
      <c r="G74" s="7" t="str">
        <f>IFERROR(__xludf.DUMMYFUNCTION("""COMPUTED_VALUE"""),"6")</f>
        <v>6</v>
      </c>
      <c r="H74" s="9">
        <f t="shared" si="6"/>
        <v>6</v>
      </c>
      <c r="I74" s="9">
        <f t="shared" si="7"/>
        <v>-6</v>
      </c>
    </row>
    <row r="75">
      <c r="A75" s="1">
        <v>73.0</v>
      </c>
      <c r="B75" s="1" t="s">
        <v>14</v>
      </c>
      <c r="C75" s="1" t="s">
        <v>15</v>
      </c>
      <c r="D75" s="1" t="s">
        <v>163</v>
      </c>
      <c r="E75" s="1">
        <v>0.0</v>
      </c>
      <c r="F75" s="6">
        <v>75.0</v>
      </c>
      <c r="G75" s="7" t="str">
        <f>IFERROR(__xludf.DUMMYFUNCTION("""COMPUTED_VALUE"""),"6")</f>
        <v>6</v>
      </c>
      <c r="H75" s="9">
        <f t="shared" si="6"/>
        <v>6</v>
      </c>
      <c r="I75" s="9">
        <f t="shared" si="7"/>
        <v>-6</v>
      </c>
    </row>
    <row r="76">
      <c r="A76" s="1">
        <v>74.0</v>
      </c>
      <c r="B76" s="1" t="s">
        <v>14</v>
      </c>
      <c r="C76" s="1" t="s">
        <v>15</v>
      </c>
      <c r="D76" s="1" t="s">
        <v>164</v>
      </c>
      <c r="E76" s="1">
        <v>0.0</v>
      </c>
      <c r="F76" s="6">
        <v>77.0</v>
      </c>
      <c r="G76" s="7" t="str">
        <f>IFERROR(__xludf.DUMMYFUNCTION("""COMPUTED_VALUE"""),"5")</f>
        <v>5</v>
      </c>
      <c r="H76" s="9">
        <f t="shared" si="6"/>
        <v>5</v>
      </c>
      <c r="I76" s="9">
        <f t="shared" si="7"/>
        <v>-5</v>
      </c>
    </row>
    <row r="77">
      <c r="A77" s="1">
        <v>75.0</v>
      </c>
      <c r="B77" s="1" t="s">
        <v>14</v>
      </c>
      <c r="C77" s="1" t="s">
        <v>15</v>
      </c>
      <c r="D77" s="1" t="s">
        <v>165</v>
      </c>
      <c r="E77" s="1">
        <v>0.0</v>
      </c>
      <c r="F77" s="6">
        <v>76.0</v>
      </c>
      <c r="G77" s="7" t="str">
        <f>IFERROR(__xludf.DUMMYFUNCTION("""COMPUTED_VALUE"""),"5")</f>
        <v>5</v>
      </c>
      <c r="H77" s="9">
        <f t="shared" si="6"/>
        <v>5</v>
      </c>
      <c r="I77" s="9">
        <f t="shared" si="7"/>
        <v>-5</v>
      </c>
    </row>
    <row r="78">
      <c r="G78" s="7" t="str">
        <f>IFERROR(__xludf.DUMMYFUNCTION("""COMPUTED_VALUE"""),"")</f>
        <v/>
      </c>
    </row>
    <row r="79">
      <c r="G79" s="7" t="str">
        <f>IFERROR(__xludf.DUMMYFUNCTION("""COMPUTED_VALUE"""),"")</f>
        <v/>
      </c>
    </row>
    <row r="80">
      <c r="G80" s="7" t="str">
        <f>IFERROR(__xludf.DUMMYFUNCTION("""COMPUTED_VALUE"""),"")</f>
        <v/>
      </c>
    </row>
    <row r="81">
      <c r="G81" s="7" t="str">
        <f>IFERROR(__xludf.DUMMYFUNCTION("""COMPUTED_VALUE"""),"")</f>
        <v/>
      </c>
    </row>
    <row r="82">
      <c r="G82" s="7" t="str">
        <f>IFERROR(__xludf.DUMMYFUNCTION("""COMPUTED_VALUE"""),"")</f>
        <v/>
      </c>
    </row>
    <row r="83">
      <c r="G83" s="7" t="str">
        <f>IFERROR(__xludf.DUMMYFUNCTION("""COMPUTED_VALUE"""),"")</f>
        <v/>
      </c>
    </row>
    <row r="84">
      <c r="G84" s="7" t="str">
        <f>IFERROR(__xludf.DUMMYFUNCTION("""COMPUTED_VALUE"""),"")</f>
        <v/>
      </c>
    </row>
    <row r="85">
      <c r="G85" s="7" t="str">
        <f>IFERROR(__xludf.DUMMYFUNCTION("""COMPUTED_VALUE"""),"")</f>
        <v/>
      </c>
    </row>
    <row r="86">
      <c r="G86" s="7" t="str">
        <f>IFERROR(__xludf.DUMMYFUNCTION("""COMPUTED_VALUE"""),"")</f>
        <v/>
      </c>
    </row>
    <row r="87">
      <c r="G87" s="7" t="str">
        <f>IFERROR(__xludf.DUMMYFUNCTION("""COMPUTED_VALUE"""),"")</f>
        <v/>
      </c>
    </row>
    <row r="88">
      <c r="G88" s="7" t="str">
        <f>IFERROR(__xludf.DUMMYFUNCTION("""COMPUTED_VALUE"""),"")</f>
        <v/>
      </c>
    </row>
    <row r="89">
      <c r="G89" s="7" t="str">
        <f>IFERROR(__xludf.DUMMYFUNCTION("""COMPUTED_VALUE"""),"")</f>
        <v/>
      </c>
    </row>
    <row r="90">
      <c r="G90" s="7" t="str">
        <f>IFERROR(__xludf.DUMMYFUNCTION("""COMPUTED_VALUE"""),"")</f>
        <v/>
      </c>
    </row>
    <row r="91">
      <c r="G91" s="7" t="str">
        <f>IFERROR(__xludf.DUMMYFUNCTION("""COMPUTED_VALUE"""),"")</f>
        <v/>
      </c>
    </row>
    <row r="92">
      <c r="G92" s="7" t="str">
        <f>IFERROR(__xludf.DUMMYFUNCTION("""COMPUTED_VALUE"""),"")</f>
        <v/>
      </c>
    </row>
    <row r="93">
      <c r="G93" s="7" t="str">
        <f>IFERROR(__xludf.DUMMYFUNCTION("""COMPUTED_VALUE"""),"")</f>
        <v/>
      </c>
    </row>
    <row r="94">
      <c r="G94" s="7" t="str">
        <f>IFERROR(__xludf.DUMMYFUNCTION("""COMPUTED_VALUE"""),"")</f>
        <v/>
      </c>
    </row>
    <row r="95">
      <c r="G95" s="7" t="str">
        <f>IFERROR(__xludf.DUMMYFUNCTION("""COMPUTED_VALUE"""),"")</f>
        <v/>
      </c>
    </row>
    <row r="96">
      <c r="G96" s="7" t="str">
        <f>IFERROR(__xludf.DUMMYFUNCTION("""COMPUTED_VALUE"""),"")</f>
        <v/>
      </c>
    </row>
    <row r="97">
      <c r="G97" s="7" t="str">
        <f>IFERROR(__xludf.DUMMYFUNCTION("""COMPUTED_VALUE"""),"")</f>
        <v/>
      </c>
    </row>
    <row r="98">
      <c r="G98" s="7" t="str">
        <f>IFERROR(__xludf.DUMMYFUNCTION("""COMPUTED_VALUE"""),"")</f>
        <v/>
      </c>
    </row>
    <row r="99">
      <c r="G99" s="7" t="str">
        <f>IFERROR(__xludf.DUMMYFUNCTION("""COMPUTED_VALUE"""),"")</f>
        <v/>
      </c>
    </row>
    <row r="100">
      <c r="G100" s="7" t="str">
        <f>IFERROR(__xludf.DUMMYFUNCTION("""COMPUTED_VALUE"""),"")</f>
        <v/>
      </c>
    </row>
    <row r="101">
      <c r="G101" s="7" t="str">
        <f>IFERROR(__xludf.DUMMYFUNCTION("""COMPUTED_VALUE"""),"")</f>
        <v/>
      </c>
    </row>
    <row r="102">
      <c r="G102" s="7" t="str">
        <f>IFERROR(__xludf.DUMMYFUNCTION("""COMPUTED_VALUE"""),"")</f>
        <v/>
      </c>
    </row>
    <row r="103">
      <c r="G103" s="7" t="str">
        <f>IFERROR(__xludf.DUMMYFUNCTION("""COMPUTED_VALUE"""),"")</f>
        <v/>
      </c>
    </row>
    <row r="104">
      <c r="G104" s="7" t="str">
        <f>IFERROR(__xludf.DUMMYFUNCTION("""COMPUTED_VALUE"""),"")</f>
        <v/>
      </c>
    </row>
    <row r="105">
      <c r="G105" s="7" t="str">
        <f>IFERROR(__xludf.DUMMYFUNCTION("""COMPUTED_VALUE"""),"")</f>
        <v/>
      </c>
    </row>
    <row r="106">
      <c r="G106" s="7" t="str">
        <f>IFERROR(__xludf.DUMMYFUNCTION("""COMPUTED_VALUE"""),"")</f>
        <v/>
      </c>
    </row>
    <row r="107">
      <c r="G107" s="7" t="str">
        <f>IFERROR(__xludf.DUMMYFUNCTION("""COMPUTED_VALUE"""),"")</f>
        <v/>
      </c>
    </row>
    <row r="108">
      <c r="G108" s="7" t="str">
        <f>IFERROR(__xludf.DUMMYFUNCTION("""COMPUTED_VALUE"""),"")</f>
        <v/>
      </c>
    </row>
    <row r="109">
      <c r="G109" s="7" t="str">
        <f>IFERROR(__xludf.DUMMYFUNCTION("""COMPUTED_VALUE"""),"")</f>
        <v/>
      </c>
    </row>
    <row r="110">
      <c r="G110" s="7" t="str">
        <f>IFERROR(__xludf.DUMMYFUNCTION("""COMPUTED_VALUE"""),"")</f>
        <v/>
      </c>
    </row>
    <row r="111">
      <c r="G111" s="7" t="str">
        <f>IFERROR(__xludf.DUMMYFUNCTION("""COMPUTED_VALUE"""),"")</f>
        <v/>
      </c>
    </row>
    <row r="112">
      <c r="G112" s="7" t="str">
        <f>IFERROR(__xludf.DUMMYFUNCTION("""COMPUTED_VALUE"""),"")</f>
        <v/>
      </c>
    </row>
    <row r="113">
      <c r="G113" s="7" t="str">
        <f>IFERROR(__xludf.DUMMYFUNCTION("""COMPUTED_VALUE"""),"")</f>
        <v/>
      </c>
    </row>
    <row r="114">
      <c r="G114" s="7" t="str">
        <f>IFERROR(__xludf.DUMMYFUNCTION("""COMPUTED_VALUE"""),"")</f>
        <v/>
      </c>
    </row>
    <row r="115">
      <c r="G115" s="7" t="str">
        <f>IFERROR(__xludf.DUMMYFUNCTION("""COMPUTED_VALUE"""),"")</f>
        <v/>
      </c>
    </row>
    <row r="116">
      <c r="G116" s="7" t="str">
        <f>IFERROR(__xludf.DUMMYFUNCTION("""COMPUTED_VALUE"""),"")</f>
        <v/>
      </c>
    </row>
    <row r="117">
      <c r="G117" s="7" t="str">
        <f>IFERROR(__xludf.DUMMYFUNCTION("""COMPUTED_VALUE"""),"")</f>
        <v/>
      </c>
    </row>
    <row r="118">
      <c r="G118" s="7" t="str">
        <f>IFERROR(__xludf.DUMMYFUNCTION("""COMPUTED_VALUE"""),"")</f>
        <v/>
      </c>
    </row>
    <row r="119">
      <c r="G119" s="7" t="str">
        <f>IFERROR(__xludf.DUMMYFUNCTION("""COMPUTED_VALUE"""),"")</f>
        <v/>
      </c>
    </row>
    <row r="120">
      <c r="G120" s="7" t="str">
        <f>IFERROR(__xludf.DUMMYFUNCTION("""COMPUTED_VALUE"""),"")</f>
        <v/>
      </c>
    </row>
    <row r="121">
      <c r="G121" s="7" t="str">
        <f>IFERROR(__xludf.DUMMYFUNCTION("""COMPUTED_VALUE"""),"")</f>
        <v/>
      </c>
    </row>
    <row r="122">
      <c r="G122" s="7" t="str">
        <f>IFERROR(__xludf.DUMMYFUNCTION("""COMPUTED_VALUE"""),"")</f>
        <v/>
      </c>
    </row>
    <row r="123">
      <c r="G123" s="7" t="str">
        <f>IFERROR(__xludf.DUMMYFUNCTION("""COMPUTED_VALUE"""),"")</f>
        <v/>
      </c>
    </row>
    <row r="124">
      <c r="G124" s="7" t="str">
        <f>IFERROR(__xludf.DUMMYFUNCTION("""COMPUTED_VALUE"""),"")</f>
        <v/>
      </c>
    </row>
    <row r="125">
      <c r="G125" s="7" t="str">
        <f>IFERROR(__xludf.DUMMYFUNCTION("""COMPUTED_VALUE"""),"")</f>
        <v/>
      </c>
    </row>
    <row r="126">
      <c r="G126" s="7" t="str">
        <f>IFERROR(__xludf.DUMMYFUNCTION("""COMPUTED_VALUE"""),"")</f>
        <v/>
      </c>
    </row>
    <row r="127">
      <c r="G127" s="7" t="str">
        <f>IFERROR(__xludf.DUMMYFUNCTION("""COMPUTED_VALUE"""),"")</f>
        <v/>
      </c>
    </row>
    <row r="128">
      <c r="G128" s="7" t="str">
        <f>IFERROR(__xludf.DUMMYFUNCTION("""COMPUTED_VALUE"""),"")</f>
        <v/>
      </c>
    </row>
    <row r="129">
      <c r="G129" s="7" t="str">
        <f>IFERROR(__xludf.DUMMYFUNCTION("""COMPUTED_VALUE"""),"")</f>
        <v/>
      </c>
    </row>
    <row r="130">
      <c r="G130" s="7" t="str">
        <f>IFERROR(__xludf.DUMMYFUNCTION("""COMPUTED_VALUE"""),"")</f>
        <v/>
      </c>
    </row>
    <row r="131">
      <c r="G131" s="7" t="str">
        <f>IFERROR(__xludf.DUMMYFUNCTION("""COMPUTED_VALUE"""),"")</f>
        <v/>
      </c>
    </row>
    <row r="132">
      <c r="G132" s="7" t="str">
        <f>IFERROR(__xludf.DUMMYFUNCTION("""COMPUTED_VALUE"""),"")</f>
        <v/>
      </c>
    </row>
    <row r="133">
      <c r="G133" s="7" t="str">
        <f>IFERROR(__xludf.DUMMYFUNCTION("""COMPUTED_VALUE"""),"")</f>
        <v/>
      </c>
    </row>
    <row r="134">
      <c r="G134" s="7" t="str">
        <f>IFERROR(__xludf.DUMMYFUNCTION("""COMPUTED_VALUE"""),"")</f>
        <v/>
      </c>
    </row>
    <row r="135">
      <c r="G135" s="7" t="str">
        <f>IFERROR(__xludf.DUMMYFUNCTION("""COMPUTED_VALUE"""),"")</f>
        <v/>
      </c>
    </row>
    <row r="136">
      <c r="G136" s="7" t="str">
        <f>IFERROR(__xludf.DUMMYFUNCTION("""COMPUTED_VALUE"""),"")</f>
        <v/>
      </c>
    </row>
    <row r="137">
      <c r="G137" s="7" t="str">
        <f>IFERROR(__xludf.DUMMYFUNCTION("""COMPUTED_VALUE"""),"")</f>
        <v/>
      </c>
    </row>
    <row r="138">
      <c r="G138" s="7" t="str">
        <f>IFERROR(__xludf.DUMMYFUNCTION("""COMPUTED_VALUE"""),"")</f>
        <v/>
      </c>
    </row>
    <row r="139">
      <c r="G139" s="7" t="str">
        <f>IFERROR(__xludf.DUMMYFUNCTION("""COMPUTED_VALUE"""),"")</f>
        <v/>
      </c>
    </row>
    <row r="140">
      <c r="G140" s="7" t="str">
        <f>IFERROR(__xludf.DUMMYFUNCTION("""COMPUTED_VALUE"""),"")</f>
        <v/>
      </c>
    </row>
    <row r="141">
      <c r="G141" s="7" t="str">
        <f>IFERROR(__xludf.DUMMYFUNCTION("""COMPUTED_VALUE"""),"")</f>
        <v/>
      </c>
    </row>
    <row r="142">
      <c r="G142" s="7" t="str">
        <f>IFERROR(__xludf.DUMMYFUNCTION("""COMPUTED_VALUE"""),"")</f>
        <v/>
      </c>
    </row>
    <row r="143">
      <c r="G143" s="7" t="str">
        <f>IFERROR(__xludf.DUMMYFUNCTION("""COMPUTED_VALUE"""),"")</f>
        <v/>
      </c>
    </row>
    <row r="144">
      <c r="G144" s="7" t="str">
        <f>IFERROR(__xludf.DUMMYFUNCTION("""COMPUTED_VALUE"""),"")</f>
        <v/>
      </c>
    </row>
    <row r="145">
      <c r="G145" s="7" t="str">
        <f>IFERROR(__xludf.DUMMYFUNCTION("""COMPUTED_VALUE"""),"")</f>
        <v/>
      </c>
    </row>
    <row r="146">
      <c r="G146" s="7" t="str">
        <f>IFERROR(__xludf.DUMMYFUNCTION("""COMPUTED_VALUE"""),"")</f>
        <v/>
      </c>
    </row>
    <row r="147">
      <c r="G147" s="7" t="str">
        <f>IFERROR(__xludf.DUMMYFUNCTION("""COMPUTED_VALUE"""),"")</f>
        <v/>
      </c>
    </row>
    <row r="148">
      <c r="G148" s="7" t="str">
        <f>IFERROR(__xludf.DUMMYFUNCTION("""COMPUTED_VALUE"""),"")</f>
        <v/>
      </c>
    </row>
    <row r="149">
      <c r="G149" s="7" t="str">
        <f>IFERROR(__xludf.DUMMYFUNCTION("""COMPUTED_VALUE"""),"")</f>
        <v/>
      </c>
    </row>
    <row r="150">
      <c r="G150" s="7" t="str">
        <f>IFERROR(__xludf.DUMMYFUNCTION("""COMPUTED_VALUE"""),"")</f>
        <v/>
      </c>
    </row>
    <row r="151">
      <c r="G151" s="7" t="str">
        <f>IFERROR(__xludf.DUMMYFUNCTION("""COMPUTED_VALUE"""),"")</f>
        <v/>
      </c>
    </row>
    <row r="152">
      <c r="G152" s="7" t="str">
        <f>IFERROR(__xludf.DUMMYFUNCTION("""COMPUTED_VALUE"""),"")</f>
        <v/>
      </c>
    </row>
    <row r="153">
      <c r="G153" s="7" t="str">
        <f>IFERROR(__xludf.DUMMYFUNCTION("""COMPUTED_VALUE"""),"")</f>
        <v/>
      </c>
    </row>
    <row r="154">
      <c r="G154" s="7" t="str">
        <f>IFERROR(__xludf.DUMMYFUNCTION("""COMPUTED_VALUE"""),"")</f>
        <v/>
      </c>
    </row>
    <row r="155">
      <c r="G155" s="7" t="str">
        <f>IFERROR(__xludf.DUMMYFUNCTION("""COMPUTED_VALUE"""),"")</f>
        <v/>
      </c>
    </row>
    <row r="156">
      <c r="G156" s="7" t="str">
        <f>IFERROR(__xludf.DUMMYFUNCTION("""COMPUTED_VALUE"""),"")</f>
        <v/>
      </c>
    </row>
    <row r="157">
      <c r="G157" s="7" t="str">
        <f>IFERROR(__xludf.DUMMYFUNCTION("""COMPUTED_VALUE"""),"")</f>
        <v/>
      </c>
    </row>
    <row r="158">
      <c r="G158" s="7" t="str">
        <f>IFERROR(__xludf.DUMMYFUNCTION("""COMPUTED_VALUE"""),"")</f>
        <v/>
      </c>
    </row>
    <row r="159">
      <c r="G159" s="7" t="str">
        <f>IFERROR(__xludf.DUMMYFUNCTION("""COMPUTED_VALUE"""),"")</f>
        <v/>
      </c>
    </row>
    <row r="160">
      <c r="G160" s="7" t="str">
        <f>IFERROR(__xludf.DUMMYFUNCTION("""COMPUTED_VALUE"""),"")</f>
        <v/>
      </c>
    </row>
    <row r="161">
      <c r="G161" s="7" t="str">
        <f>IFERROR(__xludf.DUMMYFUNCTION("""COMPUTED_VALUE"""),"")</f>
        <v/>
      </c>
    </row>
    <row r="162">
      <c r="G162" s="7" t="str">
        <f>IFERROR(__xludf.DUMMYFUNCTION("""COMPUTED_VALUE"""),"")</f>
        <v/>
      </c>
    </row>
    <row r="163">
      <c r="G163" s="7" t="str">
        <f>IFERROR(__xludf.DUMMYFUNCTION("""COMPUTED_VALUE"""),"")</f>
        <v/>
      </c>
    </row>
    <row r="164">
      <c r="G164" s="7" t="str">
        <f>IFERROR(__xludf.DUMMYFUNCTION("""COMPUTED_VALUE"""),"")</f>
        <v/>
      </c>
    </row>
    <row r="165">
      <c r="G165" s="7" t="str">
        <f>IFERROR(__xludf.DUMMYFUNCTION("""COMPUTED_VALUE"""),"")</f>
        <v/>
      </c>
    </row>
    <row r="166">
      <c r="G166" s="7" t="str">
        <f>IFERROR(__xludf.DUMMYFUNCTION("""COMPUTED_VALUE"""),"")</f>
        <v/>
      </c>
    </row>
    <row r="167">
      <c r="G167" s="7" t="str">
        <f>IFERROR(__xludf.DUMMYFUNCTION("""COMPUTED_VALUE"""),"")</f>
        <v/>
      </c>
    </row>
    <row r="168">
      <c r="G168" s="7" t="str">
        <f>IFERROR(__xludf.DUMMYFUNCTION("""COMPUTED_VALUE"""),"")</f>
        <v/>
      </c>
    </row>
    <row r="169">
      <c r="G169" s="7" t="str">
        <f>IFERROR(__xludf.DUMMYFUNCTION("""COMPUTED_VALUE"""),"")</f>
        <v/>
      </c>
    </row>
    <row r="170">
      <c r="G170" s="7" t="str">
        <f>IFERROR(__xludf.DUMMYFUNCTION("""COMPUTED_VALUE"""),"")</f>
        <v/>
      </c>
    </row>
    <row r="171">
      <c r="G171" s="7" t="str">
        <f>IFERROR(__xludf.DUMMYFUNCTION("""COMPUTED_VALUE"""),"")</f>
        <v/>
      </c>
    </row>
    <row r="172">
      <c r="G172" s="7" t="str">
        <f>IFERROR(__xludf.DUMMYFUNCTION("""COMPUTED_VALUE"""),"")</f>
        <v/>
      </c>
    </row>
    <row r="173">
      <c r="G173" s="7" t="str">
        <f>IFERROR(__xludf.DUMMYFUNCTION("""COMPUTED_VALUE"""),"")</f>
        <v/>
      </c>
    </row>
    <row r="174">
      <c r="G174" s="7" t="str">
        <f>IFERROR(__xludf.DUMMYFUNCTION("""COMPUTED_VALUE"""),"")</f>
        <v/>
      </c>
    </row>
    <row r="175">
      <c r="G175" s="7" t="str">
        <f>IFERROR(__xludf.DUMMYFUNCTION("""COMPUTED_VALUE"""),"")</f>
        <v/>
      </c>
    </row>
    <row r="176">
      <c r="G176" s="7" t="str">
        <f>IFERROR(__xludf.DUMMYFUNCTION("""COMPUTED_VALUE"""),"")</f>
        <v/>
      </c>
    </row>
    <row r="177">
      <c r="G177" s="7" t="str">
        <f>IFERROR(__xludf.DUMMYFUNCTION("""COMPUTED_VALUE"""),"")</f>
        <v/>
      </c>
    </row>
    <row r="178">
      <c r="G178" s="7" t="str">
        <f>IFERROR(__xludf.DUMMYFUNCTION("""COMPUTED_VALUE"""),"")</f>
        <v/>
      </c>
    </row>
    <row r="179">
      <c r="G179" s="7" t="str">
        <f>IFERROR(__xludf.DUMMYFUNCTION("""COMPUTED_VALUE"""),"")</f>
        <v/>
      </c>
    </row>
    <row r="180">
      <c r="G180" s="7" t="str">
        <f>IFERROR(__xludf.DUMMYFUNCTION("""COMPUTED_VALUE"""),"")</f>
        <v/>
      </c>
    </row>
    <row r="181">
      <c r="G181" s="7" t="str">
        <f>IFERROR(__xludf.DUMMYFUNCTION("""COMPUTED_VALUE"""),"")</f>
        <v/>
      </c>
    </row>
    <row r="182">
      <c r="G182" s="7" t="str">
        <f>IFERROR(__xludf.DUMMYFUNCTION("""COMPUTED_VALUE"""),"")</f>
        <v/>
      </c>
    </row>
    <row r="183">
      <c r="G183" s="7" t="str">
        <f>IFERROR(__xludf.DUMMYFUNCTION("""COMPUTED_VALUE"""),"")</f>
        <v/>
      </c>
    </row>
    <row r="184">
      <c r="G184" s="7" t="str">
        <f>IFERROR(__xludf.DUMMYFUNCTION("""COMPUTED_VALUE"""),"")</f>
        <v/>
      </c>
    </row>
    <row r="185">
      <c r="G185" s="7" t="str">
        <f>IFERROR(__xludf.DUMMYFUNCTION("""COMPUTED_VALUE"""),"")</f>
        <v/>
      </c>
    </row>
    <row r="186">
      <c r="G186" s="7" t="str">
        <f>IFERROR(__xludf.DUMMYFUNCTION("""COMPUTED_VALUE"""),"")</f>
        <v/>
      </c>
    </row>
    <row r="187">
      <c r="G187" s="7" t="str">
        <f>IFERROR(__xludf.DUMMYFUNCTION("""COMPUTED_VALUE"""),"")</f>
        <v/>
      </c>
    </row>
    <row r="188">
      <c r="G188" s="7" t="str">
        <f>IFERROR(__xludf.DUMMYFUNCTION("""COMPUTED_VALUE"""),"")</f>
        <v/>
      </c>
    </row>
    <row r="189">
      <c r="G189" s="7" t="str">
        <f>IFERROR(__xludf.DUMMYFUNCTION("""COMPUTED_VALUE"""),"")</f>
        <v/>
      </c>
    </row>
    <row r="190">
      <c r="G190" s="7" t="str">
        <f>IFERROR(__xludf.DUMMYFUNCTION("""COMPUTED_VALUE"""),"")</f>
        <v/>
      </c>
    </row>
    <row r="191">
      <c r="G191" s="7" t="str">
        <f>IFERROR(__xludf.DUMMYFUNCTION("""COMPUTED_VALUE"""),"")</f>
        <v/>
      </c>
    </row>
    <row r="192">
      <c r="G192" s="7" t="str">
        <f>IFERROR(__xludf.DUMMYFUNCTION("""COMPUTED_VALUE"""),"")</f>
        <v/>
      </c>
    </row>
    <row r="193">
      <c r="G193" s="7" t="str">
        <f>IFERROR(__xludf.DUMMYFUNCTION("""COMPUTED_VALUE"""),"")</f>
        <v/>
      </c>
    </row>
    <row r="194">
      <c r="G194" s="7" t="str">
        <f>IFERROR(__xludf.DUMMYFUNCTION("""COMPUTED_VALUE"""),"")</f>
        <v/>
      </c>
    </row>
    <row r="195">
      <c r="G195" s="7" t="str">
        <f>IFERROR(__xludf.DUMMYFUNCTION("""COMPUTED_VALUE"""),"")</f>
        <v/>
      </c>
    </row>
    <row r="196">
      <c r="G196" s="7" t="str">
        <f>IFERROR(__xludf.DUMMYFUNCTION("""COMPUTED_VALUE"""),"")</f>
        <v/>
      </c>
    </row>
    <row r="197">
      <c r="G197" s="7" t="str">
        <f>IFERROR(__xludf.DUMMYFUNCTION("""COMPUTED_VALUE"""),"")</f>
        <v/>
      </c>
    </row>
    <row r="198">
      <c r="G198" s="7" t="str">
        <f>IFERROR(__xludf.DUMMYFUNCTION("""COMPUTED_VALUE"""),"")</f>
        <v/>
      </c>
    </row>
    <row r="199">
      <c r="G199" s="7" t="str">
        <f>IFERROR(__xludf.DUMMYFUNCTION("""COMPUTED_VALUE"""),"")</f>
        <v/>
      </c>
    </row>
    <row r="200">
      <c r="G200" s="7" t="str">
        <f>IFERROR(__xludf.DUMMYFUNCTION("""COMPUTED_VALUE"""),"")</f>
        <v/>
      </c>
    </row>
    <row r="201">
      <c r="G201" s="7" t="str">
        <f>IFERROR(__xludf.DUMMYFUNCTION("""COMPUTED_VALUE"""),"")</f>
        <v/>
      </c>
    </row>
    <row r="202">
      <c r="G202" s="7" t="str">
        <f>IFERROR(__xludf.DUMMYFUNCTION("""COMPUTED_VALUE"""),"")</f>
        <v/>
      </c>
    </row>
    <row r="203">
      <c r="G203" s="7" t="str">
        <f>IFERROR(__xludf.DUMMYFUNCTION("""COMPUTED_VALUE"""),"")</f>
        <v/>
      </c>
    </row>
    <row r="204">
      <c r="G204" s="7" t="str">
        <f>IFERROR(__xludf.DUMMYFUNCTION("""COMPUTED_VALUE"""),"")</f>
        <v/>
      </c>
    </row>
    <row r="205">
      <c r="G205" s="7" t="str">
        <f>IFERROR(__xludf.DUMMYFUNCTION("""COMPUTED_VALUE"""),"")</f>
        <v/>
      </c>
    </row>
    <row r="206">
      <c r="G206" s="7" t="str">
        <f>IFERROR(__xludf.DUMMYFUNCTION("""COMPUTED_VALUE"""),"")</f>
        <v/>
      </c>
    </row>
    <row r="207">
      <c r="G207" s="7" t="str">
        <f>IFERROR(__xludf.DUMMYFUNCTION("""COMPUTED_VALUE"""),"")</f>
        <v/>
      </c>
    </row>
    <row r="208">
      <c r="G208" s="7" t="str">
        <f>IFERROR(__xludf.DUMMYFUNCTION("""COMPUTED_VALUE"""),"")</f>
        <v/>
      </c>
    </row>
    <row r="209">
      <c r="G209" s="7" t="str">
        <f>IFERROR(__xludf.DUMMYFUNCTION("""COMPUTED_VALUE"""),"")</f>
        <v/>
      </c>
    </row>
    <row r="210">
      <c r="G210" s="7" t="str">
        <f>IFERROR(__xludf.DUMMYFUNCTION("""COMPUTED_VALUE"""),"")</f>
        <v/>
      </c>
    </row>
    <row r="211">
      <c r="G211" s="7" t="str">
        <f>IFERROR(__xludf.DUMMYFUNCTION("""COMPUTED_VALUE"""),"")</f>
        <v/>
      </c>
    </row>
    <row r="212">
      <c r="G212" s="7" t="str">
        <f>IFERROR(__xludf.DUMMYFUNCTION("""COMPUTED_VALUE"""),"")</f>
        <v/>
      </c>
    </row>
    <row r="213">
      <c r="G213" s="7" t="str">
        <f>IFERROR(__xludf.DUMMYFUNCTION("""COMPUTED_VALUE"""),"")</f>
        <v/>
      </c>
    </row>
    <row r="214">
      <c r="G214" s="7" t="str">
        <f>IFERROR(__xludf.DUMMYFUNCTION("""COMPUTED_VALUE"""),"")</f>
        <v/>
      </c>
    </row>
    <row r="215">
      <c r="G215" s="7" t="str">
        <f>IFERROR(__xludf.DUMMYFUNCTION("""COMPUTED_VALUE"""),"")</f>
        <v/>
      </c>
    </row>
    <row r="216">
      <c r="G216" s="7" t="str">
        <f>IFERROR(__xludf.DUMMYFUNCTION("""COMPUTED_VALUE"""),"")</f>
        <v/>
      </c>
    </row>
    <row r="217">
      <c r="G217" s="7" t="str">
        <f>IFERROR(__xludf.DUMMYFUNCTION("""COMPUTED_VALUE"""),"")</f>
        <v/>
      </c>
    </row>
    <row r="218">
      <c r="G218" s="7" t="str">
        <f>IFERROR(__xludf.DUMMYFUNCTION("""COMPUTED_VALUE"""),"")</f>
        <v/>
      </c>
    </row>
    <row r="219">
      <c r="G219" s="7" t="str">
        <f>IFERROR(__xludf.DUMMYFUNCTION("""COMPUTED_VALUE"""),"")</f>
        <v/>
      </c>
    </row>
    <row r="220">
      <c r="G220" s="7" t="str">
        <f>IFERROR(__xludf.DUMMYFUNCTION("""COMPUTED_VALUE"""),"")</f>
        <v/>
      </c>
    </row>
    <row r="221">
      <c r="G221" s="7" t="str">
        <f>IFERROR(__xludf.DUMMYFUNCTION("""COMPUTED_VALUE"""),"")</f>
        <v/>
      </c>
    </row>
    <row r="222">
      <c r="G222" s="7" t="str">
        <f>IFERROR(__xludf.DUMMYFUNCTION("""COMPUTED_VALUE"""),"")</f>
        <v/>
      </c>
    </row>
    <row r="223">
      <c r="G223" s="7" t="str">
        <f>IFERROR(__xludf.DUMMYFUNCTION("""COMPUTED_VALUE"""),"")</f>
        <v/>
      </c>
    </row>
    <row r="224">
      <c r="G224" s="7" t="str">
        <f>IFERROR(__xludf.DUMMYFUNCTION("""COMPUTED_VALUE"""),"")</f>
        <v/>
      </c>
    </row>
    <row r="225">
      <c r="G225" s="7" t="str">
        <f>IFERROR(__xludf.DUMMYFUNCTION("""COMPUTED_VALUE"""),"")</f>
        <v/>
      </c>
    </row>
    <row r="226">
      <c r="G226" s="7" t="str">
        <f>IFERROR(__xludf.DUMMYFUNCTION("""COMPUTED_VALUE"""),"")</f>
        <v/>
      </c>
    </row>
    <row r="227">
      <c r="G227" s="7" t="str">
        <f>IFERROR(__xludf.DUMMYFUNCTION("""COMPUTED_VALUE"""),"")</f>
        <v/>
      </c>
    </row>
    <row r="228">
      <c r="G228" s="7" t="str">
        <f>IFERROR(__xludf.DUMMYFUNCTION("""COMPUTED_VALUE"""),"")</f>
        <v/>
      </c>
    </row>
    <row r="229">
      <c r="G229" s="7" t="str">
        <f>IFERROR(__xludf.DUMMYFUNCTION("""COMPUTED_VALUE"""),"")</f>
        <v/>
      </c>
    </row>
    <row r="230">
      <c r="G230" s="7" t="str">
        <f>IFERROR(__xludf.DUMMYFUNCTION("""COMPUTED_VALUE"""),"")</f>
        <v/>
      </c>
    </row>
    <row r="231">
      <c r="G231" s="7" t="str">
        <f>IFERROR(__xludf.DUMMYFUNCTION("""COMPUTED_VALUE"""),"")</f>
        <v/>
      </c>
    </row>
    <row r="232">
      <c r="G232" s="7" t="str">
        <f>IFERROR(__xludf.DUMMYFUNCTION("""COMPUTED_VALUE"""),"")</f>
        <v/>
      </c>
    </row>
    <row r="233">
      <c r="G233" s="7" t="str">
        <f>IFERROR(__xludf.DUMMYFUNCTION("""COMPUTED_VALUE"""),"")</f>
        <v/>
      </c>
    </row>
    <row r="234">
      <c r="G234" s="7" t="str">
        <f>IFERROR(__xludf.DUMMYFUNCTION("""COMPUTED_VALUE"""),"")</f>
        <v/>
      </c>
    </row>
    <row r="235">
      <c r="G235" s="7" t="str">
        <f>IFERROR(__xludf.DUMMYFUNCTION("""COMPUTED_VALUE"""),"")</f>
        <v/>
      </c>
    </row>
    <row r="236">
      <c r="G236" s="7" t="str">
        <f>IFERROR(__xludf.DUMMYFUNCTION("""COMPUTED_VALUE"""),"")</f>
        <v/>
      </c>
    </row>
    <row r="237">
      <c r="G237" s="7" t="str">
        <f>IFERROR(__xludf.DUMMYFUNCTION("""COMPUTED_VALUE"""),"")</f>
        <v/>
      </c>
    </row>
    <row r="238">
      <c r="G238" s="7" t="str">
        <f>IFERROR(__xludf.DUMMYFUNCTION("""COMPUTED_VALUE"""),"")</f>
        <v/>
      </c>
    </row>
    <row r="239">
      <c r="G239" s="7" t="str">
        <f>IFERROR(__xludf.DUMMYFUNCTION("""COMPUTED_VALUE"""),"")</f>
        <v/>
      </c>
    </row>
    <row r="240">
      <c r="G240" s="7" t="str">
        <f>IFERROR(__xludf.DUMMYFUNCTION("""COMPUTED_VALUE"""),"")</f>
        <v/>
      </c>
    </row>
    <row r="241">
      <c r="G241" s="7" t="str">
        <f>IFERROR(__xludf.DUMMYFUNCTION("""COMPUTED_VALUE"""),"")</f>
        <v/>
      </c>
    </row>
    <row r="242">
      <c r="G242" s="7" t="str">
        <f>IFERROR(__xludf.DUMMYFUNCTION("""COMPUTED_VALUE"""),"")</f>
        <v/>
      </c>
    </row>
    <row r="243">
      <c r="G243" s="7" t="str">
        <f>IFERROR(__xludf.DUMMYFUNCTION("""COMPUTED_VALUE"""),"")</f>
        <v/>
      </c>
    </row>
    <row r="244">
      <c r="G244" s="7" t="str">
        <f>IFERROR(__xludf.DUMMYFUNCTION("""COMPUTED_VALUE"""),"")</f>
        <v/>
      </c>
    </row>
    <row r="245">
      <c r="G245" s="7" t="str">
        <f>IFERROR(__xludf.DUMMYFUNCTION("""COMPUTED_VALUE"""),"")</f>
        <v/>
      </c>
    </row>
    <row r="246">
      <c r="G246" s="7" t="str">
        <f>IFERROR(__xludf.DUMMYFUNCTION("""COMPUTED_VALUE"""),"")</f>
        <v/>
      </c>
    </row>
    <row r="247">
      <c r="G247" s="7" t="str">
        <f>IFERROR(__xludf.DUMMYFUNCTION("""COMPUTED_VALUE"""),"")</f>
        <v/>
      </c>
    </row>
    <row r="248">
      <c r="G248" s="7" t="str">
        <f>IFERROR(__xludf.DUMMYFUNCTION("""COMPUTED_VALUE"""),"")</f>
        <v/>
      </c>
    </row>
    <row r="249">
      <c r="G249" s="7" t="str">
        <f>IFERROR(__xludf.DUMMYFUNCTION("""COMPUTED_VALUE"""),"")</f>
        <v/>
      </c>
    </row>
    <row r="250">
      <c r="G250" s="7" t="str">
        <f>IFERROR(__xludf.DUMMYFUNCTION("""COMPUTED_VALUE"""),"")</f>
        <v/>
      </c>
    </row>
    <row r="251">
      <c r="G251" s="7" t="str">
        <f>IFERROR(__xludf.DUMMYFUNCTION("""COMPUTED_VALUE"""),"")</f>
        <v/>
      </c>
    </row>
    <row r="252">
      <c r="G252" s="7" t="str">
        <f>IFERROR(__xludf.DUMMYFUNCTION("""COMPUTED_VALUE"""),"")</f>
        <v/>
      </c>
    </row>
    <row r="253">
      <c r="G253" s="7" t="str">
        <f>IFERROR(__xludf.DUMMYFUNCTION("""COMPUTED_VALUE"""),"")</f>
        <v/>
      </c>
    </row>
    <row r="254">
      <c r="G254" s="7" t="str">
        <f>IFERROR(__xludf.DUMMYFUNCTION("""COMPUTED_VALUE"""),"")</f>
        <v/>
      </c>
    </row>
    <row r="255">
      <c r="G255" s="7" t="str">
        <f>IFERROR(__xludf.DUMMYFUNCTION("""COMPUTED_VALUE"""),"")</f>
        <v/>
      </c>
    </row>
    <row r="256">
      <c r="G256" s="7" t="str">
        <f>IFERROR(__xludf.DUMMYFUNCTION("""COMPUTED_VALUE"""),"")</f>
        <v/>
      </c>
    </row>
    <row r="257">
      <c r="G257" s="7" t="str">
        <f>IFERROR(__xludf.DUMMYFUNCTION("""COMPUTED_VALUE"""),"")</f>
        <v/>
      </c>
    </row>
    <row r="258">
      <c r="G258" s="7" t="str">
        <f>IFERROR(__xludf.DUMMYFUNCTION("""COMPUTED_VALUE"""),"")</f>
        <v/>
      </c>
    </row>
    <row r="259">
      <c r="G259" s="7" t="str">
        <f>IFERROR(__xludf.DUMMYFUNCTION("""COMPUTED_VALUE"""),"")</f>
        <v/>
      </c>
    </row>
    <row r="260">
      <c r="G260" s="7" t="str">
        <f>IFERROR(__xludf.DUMMYFUNCTION("""COMPUTED_VALUE"""),"")</f>
        <v/>
      </c>
    </row>
    <row r="261">
      <c r="G261" s="7" t="str">
        <f>IFERROR(__xludf.DUMMYFUNCTION("""COMPUTED_VALUE"""),"")</f>
        <v/>
      </c>
    </row>
    <row r="262">
      <c r="G262" s="7" t="str">
        <f>IFERROR(__xludf.DUMMYFUNCTION("""COMPUTED_VALUE"""),"")</f>
        <v/>
      </c>
    </row>
    <row r="263">
      <c r="G263" s="7" t="str">
        <f>IFERROR(__xludf.DUMMYFUNCTION("""COMPUTED_VALUE"""),"")</f>
        <v/>
      </c>
    </row>
    <row r="264">
      <c r="G264" s="7" t="str">
        <f>IFERROR(__xludf.DUMMYFUNCTION("""COMPUTED_VALUE"""),"")</f>
        <v/>
      </c>
    </row>
    <row r="265">
      <c r="G265" s="7" t="str">
        <f>IFERROR(__xludf.DUMMYFUNCTION("""COMPUTED_VALUE"""),"")</f>
        <v/>
      </c>
    </row>
    <row r="266">
      <c r="G266" s="7" t="str">
        <f>IFERROR(__xludf.DUMMYFUNCTION("""COMPUTED_VALUE"""),"")</f>
        <v/>
      </c>
    </row>
    <row r="267">
      <c r="G267" s="7" t="str">
        <f>IFERROR(__xludf.DUMMYFUNCTION("""COMPUTED_VALUE"""),"")</f>
        <v/>
      </c>
    </row>
    <row r="268">
      <c r="G268" s="7" t="str">
        <f>IFERROR(__xludf.DUMMYFUNCTION("""COMPUTED_VALUE"""),"")</f>
        <v/>
      </c>
    </row>
    <row r="269">
      <c r="G269" s="7" t="str">
        <f>IFERROR(__xludf.DUMMYFUNCTION("""COMPUTED_VALUE"""),"")</f>
        <v/>
      </c>
    </row>
    <row r="270">
      <c r="G270" s="7" t="str">
        <f>IFERROR(__xludf.DUMMYFUNCTION("""COMPUTED_VALUE"""),"")</f>
        <v/>
      </c>
    </row>
    <row r="271">
      <c r="G271" s="7" t="str">
        <f>IFERROR(__xludf.DUMMYFUNCTION("""COMPUTED_VALUE"""),"")</f>
        <v/>
      </c>
    </row>
    <row r="272">
      <c r="G272" s="7" t="str">
        <f>IFERROR(__xludf.DUMMYFUNCTION("""COMPUTED_VALUE"""),"")</f>
        <v/>
      </c>
    </row>
    <row r="273">
      <c r="G273" s="7" t="str">
        <f>IFERROR(__xludf.DUMMYFUNCTION("""COMPUTED_VALUE"""),"")</f>
        <v/>
      </c>
    </row>
    <row r="274">
      <c r="G274" s="7" t="str">
        <f>IFERROR(__xludf.DUMMYFUNCTION("""COMPUTED_VALUE"""),"")</f>
        <v/>
      </c>
    </row>
    <row r="275">
      <c r="G275" s="7" t="str">
        <f>IFERROR(__xludf.DUMMYFUNCTION("""COMPUTED_VALUE"""),"")</f>
        <v/>
      </c>
    </row>
    <row r="276">
      <c r="G276" s="7" t="str">
        <f>IFERROR(__xludf.DUMMYFUNCTION("""COMPUTED_VALUE"""),"")</f>
        <v/>
      </c>
    </row>
    <row r="277">
      <c r="G277" s="7" t="str">
        <f>IFERROR(__xludf.DUMMYFUNCTION("""COMPUTED_VALUE"""),"")</f>
        <v/>
      </c>
    </row>
    <row r="278">
      <c r="G278" s="7" t="str">
        <f>IFERROR(__xludf.DUMMYFUNCTION("""COMPUTED_VALUE"""),"")</f>
        <v/>
      </c>
    </row>
    <row r="279">
      <c r="G279" s="7" t="str">
        <f>IFERROR(__xludf.DUMMYFUNCTION("""COMPUTED_VALUE"""),"")</f>
        <v/>
      </c>
    </row>
    <row r="280">
      <c r="G280" s="7" t="str">
        <f>IFERROR(__xludf.DUMMYFUNCTION("""COMPUTED_VALUE"""),"")</f>
        <v/>
      </c>
    </row>
    <row r="281">
      <c r="G281" s="7" t="str">
        <f>IFERROR(__xludf.DUMMYFUNCTION("""COMPUTED_VALUE"""),"")</f>
        <v/>
      </c>
    </row>
    <row r="282">
      <c r="G282" s="7" t="str">
        <f>IFERROR(__xludf.DUMMYFUNCTION("""COMPUTED_VALUE"""),"")</f>
        <v/>
      </c>
    </row>
    <row r="283">
      <c r="G283" s="7" t="str">
        <f>IFERROR(__xludf.DUMMYFUNCTION("""COMPUTED_VALUE"""),"")</f>
        <v/>
      </c>
    </row>
    <row r="284">
      <c r="G284" s="7" t="str">
        <f>IFERROR(__xludf.DUMMYFUNCTION("""COMPUTED_VALUE"""),"")</f>
        <v/>
      </c>
    </row>
    <row r="285">
      <c r="G285" s="7" t="str">
        <f>IFERROR(__xludf.DUMMYFUNCTION("""COMPUTED_VALUE"""),"")</f>
        <v/>
      </c>
    </row>
    <row r="286">
      <c r="G286" s="7" t="str">
        <f>IFERROR(__xludf.DUMMYFUNCTION("""COMPUTED_VALUE"""),"")</f>
        <v/>
      </c>
    </row>
    <row r="287">
      <c r="G287" s="7" t="str">
        <f>IFERROR(__xludf.DUMMYFUNCTION("""COMPUTED_VALUE"""),"")</f>
        <v/>
      </c>
    </row>
    <row r="288">
      <c r="G288" s="7" t="str">
        <f>IFERROR(__xludf.DUMMYFUNCTION("""COMPUTED_VALUE"""),"")</f>
        <v/>
      </c>
    </row>
    <row r="289">
      <c r="G289" s="7" t="str">
        <f>IFERROR(__xludf.DUMMYFUNCTION("""COMPUTED_VALUE"""),"")</f>
        <v/>
      </c>
    </row>
    <row r="290">
      <c r="G290" s="7" t="str">
        <f>IFERROR(__xludf.DUMMYFUNCTION("""COMPUTED_VALUE"""),"")</f>
        <v/>
      </c>
    </row>
    <row r="291">
      <c r="G291" s="7" t="str">
        <f>IFERROR(__xludf.DUMMYFUNCTION("""COMPUTED_VALUE"""),"")</f>
        <v/>
      </c>
    </row>
    <row r="292">
      <c r="G292" s="7" t="str">
        <f>IFERROR(__xludf.DUMMYFUNCTION("""COMPUTED_VALUE"""),"")</f>
        <v/>
      </c>
    </row>
    <row r="293">
      <c r="G293" s="7" t="str">
        <f>IFERROR(__xludf.DUMMYFUNCTION("""COMPUTED_VALUE"""),"")</f>
        <v/>
      </c>
    </row>
    <row r="294">
      <c r="G294" s="7" t="str">
        <f>IFERROR(__xludf.DUMMYFUNCTION("""COMPUTED_VALUE"""),"")</f>
        <v/>
      </c>
    </row>
    <row r="295">
      <c r="G295" s="7" t="str">
        <f>IFERROR(__xludf.DUMMYFUNCTION("""COMPUTED_VALUE"""),"")</f>
        <v/>
      </c>
    </row>
    <row r="296">
      <c r="G296" s="7" t="str">
        <f>IFERROR(__xludf.DUMMYFUNCTION("""COMPUTED_VALUE"""),"")</f>
        <v/>
      </c>
    </row>
    <row r="297">
      <c r="G297" s="7" t="str">
        <f>IFERROR(__xludf.DUMMYFUNCTION("""COMPUTED_VALUE"""),"")</f>
        <v/>
      </c>
    </row>
    <row r="298">
      <c r="G298" s="7" t="str">
        <f>IFERROR(__xludf.DUMMYFUNCTION("""COMPUTED_VALUE"""),"")</f>
        <v/>
      </c>
    </row>
    <row r="299">
      <c r="G299" s="7" t="str">
        <f>IFERROR(__xludf.DUMMYFUNCTION("""COMPUTED_VALUE"""),"")</f>
        <v/>
      </c>
    </row>
    <row r="300">
      <c r="G300" s="7" t="str">
        <f>IFERROR(__xludf.DUMMYFUNCTION("""COMPUTED_VALUE"""),"")</f>
        <v/>
      </c>
    </row>
    <row r="301">
      <c r="G301" s="7" t="str">
        <f>IFERROR(__xludf.DUMMYFUNCTION("""COMPUTED_VALUE"""),"")</f>
        <v/>
      </c>
    </row>
    <row r="302">
      <c r="G302" s="7" t="str">
        <f>IFERROR(__xludf.DUMMYFUNCTION("""COMPUTED_VALUE"""),"")</f>
        <v/>
      </c>
    </row>
    <row r="303">
      <c r="G303" s="7" t="str">
        <f>IFERROR(__xludf.DUMMYFUNCTION("""COMPUTED_VALUE"""),"")</f>
        <v/>
      </c>
    </row>
    <row r="304">
      <c r="G304" s="7" t="str">
        <f>IFERROR(__xludf.DUMMYFUNCTION("""COMPUTED_VALUE"""),"")</f>
        <v/>
      </c>
    </row>
    <row r="305">
      <c r="G305" s="7" t="str">
        <f>IFERROR(__xludf.DUMMYFUNCTION("""COMPUTED_VALUE"""),"")</f>
        <v/>
      </c>
    </row>
    <row r="306">
      <c r="G306" s="7" t="str">
        <f>IFERROR(__xludf.DUMMYFUNCTION("""COMPUTED_VALUE"""),"")</f>
        <v/>
      </c>
    </row>
    <row r="307">
      <c r="G307" s="7" t="str">
        <f>IFERROR(__xludf.DUMMYFUNCTION("""COMPUTED_VALUE"""),"")</f>
        <v/>
      </c>
    </row>
    <row r="308">
      <c r="G308" s="7" t="str">
        <f>IFERROR(__xludf.DUMMYFUNCTION("""COMPUTED_VALUE"""),"")</f>
        <v/>
      </c>
    </row>
    <row r="309">
      <c r="G309" s="7" t="str">
        <f>IFERROR(__xludf.DUMMYFUNCTION("""COMPUTED_VALUE"""),"")</f>
        <v/>
      </c>
    </row>
    <row r="310">
      <c r="G310" s="7" t="str">
        <f>IFERROR(__xludf.DUMMYFUNCTION("""COMPUTED_VALUE"""),"")</f>
        <v/>
      </c>
    </row>
    <row r="311">
      <c r="G311" s="7" t="str">
        <f>IFERROR(__xludf.DUMMYFUNCTION("""COMPUTED_VALUE"""),"")</f>
        <v/>
      </c>
    </row>
    <row r="312">
      <c r="G312" s="7" t="str">
        <f>IFERROR(__xludf.DUMMYFUNCTION("""COMPUTED_VALUE"""),"")</f>
        <v/>
      </c>
    </row>
    <row r="313">
      <c r="G313" s="7" t="str">
        <f>IFERROR(__xludf.DUMMYFUNCTION("""COMPUTED_VALUE"""),"")</f>
        <v/>
      </c>
    </row>
    <row r="314">
      <c r="G314" s="7" t="str">
        <f>IFERROR(__xludf.DUMMYFUNCTION("""COMPUTED_VALUE"""),"")</f>
        <v/>
      </c>
    </row>
    <row r="315">
      <c r="G315" s="7" t="str">
        <f>IFERROR(__xludf.DUMMYFUNCTION("""COMPUTED_VALUE"""),"")</f>
        <v/>
      </c>
    </row>
    <row r="316">
      <c r="G316" s="7" t="str">
        <f>IFERROR(__xludf.DUMMYFUNCTION("""COMPUTED_VALUE"""),"")</f>
        <v/>
      </c>
    </row>
    <row r="317">
      <c r="G317" s="7" t="str">
        <f>IFERROR(__xludf.DUMMYFUNCTION("""COMPUTED_VALUE"""),"")</f>
        <v/>
      </c>
    </row>
    <row r="318">
      <c r="G318" s="7" t="str">
        <f>IFERROR(__xludf.DUMMYFUNCTION("""COMPUTED_VALUE"""),"")</f>
        <v/>
      </c>
    </row>
    <row r="319">
      <c r="G319" s="7" t="str">
        <f>IFERROR(__xludf.DUMMYFUNCTION("""COMPUTED_VALUE"""),"")</f>
        <v/>
      </c>
    </row>
    <row r="320">
      <c r="G320" s="7" t="str">
        <f>IFERROR(__xludf.DUMMYFUNCTION("""COMPUTED_VALUE"""),"")</f>
        <v/>
      </c>
    </row>
    <row r="321">
      <c r="G321" s="7" t="str">
        <f>IFERROR(__xludf.DUMMYFUNCTION("""COMPUTED_VALUE"""),"")</f>
        <v/>
      </c>
    </row>
    <row r="322">
      <c r="G322" s="7" t="str">
        <f>IFERROR(__xludf.DUMMYFUNCTION("""COMPUTED_VALUE"""),"")</f>
        <v/>
      </c>
    </row>
    <row r="323">
      <c r="G323" s="7" t="str">
        <f>IFERROR(__xludf.DUMMYFUNCTION("""COMPUTED_VALUE"""),"")</f>
        <v/>
      </c>
    </row>
    <row r="324">
      <c r="G324" s="7" t="str">
        <f>IFERROR(__xludf.DUMMYFUNCTION("""COMPUTED_VALUE"""),"")</f>
        <v/>
      </c>
    </row>
    <row r="325">
      <c r="G325" s="7" t="str">
        <f>IFERROR(__xludf.DUMMYFUNCTION("""COMPUTED_VALUE"""),"")</f>
        <v/>
      </c>
    </row>
    <row r="326">
      <c r="G326" s="7" t="str">
        <f>IFERROR(__xludf.DUMMYFUNCTION("""COMPUTED_VALUE"""),"")</f>
        <v/>
      </c>
    </row>
    <row r="327">
      <c r="G327" s="7" t="str">
        <f>IFERROR(__xludf.DUMMYFUNCTION("""COMPUTED_VALUE"""),"")</f>
        <v/>
      </c>
    </row>
    <row r="328">
      <c r="G328" s="7" t="str">
        <f>IFERROR(__xludf.DUMMYFUNCTION("""COMPUTED_VALUE"""),"")</f>
        <v/>
      </c>
    </row>
    <row r="329">
      <c r="G329" s="7" t="str">
        <f>IFERROR(__xludf.DUMMYFUNCTION("""COMPUTED_VALUE"""),"")</f>
        <v/>
      </c>
    </row>
    <row r="330">
      <c r="G330" s="7" t="str">
        <f>IFERROR(__xludf.DUMMYFUNCTION("""COMPUTED_VALUE"""),"")</f>
        <v/>
      </c>
    </row>
    <row r="331">
      <c r="G331" s="7" t="str">
        <f>IFERROR(__xludf.DUMMYFUNCTION("""COMPUTED_VALUE"""),"")</f>
        <v/>
      </c>
    </row>
    <row r="332">
      <c r="G332" s="7" t="str">
        <f>IFERROR(__xludf.DUMMYFUNCTION("""COMPUTED_VALUE"""),"")</f>
        <v/>
      </c>
    </row>
    <row r="333">
      <c r="G333" s="7" t="str">
        <f>IFERROR(__xludf.DUMMYFUNCTION("""COMPUTED_VALUE"""),"")</f>
        <v/>
      </c>
    </row>
    <row r="334">
      <c r="G334" s="7" t="str">
        <f>IFERROR(__xludf.DUMMYFUNCTION("""COMPUTED_VALUE"""),"")</f>
        <v/>
      </c>
    </row>
    <row r="335">
      <c r="G335" s="7" t="str">
        <f>IFERROR(__xludf.DUMMYFUNCTION("""COMPUTED_VALUE"""),"")</f>
        <v/>
      </c>
    </row>
    <row r="336">
      <c r="G336" s="7" t="str">
        <f>IFERROR(__xludf.DUMMYFUNCTION("""COMPUTED_VALUE"""),"")</f>
        <v/>
      </c>
    </row>
    <row r="337">
      <c r="G337" s="7" t="str">
        <f>IFERROR(__xludf.DUMMYFUNCTION("""COMPUTED_VALUE"""),"")</f>
        <v/>
      </c>
    </row>
    <row r="338">
      <c r="G338" s="7" t="str">
        <f>IFERROR(__xludf.DUMMYFUNCTION("""COMPUTED_VALUE"""),"")</f>
        <v/>
      </c>
    </row>
    <row r="339">
      <c r="G339" s="7" t="str">
        <f>IFERROR(__xludf.DUMMYFUNCTION("""COMPUTED_VALUE"""),"")</f>
        <v/>
      </c>
    </row>
    <row r="340">
      <c r="G340" s="7" t="str">
        <f>IFERROR(__xludf.DUMMYFUNCTION("""COMPUTED_VALUE"""),"")</f>
        <v/>
      </c>
    </row>
    <row r="341">
      <c r="G341" s="7" t="str">
        <f>IFERROR(__xludf.DUMMYFUNCTION("""COMPUTED_VALUE"""),"")</f>
        <v/>
      </c>
    </row>
    <row r="342">
      <c r="G342" s="7" t="str">
        <f>IFERROR(__xludf.DUMMYFUNCTION("""COMPUTED_VALUE"""),"")</f>
        <v/>
      </c>
    </row>
    <row r="343">
      <c r="G343" s="7" t="str">
        <f>IFERROR(__xludf.DUMMYFUNCTION("""COMPUTED_VALUE"""),"")</f>
        <v/>
      </c>
    </row>
    <row r="344">
      <c r="G344" s="7" t="str">
        <f>IFERROR(__xludf.DUMMYFUNCTION("""COMPUTED_VALUE"""),"")</f>
        <v/>
      </c>
    </row>
    <row r="345">
      <c r="G345" s="7" t="str">
        <f>IFERROR(__xludf.DUMMYFUNCTION("""COMPUTED_VALUE"""),"")</f>
        <v/>
      </c>
    </row>
    <row r="346">
      <c r="G346" s="7" t="str">
        <f>IFERROR(__xludf.DUMMYFUNCTION("""COMPUTED_VALUE"""),"")</f>
        <v/>
      </c>
    </row>
    <row r="347">
      <c r="G347" s="7" t="str">
        <f>IFERROR(__xludf.DUMMYFUNCTION("""COMPUTED_VALUE"""),"")</f>
        <v/>
      </c>
    </row>
    <row r="348">
      <c r="G348" s="7" t="str">
        <f>IFERROR(__xludf.DUMMYFUNCTION("""COMPUTED_VALUE"""),"")</f>
        <v/>
      </c>
    </row>
    <row r="349">
      <c r="G349" s="7" t="str">
        <f>IFERROR(__xludf.DUMMYFUNCTION("""COMPUTED_VALUE"""),"")</f>
        <v/>
      </c>
    </row>
    <row r="350">
      <c r="G350" s="7" t="str">
        <f>IFERROR(__xludf.DUMMYFUNCTION("""COMPUTED_VALUE"""),"")</f>
        <v/>
      </c>
    </row>
    <row r="351">
      <c r="G351" s="7" t="str">
        <f>IFERROR(__xludf.DUMMYFUNCTION("""COMPUTED_VALUE"""),"")</f>
        <v/>
      </c>
    </row>
    <row r="352">
      <c r="G352" s="7" t="str">
        <f>IFERROR(__xludf.DUMMYFUNCTION("""COMPUTED_VALUE"""),"")</f>
        <v/>
      </c>
    </row>
    <row r="353">
      <c r="G353" s="7" t="str">
        <f>IFERROR(__xludf.DUMMYFUNCTION("""COMPUTED_VALUE"""),"")</f>
        <v/>
      </c>
    </row>
    <row r="354">
      <c r="G354" s="7" t="str">
        <f>IFERROR(__xludf.DUMMYFUNCTION("""COMPUTED_VALUE"""),"")</f>
        <v/>
      </c>
    </row>
    <row r="355">
      <c r="G355" s="7" t="str">
        <f>IFERROR(__xludf.DUMMYFUNCTION("""COMPUTED_VALUE"""),"")</f>
        <v/>
      </c>
    </row>
    <row r="356">
      <c r="G356" s="7" t="str">
        <f>IFERROR(__xludf.DUMMYFUNCTION("""COMPUTED_VALUE"""),"")</f>
        <v/>
      </c>
    </row>
    <row r="357">
      <c r="G357" s="7" t="str">
        <f>IFERROR(__xludf.DUMMYFUNCTION("""COMPUTED_VALUE"""),"")</f>
        <v/>
      </c>
    </row>
    <row r="358">
      <c r="G358" s="7" t="str">
        <f>IFERROR(__xludf.DUMMYFUNCTION("""COMPUTED_VALUE"""),"")</f>
        <v/>
      </c>
    </row>
    <row r="359">
      <c r="G359" s="7" t="str">
        <f>IFERROR(__xludf.DUMMYFUNCTION("""COMPUTED_VALUE"""),"")</f>
        <v/>
      </c>
    </row>
    <row r="360">
      <c r="G360" s="7" t="str">
        <f>IFERROR(__xludf.DUMMYFUNCTION("""COMPUTED_VALUE"""),"")</f>
        <v/>
      </c>
    </row>
    <row r="361">
      <c r="G361" s="7" t="str">
        <f>IFERROR(__xludf.DUMMYFUNCTION("""COMPUTED_VALUE"""),"")</f>
        <v/>
      </c>
    </row>
    <row r="362">
      <c r="G362" s="7" t="str">
        <f>IFERROR(__xludf.DUMMYFUNCTION("""COMPUTED_VALUE"""),"")</f>
        <v/>
      </c>
    </row>
    <row r="363">
      <c r="G363" s="7" t="str">
        <f>IFERROR(__xludf.DUMMYFUNCTION("""COMPUTED_VALUE"""),"")</f>
        <v/>
      </c>
    </row>
    <row r="364">
      <c r="G364" s="7" t="str">
        <f>IFERROR(__xludf.DUMMYFUNCTION("""COMPUTED_VALUE"""),"")</f>
        <v/>
      </c>
    </row>
    <row r="365">
      <c r="G365" s="7" t="str">
        <f>IFERROR(__xludf.DUMMYFUNCTION("""COMPUTED_VALUE"""),"")</f>
        <v/>
      </c>
    </row>
    <row r="366">
      <c r="G366" s="7" t="str">
        <f>IFERROR(__xludf.DUMMYFUNCTION("""COMPUTED_VALUE"""),"")</f>
        <v/>
      </c>
    </row>
    <row r="367">
      <c r="G367" s="7" t="str">
        <f>IFERROR(__xludf.DUMMYFUNCTION("""COMPUTED_VALUE"""),"")</f>
        <v/>
      </c>
    </row>
    <row r="368">
      <c r="G368" s="7" t="str">
        <f>IFERROR(__xludf.DUMMYFUNCTION("""COMPUTED_VALUE"""),"")</f>
        <v/>
      </c>
    </row>
    <row r="369">
      <c r="G369" s="7" t="str">
        <f>IFERROR(__xludf.DUMMYFUNCTION("""COMPUTED_VALUE"""),"")</f>
        <v/>
      </c>
    </row>
    <row r="370">
      <c r="G370" s="7" t="str">
        <f>IFERROR(__xludf.DUMMYFUNCTION("""COMPUTED_VALUE"""),"")</f>
        <v/>
      </c>
    </row>
    <row r="371">
      <c r="G371" s="7" t="str">
        <f>IFERROR(__xludf.DUMMYFUNCTION("""COMPUTED_VALUE"""),"")</f>
        <v/>
      </c>
    </row>
    <row r="372">
      <c r="G372" s="7" t="str">
        <f>IFERROR(__xludf.DUMMYFUNCTION("""COMPUTED_VALUE"""),"")</f>
        <v/>
      </c>
    </row>
    <row r="373">
      <c r="G373" s="7" t="str">
        <f>IFERROR(__xludf.DUMMYFUNCTION("""COMPUTED_VALUE"""),"")</f>
        <v/>
      </c>
    </row>
    <row r="374">
      <c r="G374" s="7" t="str">
        <f>IFERROR(__xludf.DUMMYFUNCTION("""COMPUTED_VALUE"""),"")</f>
        <v/>
      </c>
    </row>
    <row r="375">
      <c r="G375" s="7" t="str">
        <f>IFERROR(__xludf.DUMMYFUNCTION("""COMPUTED_VALUE"""),"")</f>
        <v/>
      </c>
    </row>
    <row r="376">
      <c r="G376" s="7" t="str">
        <f>IFERROR(__xludf.DUMMYFUNCTION("""COMPUTED_VALUE"""),"")</f>
        <v/>
      </c>
    </row>
    <row r="377">
      <c r="G377" s="7" t="str">
        <f>IFERROR(__xludf.DUMMYFUNCTION("""COMPUTED_VALUE"""),"")</f>
        <v/>
      </c>
    </row>
    <row r="378">
      <c r="G378" s="7" t="str">
        <f>IFERROR(__xludf.DUMMYFUNCTION("""COMPUTED_VALUE"""),"")</f>
        <v/>
      </c>
    </row>
    <row r="379">
      <c r="G379" s="7" t="str">
        <f>IFERROR(__xludf.DUMMYFUNCTION("""COMPUTED_VALUE"""),"")</f>
        <v/>
      </c>
    </row>
    <row r="380">
      <c r="G380" s="7" t="str">
        <f>IFERROR(__xludf.DUMMYFUNCTION("""COMPUTED_VALUE"""),"")</f>
        <v/>
      </c>
    </row>
    <row r="381">
      <c r="G381" s="7" t="str">
        <f>IFERROR(__xludf.DUMMYFUNCTION("""COMPUTED_VALUE"""),"")</f>
        <v/>
      </c>
    </row>
    <row r="382">
      <c r="G382" s="7" t="str">
        <f>IFERROR(__xludf.DUMMYFUNCTION("""COMPUTED_VALUE"""),"")</f>
        <v/>
      </c>
    </row>
    <row r="383">
      <c r="G383" s="7" t="str">
        <f>IFERROR(__xludf.DUMMYFUNCTION("""COMPUTED_VALUE"""),"")</f>
        <v/>
      </c>
    </row>
    <row r="384">
      <c r="G384" s="7" t="str">
        <f>IFERROR(__xludf.DUMMYFUNCTION("""COMPUTED_VALUE"""),"")</f>
        <v/>
      </c>
    </row>
    <row r="385">
      <c r="G385" s="7" t="str">
        <f>IFERROR(__xludf.DUMMYFUNCTION("""COMPUTED_VALUE"""),"")</f>
        <v/>
      </c>
    </row>
    <row r="386">
      <c r="G386" s="7" t="str">
        <f>IFERROR(__xludf.DUMMYFUNCTION("""COMPUTED_VALUE"""),"")</f>
        <v/>
      </c>
    </row>
    <row r="387">
      <c r="G387" s="7" t="str">
        <f>IFERROR(__xludf.DUMMYFUNCTION("""COMPUTED_VALUE"""),"")</f>
        <v/>
      </c>
    </row>
    <row r="388">
      <c r="G388" s="7" t="str">
        <f>IFERROR(__xludf.DUMMYFUNCTION("""COMPUTED_VALUE"""),"")</f>
        <v/>
      </c>
    </row>
    <row r="389">
      <c r="G389" s="7" t="str">
        <f>IFERROR(__xludf.DUMMYFUNCTION("""COMPUTED_VALUE"""),"")</f>
        <v/>
      </c>
    </row>
    <row r="390">
      <c r="G390" s="7" t="str">
        <f>IFERROR(__xludf.DUMMYFUNCTION("""COMPUTED_VALUE"""),"")</f>
        <v/>
      </c>
    </row>
    <row r="391">
      <c r="G391" s="7" t="str">
        <f>IFERROR(__xludf.DUMMYFUNCTION("""COMPUTED_VALUE"""),"")</f>
        <v/>
      </c>
    </row>
    <row r="392">
      <c r="G392" s="7" t="str">
        <f>IFERROR(__xludf.DUMMYFUNCTION("""COMPUTED_VALUE"""),"")</f>
        <v/>
      </c>
    </row>
    <row r="393">
      <c r="G393" s="7" t="str">
        <f>IFERROR(__xludf.DUMMYFUNCTION("""COMPUTED_VALUE"""),"")</f>
        <v/>
      </c>
    </row>
    <row r="394">
      <c r="G394" s="7" t="str">
        <f>IFERROR(__xludf.DUMMYFUNCTION("""COMPUTED_VALUE"""),"")</f>
        <v/>
      </c>
    </row>
    <row r="395">
      <c r="G395" s="7" t="str">
        <f>IFERROR(__xludf.DUMMYFUNCTION("""COMPUTED_VALUE"""),"")</f>
        <v/>
      </c>
    </row>
    <row r="396">
      <c r="G396" s="7" t="str">
        <f>IFERROR(__xludf.DUMMYFUNCTION("""COMPUTED_VALUE"""),"")</f>
        <v/>
      </c>
    </row>
    <row r="397">
      <c r="G397" s="7" t="str">
        <f>IFERROR(__xludf.DUMMYFUNCTION("""COMPUTED_VALUE"""),"")</f>
        <v/>
      </c>
    </row>
    <row r="398">
      <c r="G398" s="7" t="str">
        <f>IFERROR(__xludf.DUMMYFUNCTION("""COMPUTED_VALUE"""),"")</f>
        <v/>
      </c>
    </row>
    <row r="399">
      <c r="G399" s="7" t="str">
        <f>IFERROR(__xludf.DUMMYFUNCTION("""COMPUTED_VALUE"""),"")</f>
        <v/>
      </c>
    </row>
    <row r="400">
      <c r="G400" s="7" t="str">
        <f>IFERROR(__xludf.DUMMYFUNCTION("""COMPUTED_VALUE"""),"")</f>
        <v/>
      </c>
    </row>
    <row r="401">
      <c r="G401" s="7" t="str">
        <f>IFERROR(__xludf.DUMMYFUNCTION("""COMPUTED_VALUE"""),"")</f>
        <v/>
      </c>
    </row>
    <row r="402">
      <c r="G402" s="7" t="str">
        <f>IFERROR(__xludf.DUMMYFUNCTION("""COMPUTED_VALUE"""),"")</f>
        <v/>
      </c>
    </row>
    <row r="403">
      <c r="G403" s="7" t="str">
        <f>IFERROR(__xludf.DUMMYFUNCTION("""COMPUTED_VALUE"""),"")</f>
        <v/>
      </c>
    </row>
    <row r="404">
      <c r="G404" s="7" t="str">
        <f>IFERROR(__xludf.DUMMYFUNCTION("""COMPUTED_VALUE"""),"")</f>
        <v/>
      </c>
    </row>
    <row r="405">
      <c r="G405" s="7" t="str">
        <f>IFERROR(__xludf.DUMMYFUNCTION("""COMPUTED_VALUE"""),"")</f>
        <v/>
      </c>
    </row>
    <row r="406">
      <c r="G406" s="7" t="str">
        <f>IFERROR(__xludf.DUMMYFUNCTION("""COMPUTED_VALUE"""),"")</f>
        <v/>
      </c>
    </row>
    <row r="407">
      <c r="G407" s="7" t="str">
        <f>IFERROR(__xludf.DUMMYFUNCTION("""COMPUTED_VALUE"""),"")</f>
        <v/>
      </c>
    </row>
    <row r="408">
      <c r="G408" s="7" t="str">
        <f>IFERROR(__xludf.DUMMYFUNCTION("""COMPUTED_VALUE"""),"")</f>
        <v/>
      </c>
    </row>
    <row r="409">
      <c r="G409" s="7" t="str">
        <f>IFERROR(__xludf.DUMMYFUNCTION("""COMPUTED_VALUE"""),"")</f>
        <v/>
      </c>
    </row>
    <row r="410">
      <c r="G410" s="7" t="str">
        <f>IFERROR(__xludf.DUMMYFUNCTION("""COMPUTED_VALUE"""),"")</f>
        <v/>
      </c>
    </row>
    <row r="411">
      <c r="G411" s="7" t="str">
        <f>IFERROR(__xludf.DUMMYFUNCTION("""COMPUTED_VALUE"""),"")</f>
        <v/>
      </c>
    </row>
    <row r="412">
      <c r="G412" s="7" t="str">
        <f>IFERROR(__xludf.DUMMYFUNCTION("""COMPUTED_VALUE"""),"")</f>
        <v/>
      </c>
    </row>
    <row r="413">
      <c r="G413" s="7" t="str">
        <f>IFERROR(__xludf.DUMMYFUNCTION("""COMPUTED_VALUE"""),"")</f>
        <v/>
      </c>
    </row>
    <row r="414">
      <c r="G414" s="7" t="str">
        <f>IFERROR(__xludf.DUMMYFUNCTION("""COMPUTED_VALUE"""),"")</f>
        <v/>
      </c>
    </row>
    <row r="415">
      <c r="G415" s="7" t="str">
        <f>IFERROR(__xludf.DUMMYFUNCTION("""COMPUTED_VALUE"""),"")</f>
        <v/>
      </c>
    </row>
    <row r="416">
      <c r="G416" s="7" t="str">
        <f>IFERROR(__xludf.DUMMYFUNCTION("""COMPUTED_VALUE"""),"")</f>
        <v/>
      </c>
    </row>
    <row r="417">
      <c r="G417" s="7" t="str">
        <f>IFERROR(__xludf.DUMMYFUNCTION("""COMPUTED_VALUE"""),"")</f>
        <v/>
      </c>
    </row>
    <row r="418">
      <c r="G418" s="7" t="str">
        <f>IFERROR(__xludf.DUMMYFUNCTION("""COMPUTED_VALUE"""),"")</f>
        <v/>
      </c>
    </row>
    <row r="419">
      <c r="G419" s="7" t="str">
        <f>IFERROR(__xludf.DUMMYFUNCTION("""COMPUTED_VALUE"""),"")</f>
        <v/>
      </c>
    </row>
    <row r="420">
      <c r="G420" s="7" t="str">
        <f>IFERROR(__xludf.DUMMYFUNCTION("""COMPUTED_VALUE"""),"")</f>
        <v/>
      </c>
    </row>
    <row r="421">
      <c r="G421" s="7" t="str">
        <f>IFERROR(__xludf.DUMMYFUNCTION("""COMPUTED_VALUE"""),"")</f>
        <v/>
      </c>
    </row>
    <row r="422">
      <c r="G422" s="7" t="str">
        <f>IFERROR(__xludf.DUMMYFUNCTION("""COMPUTED_VALUE"""),"")</f>
        <v/>
      </c>
    </row>
    <row r="423">
      <c r="G423" s="7" t="str">
        <f>IFERROR(__xludf.DUMMYFUNCTION("""COMPUTED_VALUE"""),"")</f>
        <v/>
      </c>
    </row>
    <row r="424">
      <c r="G424" s="7" t="str">
        <f>IFERROR(__xludf.DUMMYFUNCTION("""COMPUTED_VALUE"""),"")</f>
        <v/>
      </c>
    </row>
    <row r="425">
      <c r="G425" s="7" t="str">
        <f>IFERROR(__xludf.DUMMYFUNCTION("""COMPUTED_VALUE"""),"")</f>
        <v/>
      </c>
    </row>
    <row r="426">
      <c r="G426" s="7" t="str">
        <f>IFERROR(__xludf.DUMMYFUNCTION("""COMPUTED_VALUE"""),"")</f>
        <v/>
      </c>
    </row>
    <row r="427">
      <c r="G427" s="7" t="str">
        <f>IFERROR(__xludf.DUMMYFUNCTION("""COMPUTED_VALUE"""),"")</f>
        <v/>
      </c>
    </row>
    <row r="428">
      <c r="G428" s="7" t="str">
        <f>IFERROR(__xludf.DUMMYFUNCTION("""COMPUTED_VALUE"""),"")</f>
        <v/>
      </c>
    </row>
    <row r="429">
      <c r="G429" s="7" t="str">
        <f>IFERROR(__xludf.DUMMYFUNCTION("""COMPUTED_VALUE"""),"")</f>
        <v/>
      </c>
    </row>
    <row r="430">
      <c r="G430" s="7" t="str">
        <f>IFERROR(__xludf.DUMMYFUNCTION("""COMPUTED_VALUE"""),"")</f>
        <v/>
      </c>
    </row>
    <row r="431">
      <c r="G431" s="7" t="str">
        <f>IFERROR(__xludf.DUMMYFUNCTION("""COMPUTED_VALUE"""),"")</f>
        <v/>
      </c>
    </row>
    <row r="432">
      <c r="G432" s="7" t="str">
        <f>IFERROR(__xludf.DUMMYFUNCTION("""COMPUTED_VALUE"""),"")</f>
        <v/>
      </c>
    </row>
    <row r="433">
      <c r="G433" s="7" t="str">
        <f>IFERROR(__xludf.DUMMYFUNCTION("""COMPUTED_VALUE"""),"")</f>
        <v/>
      </c>
    </row>
    <row r="434">
      <c r="G434" s="7" t="str">
        <f>IFERROR(__xludf.DUMMYFUNCTION("""COMPUTED_VALUE"""),"")</f>
        <v/>
      </c>
    </row>
    <row r="435">
      <c r="G435" s="7" t="str">
        <f>IFERROR(__xludf.DUMMYFUNCTION("""COMPUTED_VALUE"""),"")</f>
        <v/>
      </c>
    </row>
    <row r="436">
      <c r="G436" s="7" t="str">
        <f>IFERROR(__xludf.DUMMYFUNCTION("""COMPUTED_VALUE"""),"")</f>
        <v/>
      </c>
    </row>
    <row r="437">
      <c r="G437" s="7" t="str">
        <f>IFERROR(__xludf.DUMMYFUNCTION("""COMPUTED_VALUE"""),"")</f>
        <v/>
      </c>
    </row>
    <row r="438">
      <c r="G438" s="7" t="str">
        <f>IFERROR(__xludf.DUMMYFUNCTION("""COMPUTED_VALUE"""),"")</f>
        <v/>
      </c>
    </row>
    <row r="439">
      <c r="G439" s="7" t="str">
        <f>IFERROR(__xludf.DUMMYFUNCTION("""COMPUTED_VALUE"""),"")</f>
        <v/>
      </c>
    </row>
    <row r="440">
      <c r="G440" s="7" t="str">
        <f>IFERROR(__xludf.DUMMYFUNCTION("""COMPUTED_VALUE"""),"")</f>
        <v/>
      </c>
    </row>
    <row r="441">
      <c r="G441" s="7" t="str">
        <f>IFERROR(__xludf.DUMMYFUNCTION("""COMPUTED_VALUE"""),"")</f>
        <v/>
      </c>
    </row>
    <row r="442">
      <c r="G442" s="7" t="str">
        <f>IFERROR(__xludf.DUMMYFUNCTION("""COMPUTED_VALUE"""),"")</f>
        <v/>
      </c>
    </row>
    <row r="443">
      <c r="G443" s="7" t="str">
        <f>IFERROR(__xludf.DUMMYFUNCTION("""COMPUTED_VALUE"""),"")</f>
        <v/>
      </c>
    </row>
    <row r="444">
      <c r="G444" s="7" t="str">
        <f>IFERROR(__xludf.DUMMYFUNCTION("""COMPUTED_VALUE"""),"")</f>
        <v/>
      </c>
    </row>
    <row r="445">
      <c r="G445" s="7" t="str">
        <f>IFERROR(__xludf.DUMMYFUNCTION("""COMPUTED_VALUE"""),"")</f>
        <v/>
      </c>
    </row>
    <row r="446">
      <c r="G446" s="7" t="str">
        <f>IFERROR(__xludf.DUMMYFUNCTION("""COMPUTED_VALUE"""),"")</f>
        <v/>
      </c>
    </row>
    <row r="447">
      <c r="G447" s="7" t="str">
        <f>IFERROR(__xludf.DUMMYFUNCTION("""COMPUTED_VALUE"""),"")</f>
        <v/>
      </c>
    </row>
    <row r="448">
      <c r="G448" s="7" t="str">
        <f>IFERROR(__xludf.DUMMYFUNCTION("""COMPUTED_VALUE"""),"")</f>
        <v/>
      </c>
    </row>
    <row r="449">
      <c r="G449" s="7" t="str">
        <f>IFERROR(__xludf.DUMMYFUNCTION("""COMPUTED_VALUE"""),"")</f>
        <v/>
      </c>
    </row>
    <row r="450">
      <c r="G450" s="7" t="str">
        <f>IFERROR(__xludf.DUMMYFUNCTION("""COMPUTED_VALUE"""),"")</f>
        <v/>
      </c>
    </row>
    <row r="451">
      <c r="G451" s="7" t="str">
        <f>IFERROR(__xludf.DUMMYFUNCTION("""COMPUTED_VALUE"""),"")</f>
        <v/>
      </c>
    </row>
    <row r="452">
      <c r="G452" s="7" t="str">
        <f>IFERROR(__xludf.DUMMYFUNCTION("""COMPUTED_VALUE"""),"")</f>
        <v/>
      </c>
    </row>
    <row r="453">
      <c r="G453" s="7" t="str">
        <f>IFERROR(__xludf.DUMMYFUNCTION("""COMPUTED_VALUE"""),"")</f>
        <v/>
      </c>
    </row>
    <row r="454">
      <c r="G454" s="7" t="str">
        <f>IFERROR(__xludf.DUMMYFUNCTION("""COMPUTED_VALUE"""),"")</f>
        <v/>
      </c>
    </row>
    <row r="455">
      <c r="G455" s="7" t="str">
        <f>IFERROR(__xludf.DUMMYFUNCTION("""COMPUTED_VALUE"""),"")</f>
        <v/>
      </c>
    </row>
    <row r="456">
      <c r="G456" s="7" t="str">
        <f>IFERROR(__xludf.DUMMYFUNCTION("""COMPUTED_VALUE"""),"")</f>
        <v/>
      </c>
    </row>
    <row r="457">
      <c r="G457" s="7" t="str">
        <f>IFERROR(__xludf.DUMMYFUNCTION("""COMPUTED_VALUE"""),"")</f>
        <v/>
      </c>
    </row>
    <row r="458">
      <c r="G458" s="7" t="str">
        <f>IFERROR(__xludf.DUMMYFUNCTION("""COMPUTED_VALUE"""),"")</f>
        <v/>
      </c>
    </row>
    <row r="459">
      <c r="G459" s="7" t="str">
        <f>IFERROR(__xludf.DUMMYFUNCTION("""COMPUTED_VALUE"""),"")</f>
        <v/>
      </c>
    </row>
    <row r="460">
      <c r="G460" s="7" t="str">
        <f>IFERROR(__xludf.DUMMYFUNCTION("""COMPUTED_VALUE"""),"")</f>
        <v/>
      </c>
    </row>
    <row r="461">
      <c r="G461" s="7" t="str">
        <f>IFERROR(__xludf.DUMMYFUNCTION("""COMPUTED_VALUE"""),"")</f>
        <v/>
      </c>
    </row>
    <row r="462">
      <c r="G462" s="7" t="str">
        <f>IFERROR(__xludf.DUMMYFUNCTION("""COMPUTED_VALUE"""),"")</f>
        <v/>
      </c>
    </row>
    <row r="463">
      <c r="G463" s="7" t="str">
        <f>IFERROR(__xludf.DUMMYFUNCTION("""COMPUTED_VALUE"""),"")</f>
        <v/>
      </c>
    </row>
    <row r="464">
      <c r="G464" s="7" t="str">
        <f>IFERROR(__xludf.DUMMYFUNCTION("""COMPUTED_VALUE"""),"")</f>
        <v/>
      </c>
    </row>
    <row r="465">
      <c r="G465" s="7" t="str">
        <f>IFERROR(__xludf.DUMMYFUNCTION("""COMPUTED_VALUE"""),"")</f>
        <v/>
      </c>
    </row>
    <row r="466">
      <c r="G466" s="7" t="str">
        <f>IFERROR(__xludf.DUMMYFUNCTION("""COMPUTED_VALUE"""),"")</f>
        <v/>
      </c>
    </row>
    <row r="467">
      <c r="G467" s="7" t="str">
        <f>IFERROR(__xludf.DUMMYFUNCTION("""COMPUTED_VALUE"""),"")</f>
        <v/>
      </c>
    </row>
    <row r="468">
      <c r="G468" s="7" t="str">
        <f>IFERROR(__xludf.DUMMYFUNCTION("""COMPUTED_VALUE"""),"")</f>
        <v/>
      </c>
    </row>
    <row r="469">
      <c r="G469" s="7" t="str">
        <f>IFERROR(__xludf.DUMMYFUNCTION("""COMPUTED_VALUE"""),"")</f>
        <v/>
      </c>
    </row>
    <row r="470">
      <c r="G470" s="7" t="str">
        <f>IFERROR(__xludf.DUMMYFUNCTION("""COMPUTED_VALUE"""),"")</f>
        <v/>
      </c>
    </row>
    <row r="471">
      <c r="G471" s="7" t="str">
        <f>IFERROR(__xludf.DUMMYFUNCTION("""COMPUTED_VALUE"""),"")</f>
        <v/>
      </c>
    </row>
    <row r="472">
      <c r="G472" s="7" t="str">
        <f>IFERROR(__xludf.DUMMYFUNCTION("""COMPUTED_VALUE"""),"")</f>
        <v/>
      </c>
    </row>
    <row r="473">
      <c r="G473" s="7" t="str">
        <f>IFERROR(__xludf.DUMMYFUNCTION("""COMPUTED_VALUE"""),"")</f>
        <v/>
      </c>
    </row>
    <row r="474">
      <c r="G474" s="7" t="str">
        <f>IFERROR(__xludf.DUMMYFUNCTION("""COMPUTED_VALUE"""),"")</f>
        <v/>
      </c>
    </row>
    <row r="475">
      <c r="G475" s="7" t="str">
        <f>IFERROR(__xludf.DUMMYFUNCTION("""COMPUTED_VALUE"""),"")</f>
        <v/>
      </c>
    </row>
    <row r="476">
      <c r="G476" s="7" t="str">
        <f>IFERROR(__xludf.DUMMYFUNCTION("""COMPUTED_VALUE"""),"")</f>
        <v/>
      </c>
    </row>
    <row r="477">
      <c r="G477" s="7" t="str">
        <f>IFERROR(__xludf.DUMMYFUNCTION("""COMPUTED_VALUE"""),"")</f>
        <v/>
      </c>
    </row>
    <row r="478">
      <c r="G478" s="7" t="str">
        <f>IFERROR(__xludf.DUMMYFUNCTION("""COMPUTED_VALUE"""),"")</f>
        <v/>
      </c>
    </row>
    <row r="479">
      <c r="G479" s="7" t="str">
        <f>IFERROR(__xludf.DUMMYFUNCTION("""COMPUTED_VALUE"""),"")</f>
        <v/>
      </c>
    </row>
    <row r="480">
      <c r="G480" s="7" t="str">
        <f>IFERROR(__xludf.DUMMYFUNCTION("""COMPUTED_VALUE"""),"")</f>
        <v/>
      </c>
    </row>
    <row r="481">
      <c r="G481" s="7" t="str">
        <f>IFERROR(__xludf.DUMMYFUNCTION("""COMPUTED_VALUE"""),"")</f>
        <v/>
      </c>
    </row>
    <row r="482">
      <c r="G482" s="7" t="str">
        <f>IFERROR(__xludf.DUMMYFUNCTION("""COMPUTED_VALUE"""),"")</f>
        <v/>
      </c>
    </row>
    <row r="483">
      <c r="G483" s="7" t="str">
        <f>IFERROR(__xludf.DUMMYFUNCTION("""COMPUTED_VALUE"""),"")</f>
        <v/>
      </c>
    </row>
    <row r="484">
      <c r="G484" s="7" t="str">
        <f>IFERROR(__xludf.DUMMYFUNCTION("""COMPUTED_VALUE"""),"")</f>
        <v/>
      </c>
    </row>
    <row r="485">
      <c r="G485" s="7" t="str">
        <f>IFERROR(__xludf.DUMMYFUNCTION("""COMPUTED_VALUE"""),"")</f>
        <v/>
      </c>
    </row>
    <row r="486">
      <c r="G486" s="7" t="str">
        <f>IFERROR(__xludf.DUMMYFUNCTION("""COMPUTED_VALUE"""),"")</f>
        <v/>
      </c>
    </row>
    <row r="487">
      <c r="G487" s="7" t="str">
        <f>IFERROR(__xludf.DUMMYFUNCTION("""COMPUTED_VALUE"""),"")</f>
        <v/>
      </c>
    </row>
    <row r="488">
      <c r="G488" s="7" t="str">
        <f>IFERROR(__xludf.DUMMYFUNCTION("""COMPUTED_VALUE"""),"")</f>
        <v/>
      </c>
    </row>
    <row r="489">
      <c r="G489" s="7" t="str">
        <f>IFERROR(__xludf.DUMMYFUNCTION("""COMPUTED_VALUE"""),"")</f>
        <v/>
      </c>
    </row>
    <row r="490">
      <c r="G490" s="7" t="str">
        <f>IFERROR(__xludf.DUMMYFUNCTION("""COMPUTED_VALUE"""),"")</f>
        <v/>
      </c>
    </row>
    <row r="491">
      <c r="G491" s="7" t="str">
        <f>IFERROR(__xludf.DUMMYFUNCTION("""COMPUTED_VALUE"""),"")</f>
        <v/>
      </c>
    </row>
    <row r="492">
      <c r="G492" s="7" t="str">
        <f>IFERROR(__xludf.DUMMYFUNCTION("""COMPUTED_VALUE"""),"")</f>
        <v/>
      </c>
    </row>
    <row r="493">
      <c r="G493" s="7" t="str">
        <f>IFERROR(__xludf.DUMMYFUNCTION("""COMPUTED_VALUE"""),"")</f>
        <v/>
      </c>
    </row>
    <row r="494">
      <c r="G494" s="7" t="str">
        <f>IFERROR(__xludf.DUMMYFUNCTION("""COMPUTED_VALUE"""),"")</f>
        <v/>
      </c>
    </row>
    <row r="495">
      <c r="G495" s="7" t="str">
        <f>IFERROR(__xludf.DUMMYFUNCTION("""COMPUTED_VALUE"""),"")</f>
        <v/>
      </c>
    </row>
    <row r="496">
      <c r="G496" s="7" t="str">
        <f>IFERROR(__xludf.DUMMYFUNCTION("""COMPUTED_VALUE"""),"")</f>
        <v/>
      </c>
    </row>
    <row r="497">
      <c r="G497" s="7" t="str">
        <f>IFERROR(__xludf.DUMMYFUNCTION("""COMPUTED_VALUE"""),"")</f>
        <v/>
      </c>
    </row>
    <row r="498">
      <c r="G498" s="7" t="str">
        <f>IFERROR(__xludf.DUMMYFUNCTION("""COMPUTED_VALUE"""),"")</f>
        <v/>
      </c>
    </row>
    <row r="499">
      <c r="G499" s="7" t="str">
        <f>IFERROR(__xludf.DUMMYFUNCTION("""COMPUTED_VALUE"""),"")</f>
        <v/>
      </c>
    </row>
    <row r="500">
      <c r="G500" s="7" t="str">
        <f>IFERROR(__xludf.DUMMYFUNCTION("""COMPUTED_VALUE"""),"")</f>
        <v/>
      </c>
    </row>
    <row r="501">
      <c r="G501" s="7" t="str">
        <f>IFERROR(__xludf.DUMMYFUNCTION("""COMPUTED_VALUE"""),"")</f>
        <v/>
      </c>
    </row>
    <row r="502">
      <c r="G502" s="7" t="str">
        <f>IFERROR(__xludf.DUMMYFUNCTION("""COMPUTED_VALUE"""),"")</f>
        <v/>
      </c>
    </row>
    <row r="503">
      <c r="G503" s="7" t="str">
        <f>IFERROR(__xludf.DUMMYFUNCTION("""COMPUTED_VALUE"""),"")</f>
        <v/>
      </c>
    </row>
    <row r="504">
      <c r="G504" s="7" t="str">
        <f>IFERROR(__xludf.DUMMYFUNCTION("""COMPUTED_VALUE"""),"")</f>
        <v/>
      </c>
    </row>
    <row r="505">
      <c r="G505" s="7" t="str">
        <f>IFERROR(__xludf.DUMMYFUNCTION("""COMPUTED_VALUE"""),"")</f>
        <v/>
      </c>
    </row>
    <row r="506">
      <c r="G506" s="7" t="str">
        <f>IFERROR(__xludf.DUMMYFUNCTION("""COMPUTED_VALUE"""),"")</f>
        <v/>
      </c>
    </row>
    <row r="507">
      <c r="G507" s="7" t="str">
        <f>IFERROR(__xludf.DUMMYFUNCTION("""COMPUTED_VALUE"""),"")</f>
        <v/>
      </c>
    </row>
    <row r="508">
      <c r="G508" s="7" t="str">
        <f>IFERROR(__xludf.DUMMYFUNCTION("""COMPUTED_VALUE"""),"")</f>
        <v/>
      </c>
    </row>
    <row r="509">
      <c r="G509" s="7" t="str">
        <f>IFERROR(__xludf.DUMMYFUNCTION("""COMPUTED_VALUE"""),"")</f>
        <v/>
      </c>
    </row>
    <row r="510">
      <c r="G510" s="7" t="str">
        <f>IFERROR(__xludf.DUMMYFUNCTION("""COMPUTED_VALUE"""),"")</f>
        <v/>
      </c>
    </row>
    <row r="511">
      <c r="G511" s="7" t="str">
        <f>IFERROR(__xludf.DUMMYFUNCTION("""COMPUTED_VALUE"""),"")</f>
        <v/>
      </c>
    </row>
    <row r="512">
      <c r="G512" s="7" t="str">
        <f>IFERROR(__xludf.DUMMYFUNCTION("""COMPUTED_VALUE"""),"")</f>
        <v/>
      </c>
    </row>
    <row r="513">
      <c r="G513" s="7" t="str">
        <f>IFERROR(__xludf.DUMMYFUNCTION("""COMPUTED_VALUE"""),"")</f>
        <v/>
      </c>
    </row>
    <row r="514">
      <c r="G514" s="7" t="str">
        <f>IFERROR(__xludf.DUMMYFUNCTION("""COMPUTED_VALUE"""),"")</f>
        <v/>
      </c>
    </row>
    <row r="515">
      <c r="G515" s="7" t="str">
        <f>IFERROR(__xludf.DUMMYFUNCTION("""COMPUTED_VALUE"""),"")</f>
        <v/>
      </c>
    </row>
    <row r="516">
      <c r="G516" s="7" t="str">
        <f>IFERROR(__xludf.DUMMYFUNCTION("""COMPUTED_VALUE"""),"")</f>
        <v/>
      </c>
    </row>
    <row r="517">
      <c r="G517" s="7" t="str">
        <f>IFERROR(__xludf.DUMMYFUNCTION("""COMPUTED_VALUE"""),"")</f>
        <v/>
      </c>
    </row>
    <row r="518">
      <c r="G518" s="7" t="str">
        <f>IFERROR(__xludf.DUMMYFUNCTION("""COMPUTED_VALUE"""),"")</f>
        <v/>
      </c>
    </row>
    <row r="519">
      <c r="G519" s="7" t="str">
        <f>IFERROR(__xludf.DUMMYFUNCTION("""COMPUTED_VALUE"""),"")</f>
        <v/>
      </c>
    </row>
    <row r="520">
      <c r="G520" s="7" t="str">
        <f>IFERROR(__xludf.DUMMYFUNCTION("""COMPUTED_VALUE"""),"")</f>
        <v/>
      </c>
    </row>
    <row r="521">
      <c r="G521" s="7" t="str">
        <f>IFERROR(__xludf.DUMMYFUNCTION("""COMPUTED_VALUE"""),"")</f>
        <v/>
      </c>
    </row>
    <row r="522">
      <c r="G522" s="7" t="str">
        <f>IFERROR(__xludf.DUMMYFUNCTION("""COMPUTED_VALUE"""),"")</f>
        <v/>
      </c>
    </row>
    <row r="523">
      <c r="G523" s="7" t="str">
        <f>IFERROR(__xludf.DUMMYFUNCTION("""COMPUTED_VALUE"""),"")</f>
        <v/>
      </c>
    </row>
    <row r="524">
      <c r="G524" s="7" t="str">
        <f>IFERROR(__xludf.DUMMYFUNCTION("""COMPUTED_VALUE"""),"")</f>
        <v/>
      </c>
    </row>
    <row r="525">
      <c r="G525" s="7" t="str">
        <f>IFERROR(__xludf.DUMMYFUNCTION("""COMPUTED_VALUE"""),"")</f>
        <v/>
      </c>
    </row>
    <row r="526">
      <c r="G526" s="7" t="str">
        <f>IFERROR(__xludf.DUMMYFUNCTION("""COMPUTED_VALUE"""),"")</f>
        <v/>
      </c>
    </row>
    <row r="527">
      <c r="G527" s="7" t="str">
        <f>IFERROR(__xludf.DUMMYFUNCTION("""COMPUTED_VALUE"""),"")</f>
        <v/>
      </c>
    </row>
    <row r="528">
      <c r="G528" s="7" t="str">
        <f>IFERROR(__xludf.DUMMYFUNCTION("""COMPUTED_VALUE"""),"")</f>
        <v/>
      </c>
    </row>
    <row r="529">
      <c r="G529" s="7" t="str">
        <f>IFERROR(__xludf.DUMMYFUNCTION("""COMPUTED_VALUE"""),"")</f>
        <v/>
      </c>
    </row>
    <row r="530">
      <c r="G530" s="7" t="str">
        <f>IFERROR(__xludf.DUMMYFUNCTION("""COMPUTED_VALUE"""),"")</f>
        <v/>
      </c>
    </row>
    <row r="531">
      <c r="G531" s="7" t="str">
        <f>IFERROR(__xludf.DUMMYFUNCTION("""COMPUTED_VALUE"""),"")</f>
        <v/>
      </c>
    </row>
    <row r="532">
      <c r="G532" s="7" t="str">
        <f>IFERROR(__xludf.DUMMYFUNCTION("""COMPUTED_VALUE"""),"")</f>
        <v/>
      </c>
    </row>
    <row r="533">
      <c r="G533" s="7" t="str">
        <f>IFERROR(__xludf.DUMMYFUNCTION("""COMPUTED_VALUE"""),"")</f>
        <v/>
      </c>
    </row>
    <row r="534">
      <c r="G534" s="7" t="str">
        <f>IFERROR(__xludf.DUMMYFUNCTION("""COMPUTED_VALUE"""),"")</f>
        <v/>
      </c>
    </row>
    <row r="535">
      <c r="G535" s="7" t="str">
        <f>IFERROR(__xludf.DUMMYFUNCTION("""COMPUTED_VALUE"""),"")</f>
        <v/>
      </c>
    </row>
    <row r="536">
      <c r="G536" s="7" t="str">
        <f>IFERROR(__xludf.DUMMYFUNCTION("""COMPUTED_VALUE"""),"")</f>
        <v/>
      </c>
    </row>
    <row r="537">
      <c r="G537" s="7" t="str">
        <f>IFERROR(__xludf.DUMMYFUNCTION("""COMPUTED_VALUE"""),"")</f>
        <v/>
      </c>
    </row>
    <row r="538">
      <c r="G538" s="7" t="str">
        <f>IFERROR(__xludf.DUMMYFUNCTION("""COMPUTED_VALUE"""),"")</f>
        <v/>
      </c>
    </row>
    <row r="539">
      <c r="G539" s="7" t="str">
        <f>IFERROR(__xludf.DUMMYFUNCTION("""COMPUTED_VALUE"""),"")</f>
        <v/>
      </c>
    </row>
    <row r="540">
      <c r="G540" s="7" t="str">
        <f>IFERROR(__xludf.DUMMYFUNCTION("""COMPUTED_VALUE"""),"")</f>
        <v/>
      </c>
    </row>
    <row r="541">
      <c r="G541" s="7" t="str">
        <f>IFERROR(__xludf.DUMMYFUNCTION("""COMPUTED_VALUE"""),"")</f>
        <v/>
      </c>
    </row>
    <row r="542">
      <c r="G542" s="7" t="str">
        <f>IFERROR(__xludf.DUMMYFUNCTION("""COMPUTED_VALUE"""),"")</f>
        <v/>
      </c>
    </row>
    <row r="543">
      <c r="G543" s="7" t="str">
        <f>IFERROR(__xludf.DUMMYFUNCTION("""COMPUTED_VALUE"""),"")</f>
        <v/>
      </c>
    </row>
    <row r="544">
      <c r="G544" s="7" t="str">
        <f>IFERROR(__xludf.DUMMYFUNCTION("""COMPUTED_VALUE"""),"")</f>
        <v/>
      </c>
    </row>
    <row r="545">
      <c r="G545" s="7" t="str">
        <f>IFERROR(__xludf.DUMMYFUNCTION("""COMPUTED_VALUE"""),"")</f>
        <v/>
      </c>
    </row>
    <row r="546">
      <c r="G546" s="7" t="str">
        <f>IFERROR(__xludf.DUMMYFUNCTION("""COMPUTED_VALUE"""),"")</f>
        <v/>
      </c>
    </row>
    <row r="547">
      <c r="G547" s="7" t="str">
        <f>IFERROR(__xludf.DUMMYFUNCTION("""COMPUTED_VALUE"""),"")</f>
        <v/>
      </c>
    </row>
    <row r="548">
      <c r="G548" s="7" t="str">
        <f>IFERROR(__xludf.DUMMYFUNCTION("""COMPUTED_VALUE"""),"")</f>
        <v/>
      </c>
    </row>
    <row r="549">
      <c r="G549" s="7" t="str">
        <f>IFERROR(__xludf.DUMMYFUNCTION("""COMPUTED_VALUE"""),"")</f>
        <v/>
      </c>
    </row>
    <row r="550">
      <c r="G550" s="7" t="str">
        <f>IFERROR(__xludf.DUMMYFUNCTION("""COMPUTED_VALUE"""),"")</f>
        <v/>
      </c>
    </row>
    <row r="551">
      <c r="G551" s="7" t="str">
        <f>IFERROR(__xludf.DUMMYFUNCTION("""COMPUTED_VALUE"""),"")</f>
        <v/>
      </c>
    </row>
    <row r="552">
      <c r="G552" s="7" t="str">
        <f>IFERROR(__xludf.DUMMYFUNCTION("""COMPUTED_VALUE"""),"")</f>
        <v/>
      </c>
    </row>
    <row r="553">
      <c r="G553" s="7" t="str">
        <f>IFERROR(__xludf.DUMMYFUNCTION("""COMPUTED_VALUE"""),"")</f>
        <v/>
      </c>
    </row>
    <row r="554">
      <c r="G554" s="7" t="str">
        <f>IFERROR(__xludf.DUMMYFUNCTION("""COMPUTED_VALUE"""),"")</f>
        <v/>
      </c>
    </row>
    <row r="555">
      <c r="G555" s="7" t="str">
        <f>IFERROR(__xludf.DUMMYFUNCTION("""COMPUTED_VALUE"""),"")</f>
        <v/>
      </c>
    </row>
    <row r="556">
      <c r="G556" s="7" t="str">
        <f>IFERROR(__xludf.DUMMYFUNCTION("""COMPUTED_VALUE"""),"")</f>
        <v/>
      </c>
    </row>
    <row r="557">
      <c r="G557" s="7" t="str">
        <f>IFERROR(__xludf.DUMMYFUNCTION("""COMPUTED_VALUE"""),"")</f>
        <v/>
      </c>
    </row>
    <row r="558">
      <c r="G558" s="7" t="str">
        <f>IFERROR(__xludf.DUMMYFUNCTION("""COMPUTED_VALUE"""),"")</f>
        <v/>
      </c>
    </row>
    <row r="559">
      <c r="G559" s="7" t="str">
        <f>IFERROR(__xludf.DUMMYFUNCTION("""COMPUTED_VALUE"""),"")</f>
        <v/>
      </c>
    </row>
    <row r="560">
      <c r="G560" s="7" t="str">
        <f>IFERROR(__xludf.DUMMYFUNCTION("""COMPUTED_VALUE"""),"")</f>
        <v/>
      </c>
    </row>
    <row r="561">
      <c r="G561" s="7" t="str">
        <f>IFERROR(__xludf.DUMMYFUNCTION("""COMPUTED_VALUE"""),"")</f>
        <v/>
      </c>
    </row>
    <row r="562">
      <c r="G562" s="7" t="str">
        <f>IFERROR(__xludf.DUMMYFUNCTION("""COMPUTED_VALUE"""),"")</f>
        <v/>
      </c>
    </row>
    <row r="563">
      <c r="G563" s="7" t="str">
        <f>IFERROR(__xludf.DUMMYFUNCTION("""COMPUTED_VALUE"""),"")</f>
        <v/>
      </c>
    </row>
    <row r="564">
      <c r="G564" s="7" t="str">
        <f>IFERROR(__xludf.DUMMYFUNCTION("""COMPUTED_VALUE"""),"")</f>
        <v/>
      </c>
    </row>
    <row r="565">
      <c r="G565" s="7" t="str">
        <f>IFERROR(__xludf.DUMMYFUNCTION("""COMPUTED_VALUE"""),"")</f>
        <v/>
      </c>
    </row>
    <row r="566">
      <c r="G566" s="7" t="str">
        <f>IFERROR(__xludf.DUMMYFUNCTION("""COMPUTED_VALUE"""),"")</f>
        <v/>
      </c>
    </row>
    <row r="567">
      <c r="G567" s="7" t="str">
        <f>IFERROR(__xludf.DUMMYFUNCTION("""COMPUTED_VALUE"""),"")</f>
        <v/>
      </c>
    </row>
    <row r="568">
      <c r="G568" s="7" t="str">
        <f>IFERROR(__xludf.DUMMYFUNCTION("""COMPUTED_VALUE"""),"")</f>
        <v/>
      </c>
    </row>
    <row r="569">
      <c r="G569" s="7" t="str">
        <f>IFERROR(__xludf.DUMMYFUNCTION("""COMPUTED_VALUE"""),"")</f>
        <v/>
      </c>
    </row>
    <row r="570">
      <c r="G570" s="7" t="str">
        <f>IFERROR(__xludf.DUMMYFUNCTION("""COMPUTED_VALUE"""),"")</f>
        <v/>
      </c>
    </row>
    <row r="571">
      <c r="G571" s="7" t="str">
        <f>IFERROR(__xludf.DUMMYFUNCTION("""COMPUTED_VALUE"""),"")</f>
        <v/>
      </c>
    </row>
    <row r="572">
      <c r="G572" s="7" t="str">
        <f>IFERROR(__xludf.DUMMYFUNCTION("""COMPUTED_VALUE"""),"")</f>
        <v/>
      </c>
    </row>
    <row r="573">
      <c r="G573" s="7" t="str">
        <f>IFERROR(__xludf.DUMMYFUNCTION("""COMPUTED_VALUE"""),"")</f>
        <v/>
      </c>
    </row>
    <row r="574">
      <c r="G574" s="7" t="str">
        <f>IFERROR(__xludf.DUMMYFUNCTION("""COMPUTED_VALUE"""),"")</f>
        <v/>
      </c>
    </row>
    <row r="575">
      <c r="G575" s="7" t="str">
        <f>IFERROR(__xludf.DUMMYFUNCTION("""COMPUTED_VALUE"""),"")</f>
        <v/>
      </c>
    </row>
    <row r="576">
      <c r="G576" s="7" t="str">
        <f>IFERROR(__xludf.DUMMYFUNCTION("""COMPUTED_VALUE"""),"")</f>
        <v/>
      </c>
    </row>
    <row r="577">
      <c r="G577" s="7" t="str">
        <f>IFERROR(__xludf.DUMMYFUNCTION("""COMPUTED_VALUE"""),"")</f>
        <v/>
      </c>
    </row>
    <row r="578">
      <c r="G578" s="7" t="str">
        <f>IFERROR(__xludf.DUMMYFUNCTION("""COMPUTED_VALUE"""),"")</f>
        <v/>
      </c>
    </row>
    <row r="579">
      <c r="G579" s="7" t="str">
        <f>IFERROR(__xludf.DUMMYFUNCTION("""COMPUTED_VALUE"""),"")</f>
        <v/>
      </c>
    </row>
    <row r="580">
      <c r="G580" s="7" t="str">
        <f>IFERROR(__xludf.DUMMYFUNCTION("""COMPUTED_VALUE"""),"")</f>
        <v/>
      </c>
    </row>
    <row r="581">
      <c r="G581" s="7" t="str">
        <f>IFERROR(__xludf.DUMMYFUNCTION("""COMPUTED_VALUE"""),"")</f>
        <v/>
      </c>
    </row>
    <row r="582">
      <c r="G582" s="7" t="str">
        <f>IFERROR(__xludf.DUMMYFUNCTION("""COMPUTED_VALUE"""),"")</f>
        <v/>
      </c>
    </row>
    <row r="583">
      <c r="G583" s="7" t="str">
        <f>IFERROR(__xludf.DUMMYFUNCTION("""COMPUTED_VALUE"""),"")</f>
        <v/>
      </c>
    </row>
    <row r="584">
      <c r="G584" s="7" t="str">
        <f>IFERROR(__xludf.DUMMYFUNCTION("""COMPUTED_VALUE"""),"")</f>
        <v/>
      </c>
    </row>
    <row r="585">
      <c r="G585" s="7" t="str">
        <f>IFERROR(__xludf.DUMMYFUNCTION("""COMPUTED_VALUE"""),"")</f>
        <v/>
      </c>
    </row>
    <row r="586">
      <c r="G586" s="7" t="str">
        <f>IFERROR(__xludf.DUMMYFUNCTION("""COMPUTED_VALUE"""),"")</f>
        <v/>
      </c>
    </row>
    <row r="587">
      <c r="G587" s="7" t="str">
        <f>IFERROR(__xludf.DUMMYFUNCTION("""COMPUTED_VALUE"""),"")</f>
        <v/>
      </c>
    </row>
    <row r="588">
      <c r="G588" s="7" t="str">
        <f>IFERROR(__xludf.DUMMYFUNCTION("""COMPUTED_VALUE"""),"")</f>
        <v/>
      </c>
    </row>
    <row r="589">
      <c r="G589" s="7" t="str">
        <f>IFERROR(__xludf.DUMMYFUNCTION("""COMPUTED_VALUE"""),"")</f>
        <v/>
      </c>
    </row>
    <row r="590">
      <c r="G590" s="7" t="str">
        <f>IFERROR(__xludf.DUMMYFUNCTION("""COMPUTED_VALUE"""),"")</f>
        <v/>
      </c>
    </row>
    <row r="591">
      <c r="G591" s="7" t="str">
        <f>IFERROR(__xludf.DUMMYFUNCTION("""COMPUTED_VALUE"""),"")</f>
        <v/>
      </c>
    </row>
    <row r="592">
      <c r="G592" s="7" t="str">
        <f>IFERROR(__xludf.DUMMYFUNCTION("""COMPUTED_VALUE"""),"")</f>
        <v/>
      </c>
    </row>
    <row r="593">
      <c r="G593" s="7" t="str">
        <f>IFERROR(__xludf.DUMMYFUNCTION("""COMPUTED_VALUE"""),"")</f>
        <v/>
      </c>
    </row>
    <row r="594">
      <c r="G594" s="7" t="str">
        <f>IFERROR(__xludf.DUMMYFUNCTION("""COMPUTED_VALUE"""),"")</f>
        <v/>
      </c>
    </row>
    <row r="595">
      <c r="G595" s="7" t="str">
        <f>IFERROR(__xludf.DUMMYFUNCTION("""COMPUTED_VALUE"""),"")</f>
        <v/>
      </c>
    </row>
    <row r="596">
      <c r="G596" s="7" t="str">
        <f>IFERROR(__xludf.DUMMYFUNCTION("""COMPUTED_VALUE"""),"")</f>
        <v/>
      </c>
    </row>
    <row r="597">
      <c r="G597" s="7" t="str">
        <f>IFERROR(__xludf.DUMMYFUNCTION("""COMPUTED_VALUE"""),"")</f>
        <v/>
      </c>
    </row>
    <row r="598">
      <c r="G598" s="7" t="str">
        <f>IFERROR(__xludf.DUMMYFUNCTION("""COMPUTED_VALUE"""),"")</f>
        <v/>
      </c>
    </row>
    <row r="599">
      <c r="G599" s="7" t="str">
        <f>IFERROR(__xludf.DUMMYFUNCTION("""COMPUTED_VALUE"""),"")</f>
        <v/>
      </c>
    </row>
    <row r="600">
      <c r="G600" s="7" t="str">
        <f>IFERROR(__xludf.DUMMYFUNCTION("""COMPUTED_VALUE"""),"")</f>
        <v/>
      </c>
    </row>
    <row r="601">
      <c r="G601" s="7" t="str">
        <f>IFERROR(__xludf.DUMMYFUNCTION("""COMPUTED_VALUE"""),"")</f>
        <v/>
      </c>
    </row>
    <row r="602">
      <c r="G602" s="7" t="str">
        <f>IFERROR(__xludf.DUMMYFUNCTION("""COMPUTED_VALUE"""),"")</f>
        <v/>
      </c>
    </row>
    <row r="603">
      <c r="G603" s="7" t="str">
        <f>IFERROR(__xludf.DUMMYFUNCTION("""COMPUTED_VALUE"""),"")</f>
        <v/>
      </c>
    </row>
    <row r="604">
      <c r="G604" s="7" t="str">
        <f>IFERROR(__xludf.DUMMYFUNCTION("""COMPUTED_VALUE"""),"")</f>
        <v/>
      </c>
    </row>
    <row r="605">
      <c r="G605" s="7" t="str">
        <f>IFERROR(__xludf.DUMMYFUNCTION("""COMPUTED_VALUE"""),"")</f>
        <v/>
      </c>
    </row>
    <row r="606">
      <c r="G606" s="7" t="str">
        <f>IFERROR(__xludf.DUMMYFUNCTION("""COMPUTED_VALUE"""),"")</f>
        <v/>
      </c>
    </row>
    <row r="607">
      <c r="G607" s="7" t="str">
        <f>IFERROR(__xludf.DUMMYFUNCTION("""COMPUTED_VALUE"""),"")</f>
        <v/>
      </c>
    </row>
    <row r="608">
      <c r="G608" s="7" t="str">
        <f>IFERROR(__xludf.DUMMYFUNCTION("""COMPUTED_VALUE"""),"")</f>
        <v/>
      </c>
    </row>
    <row r="609">
      <c r="G609" s="7" t="str">
        <f>IFERROR(__xludf.DUMMYFUNCTION("""COMPUTED_VALUE"""),"")</f>
        <v/>
      </c>
    </row>
    <row r="610">
      <c r="G610" s="7" t="str">
        <f>IFERROR(__xludf.DUMMYFUNCTION("""COMPUTED_VALUE"""),"")</f>
        <v/>
      </c>
    </row>
    <row r="611">
      <c r="G611" s="7" t="str">
        <f>IFERROR(__xludf.DUMMYFUNCTION("""COMPUTED_VALUE"""),"")</f>
        <v/>
      </c>
    </row>
    <row r="612">
      <c r="G612" s="7" t="str">
        <f>IFERROR(__xludf.DUMMYFUNCTION("""COMPUTED_VALUE"""),"")</f>
        <v/>
      </c>
    </row>
    <row r="613">
      <c r="G613" s="7" t="str">
        <f>IFERROR(__xludf.DUMMYFUNCTION("""COMPUTED_VALUE"""),"")</f>
        <v/>
      </c>
    </row>
    <row r="614">
      <c r="G614" s="7" t="str">
        <f>IFERROR(__xludf.DUMMYFUNCTION("""COMPUTED_VALUE"""),"")</f>
        <v/>
      </c>
    </row>
    <row r="615">
      <c r="G615" s="7" t="str">
        <f>IFERROR(__xludf.DUMMYFUNCTION("""COMPUTED_VALUE"""),"")</f>
        <v/>
      </c>
    </row>
    <row r="616">
      <c r="G616" s="7" t="str">
        <f>IFERROR(__xludf.DUMMYFUNCTION("""COMPUTED_VALUE"""),"")</f>
        <v/>
      </c>
    </row>
    <row r="617">
      <c r="G617" s="7" t="str">
        <f>IFERROR(__xludf.DUMMYFUNCTION("""COMPUTED_VALUE"""),"")</f>
        <v/>
      </c>
    </row>
    <row r="618">
      <c r="G618" s="7" t="str">
        <f>IFERROR(__xludf.DUMMYFUNCTION("""COMPUTED_VALUE"""),"")</f>
        <v/>
      </c>
    </row>
    <row r="619">
      <c r="G619" s="7" t="str">
        <f>IFERROR(__xludf.DUMMYFUNCTION("""COMPUTED_VALUE"""),"")</f>
        <v/>
      </c>
    </row>
    <row r="620">
      <c r="G620" s="7" t="str">
        <f>IFERROR(__xludf.DUMMYFUNCTION("""COMPUTED_VALUE"""),"")</f>
        <v/>
      </c>
    </row>
    <row r="621">
      <c r="G621" s="7" t="str">
        <f>IFERROR(__xludf.DUMMYFUNCTION("""COMPUTED_VALUE"""),"")</f>
        <v/>
      </c>
    </row>
    <row r="622">
      <c r="G622" s="7" t="str">
        <f>IFERROR(__xludf.DUMMYFUNCTION("""COMPUTED_VALUE"""),"")</f>
        <v/>
      </c>
    </row>
    <row r="623">
      <c r="G623" s="7" t="str">
        <f>IFERROR(__xludf.DUMMYFUNCTION("""COMPUTED_VALUE"""),"")</f>
        <v/>
      </c>
    </row>
    <row r="624">
      <c r="G624" s="7" t="str">
        <f>IFERROR(__xludf.DUMMYFUNCTION("""COMPUTED_VALUE"""),"")</f>
        <v/>
      </c>
    </row>
    <row r="625">
      <c r="G625" s="7" t="str">
        <f>IFERROR(__xludf.DUMMYFUNCTION("""COMPUTED_VALUE"""),"")</f>
        <v/>
      </c>
    </row>
    <row r="626">
      <c r="G626" s="7" t="str">
        <f>IFERROR(__xludf.DUMMYFUNCTION("""COMPUTED_VALUE"""),"")</f>
        <v/>
      </c>
    </row>
    <row r="627">
      <c r="G627" s="7" t="str">
        <f>IFERROR(__xludf.DUMMYFUNCTION("""COMPUTED_VALUE"""),"")</f>
        <v/>
      </c>
    </row>
    <row r="628">
      <c r="G628" s="7" t="str">
        <f>IFERROR(__xludf.DUMMYFUNCTION("""COMPUTED_VALUE"""),"")</f>
        <v/>
      </c>
    </row>
    <row r="629">
      <c r="G629" s="7" t="str">
        <f>IFERROR(__xludf.DUMMYFUNCTION("""COMPUTED_VALUE"""),"")</f>
        <v/>
      </c>
    </row>
    <row r="630">
      <c r="G630" s="7" t="str">
        <f>IFERROR(__xludf.DUMMYFUNCTION("""COMPUTED_VALUE"""),"")</f>
        <v/>
      </c>
    </row>
    <row r="631">
      <c r="G631" s="7" t="str">
        <f>IFERROR(__xludf.DUMMYFUNCTION("""COMPUTED_VALUE"""),"")</f>
        <v/>
      </c>
    </row>
    <row r="632">
      <c r="G632" s="7" t="str">
        <f>IFERROR(__xludf.DUMMYFUNCTION("""COMPUTED_VALUE"""),"")</f>
        <v/>
      </c>
    </row>
    <row r="633">
      <c r="G633" s="7" t="str">
        <f>IFERROR(__xludf.DUMMYFUNCTION("""COMPUTED_VALUE"""),"")</f>
        <v/>
      </c>
    </row>
    <row r="634">
      <c r="G634" s="7" t="str">
        <f>IFERROR(__xludf.DUMMYFUNCTION("""COMPUTED_VALUE"""),"")</f>
        <v/>
      </c>
    </row>
    <row r="635">
      <c r="G635" s="7" t="str">
        <f>IFERROR(__xludf.DUMMYFUNCTION("""COMPUTED_VALUE"""),"")</f>
        <v/>
      </c>
    </row>
    <row r="636">
      <c r="G636" s="7" t="str">
        <f>IFERROR(__xludf.DUMMYFUNCTION("""COMPUTED_VALUE"""),"")</f>
        <v/>
      </c>
    </row>
    <row r="637">
      <c r="G637" s="7" t="str">
        <f>IFERROR(__xludf.DUMMYFUNCTION("""COMPUTED_VALUE"""),"")</f>
        <v/>
      </c>
    </row>
    <row r="638">
      <c r="G638" s="7" t="str">
        <f>IFERROR(__xludf.DUMMYFUNCTION("""COMPUTED_VALUE"""),"")</f>
        <v/>
      </c>
    </row>
    <row r="639">
      <c r="G639" s="7" t="str">
        <f>IFERROR(__xludf.DUMMYFUNCTION("""COMPUTED_VALUE"""),"")</f>
        <v/>
      </c>
    </row>
    <row r="640">
      <c r="G640" s="7" t="str">
        <f>IFERROR(__xludf.DUMMYFUNCTION("""COMPUTED_VALUE"""),"")</f>
        <v/>
      </c>
    </row>
    <row r="641">
      <c r="G641" s="7" t="str">
        <f>IFERROR(__xludf.DUMMYFUNCTION("""COMPUTED_VALUE"""),"")</f>
        <v/>
      </c>
    </row>
    <row r="642">
      <c r="G642" s="7" t="str">
        <f>IFERROR(__xludf.DUMMYFUNCTION("""COMPUTED_VALUE"""),"")</f>
        <v/>
      </c>
    </row>
    <row r="643">
      <c r="G643" s="7" t="str">
        <f>IFERROR(__xludf.DUMMYFUNCTION("""COMPUTED_VALUE"""),"")</f>
        <v/>
      </c>
    </row>
    <row r="644">
      <c r="G644" s="7" t="str">
        <f>IFERROR(__xludf.DUMMYFUNCTION("""COMPUTED_VALUE"""),"")</f>
        <v/>
      </c>
    </row>
    <row r="645">
      <c r="G645" s="7" t="str">
        <f>IFERROR(__xludf.DUMMYFUNCTION("""COMPUTED_VALUE"""),"")</f>
        <v/>
      </c>
    </row>
    <row r="646">
      <c r="G646" s="7" t="str">
        <f>IFERROR(__xludf.DUMMYFUNCTION("""COMPUTED_VALUE"""),"")</f>
        <v/>
      </c>
    </row>
    <row r="647">
      <c r="G647" s="7" t="str">
        <f>IFERROR(__xludf.DUMMYFUNCTION("""COMPUTED_VALUE"""),"")</f>
        <v/>
      </c>
    </row>
    <row r="648">
      <c r="G648" s="7" t="str">
        <f>IFERROR(__xludf.DUMMYFUNCTION("""COMPUTED_VALUE"""),"")</f>
        <v/>
      </c>
    </row>
    <row r="649">
      <c r="G649" s="7" t="str">
        <f>IFERROR(__xludf.DUMMYFUNCTION("""COMPUTED_VALUE"""),"")</f>
        <v/>
      </c>
    </row>
    <row r="650">
      <c r="G650" s="7" t="str">
        <f>IFERROR(__xludf.DUMMYFUNCTION("""COMPUTED_VALUE"""),"")</f>
        <v/>
      </c>
    </row>
    <row r="651">
      <c r="G651" s="7" t="str">
        <f>IFERROR(__xludf.DUMMYFUNCTION("""COMPUTED_VALUE"""),"")</f>
        <v/>
      </c>
    </row>
    <row r="652">
      <c r="G652" s="7" t="str">
        <f>IFERROR(__xludf.DUMMYFUNCTION("""COMPUTED_VALUE"""),"")</f>
        <v/>
      </c>
    </row>
    <row r="653">
      <c r="G653" s="7" t="str">
        <f>IFERROR(__xludf.DUMMYFUNCTION("""COMPUTED_VALUE"""),"")</f>
        <v/>
      </c>
    </row>
    <row r="654">
      <c r="G654" s="7" t="str">
        <f>IFERROR(__xludf.DUMMYFUNCTION("""COMPUTED_VALUE"""),"")</f>
        <v/>
      </c>
    </row>
    <row r="655">
      <c r="G655" s="7" t="str">
        <f>IFERROR(__xludf.DUMMYFUNCTION("""COMPUTED_VALUE"""),"")</f>
        <v/>
      </c>
    </row>
    <row r="656">
      <c r="G656" s="7" t="str">
        <f>IFERROR(__xludf.DUMMYFUNCTION("""COMPUTED_VALUE"""),"")</f>
        <v/>
      </c>
    </row>
    <row r="657">
      <c r="G657" s="7" t="str">
        <f>IFERROR(__xludf.DUMMYFUNCTION("""COMPUTED_VALUE"""),"")</f>
        <v/>
      </c>
    </row>
    <row r="658">
      <c r="G658" s="7" t="str">
        <f>IFERROR(__xludf.DUMMYFUNCTION("""COMPUTED_VALUE"""),"")</f>
        <v/>
      </c>
    </row>
    <row r="659">
      <c r="G659" s="7" t="str">
        <f>IFERROR(__xludf.DUMMYFUNCTION("""COMPUTED_VALUE"""),"")</f>
        <v/>
      </c>
    </row>
    <row r="660">
      <c r="G660" s="7" t="str">
        <f>IFERROR(__xludf.DUMMYFUNCTION("""COMPUTED_VALUE"""),"")</f>
        <v/>
      </c>
    </row>
    <row r="661">
      <c r="G661" s="7" t="str">
        <f>IFERROR(__xludf.DUMMYFUNCTION("""COMPUTED_VALUE"""),"")</f>
        <v/>
      </c>
    </row>
    <row r="662">
      <c r="G662" s="7" t="str">
        <f>IFERROR(__xludf.DUMMYFUNCTION("""COMPUTED_VALUE"""),"")</f>
        <v/>
      </c>
    </row>
    <row r="663">
      <c r="G663" s="7" t="str">
        <f>IFERROR(__xludf.DUMMYFUNCTION("""COMPUTED_VALUE"""),"")</f>
        <v/>
      </c>
    </row>
    <row r="664">
      <c r="G664" s="7" t="str">
        <f>IFERROR(__xludf.DUMMYFUNCTION("""COMPUTED_VALUE"""),"")</f>
        <v/>
      </c>
    </row>
    <row r="665">
      <c r="G665" s="7" t="str">
        <f>IFERROR(__xludf.DUMMYFUNCTION("""COMPUTED_VALUE"""),"")</f>
        <v/>
      </c>
    </row>
    <row r="666">
      <c r="G666" s="7" t="str">
        <f>IFERROR(__xludf.DUMMYFUNCTION("""COMPUTED_VALUE"""),"")</f>
        <v/>
      </c>
    </row>
    <row r="667">
      <c r="G667" s="7" t="str">
        <f>IFERROR(__xludf.DUMMYFUNCTION("""COMPUTED_VALUE"""),"")</f>
        <v/>
      </c>
    </row>
    <row r="668">
      <c r="G668" s="7" t="str">
        <f>IFERROR(__xludf.DUMMYFUNCTION("""COMPUTED_VALUE"""),"")</f>
        <v/>
      </c>
    </row>
    <row r="669">
      <c r="G669" s="7" t="str">
        <f>IFERROR(__xludf.DUMMYFUNCTION("""COMPUTED_VALUE"""),"")</f>
        <v/>
      </c>
    </row>
    <row r="670">
      <c r="G670" s="7" t="str">
        <f>IFERROR(__xludf.DUMMYFUNCTION("""COMPUTED_VALUE"""),"")</f>
        <v/>
      </c>
    </row>
    <row r="671">
      <c r="G671" s="7" t="str">
        <f>IFERROR(__xludf.DUMMYFUNCTION("""COMPUTED_VALUE"""),"")</f>
        <v/>
      </c>
    </row>
    <row r="672">
      <c r="G672" s="7" t="str">
        <f>IFERROR(__xludf.DUMMYFUNCTION("""COMPUTED_VALUE"""),"")</f>
        <v/>
      </c>
    </row>
    <row r="673">
      <c r="G673" s="7" t="str">
        <f>IFERROR(__xludf.DUMMYFUNCTION("""COMPUTED_VALUE"""),"")</f>
        <v/>
      </c>
    </row>
    <row r="674">
      <c r="G674" s="7" t="str">
        <f>IFERROR(__xludf.DUMMYFUNCTION("""COMPUTED_VALUE"""),"")</f>
        <v/>
      </c>
    </row>
    <row r="675">
      <c r="G675" s="7" t="str">
        <f>IFERROR(__xludf.DUMMYFUNCTION("""COMPUTED_VALUE"""),"")</f>
        <v/>
      </c>
    </row>
    <row r="676">
      <c r="G676" s="7" t="str">
        <f>IFERROR(__xludf.DUMMYFUNCTION("""COMPUTED_VALUE"""),"")</f>
        <v/>
      </c>
    </row>
    <row r="677">
      <c r="G677" s="7" t="str">
        <f>IFERROR(__xludf.DUMMYFUNCTION("""COMPUTED_VALUE"""),"")</f>
        <v/>
      </c>
    </row>
    <row r="678">
      <c r="G678" s="7" t="str">
        <f>IFERROR(__xludf.DUMMYFUNCTION("""COMPUTED_VALUE"""),"")</f>
        <v/>
      </c>
    </row>
    <row r="679">
      <c r="G679" s="7" t="str">
        <f>IFERROR(__xludf.DUMMYFUNCTION("""COMPUTED_VALUE"""),"")</f>
        <v/>
      </c>
    </row>
    <row r="680">
      <c r="G680" s="7" t="str">
        <f>IFERROR(__xludf.DUMMYFUNCTION("""COMPUTED_VALUE"""),"")</f>
        <v/>
      </c>
    </row>
    <row r="681">
      <c r="G681" s="7" t="str">
        <f>IFERROR(__xludf.DUMMYFUNCTION("""COMPUTED_VALUE"""),"")</f>
        <v/>
      </c>
    </row>
    <row r="682">
      <c r="G682" s="7" t="str">
        <f>IFERROR(__xludf.DUMMYFUNCTION("""COMPUTED_VALUE"""),"")</f>
        <v/>
      </c>
    </row>
    <row r="683">
      <c r="G683" s="7" t="str">
        <f>IFERROR(__xludf.DUMMYFUNCTION("""COMPUTED_VALUE"""),"")</f>
        <v/>
      </c>
    </row>
    <row r="684">
      <c r="G684" s="7" t="str">
        <f>IFERROR(__xludf.DUMMYFUNCTION("""COMPUTED_VALUE"""),"")</f>
        <v/>
      </c>
    </row>
    <row r="685">
      <c r="G685" s="7" t="str">
        <f>IFERROR(__xludf.DUMMYFUNCTION("""COMPUTED_VALUE"""),"")</f>
        <v/>
      </c>
    </row>
    <row r="686">
      <c r="G686" s="7" t="str">
        <f>IFERROR(__xludf.DUMMYFUNCTION("""COMPUTED_VALUE"""),"")</f>
        <v/>
      </c>
    </row>
    <row r="687">
      <c r="G687" s="7" t="str">
        <f>IFERROR(__xludf.DUMMYFUNCTION("""COMPUTED_VALUE"""),"")</f>
        <v/>
      </c>
    </row>
    <row r="688">
      <c r="G688" s="7" t="str">
        <f>IFERROR(__xludf.DUMMYFUNCTION("""COMPUTED_VALUE"""),"")</f>
        <v/>
      </c>
    </row>
    <row r="689">
      <c r="G689" s="7" t="str">
        <f>IFERROR(__xludf.DUMMYFUNCTION("""COMPUTED_VALUE"""),"")</f>
        <v/>
      </c>
    </row>
    <row r="690">
      <c r="G690" s="7" t="str">
        <f>IFERROR(__xludf.DUMMYFUNCTION("""COMPUTED_VALUE"""),"")</f>
        <v/>
      </c>
    </row>
    <row r="691">
      <c r="G691" s="7" t="str">
        <f>IFERROR(__xludf.DUMMYFUNCTION("""COMPUTED_VALUE"""),"")</f>
        <v/>
      </c>
    </row>
    <row r="692">
      <c r="G692" s="7" t="str">
        <f>IFERROR(__xludf.DUMMYFUNCTION("""COMPUTED_VALUE"""),"")</f>
        <v/>
      </c>
    </row>
    <row r="693">
      <c r="G693" s="7" t="str">
        <f>IFERROR(__xludf.DUMMYFUNCTION("""COMPUTED_VALUE"""),"")</f>
        <v/>
      </c>
    </row>
    <row r="694">
      <c r="G694" s="7" t="str">
        <f>IFERROR(__xludf.DUMMYFUNCTION("""COMPUTED_VALUE"""),"")</f>
        <v/>
      </c>
    </row>
    <row r="695">
      <c r="G695" s="7" t="str">
        <f>IFERROR(__xludf.DUMMYFUNCTION("""COMPUTED_VALUE"""),"")</f>
        <v/>
      </c>
    </row>
    <row r="696">
      <c r="G696" s="7" t="str">
        <f>IFERROR(__xludf.DUMMYFUNCTION("""COMPUTED_VALUE"""),"")</f>
        <v/>
      </c>
    </row>
    <row r="697">
      <c r="G697" s="7" t="str">
        <f>IFERROR(__xludf.DUMMYFUNCTION("""COMPUTED_VALUE"""),"")</f>
        <v/>
      </c>
    </row>
    <row r="698">
      <c r="G698" s="7" t="str">
        <f>IFERROR(__xludf.DUMMYFUNCTION("""COMPUTED_VALUE"""),"")</f>
        <v/>
      </c>
    </row>
    <row r="699">
      <c r="G699" s="7" t="str">
        <f>IFERROR(__xludf.DUMMYFUNCTION("""COMPUTED_VALUE"""),"")</f>
        <v/>
      </c>
    </row>
    <row r="700">
      <c r="G700" s="7" t="str">
        <f>IFERROR(__xludf.DUMMYFUNCTION("""COMPUTED_VALUE"""),"")</f>
        <v/>
      </c>
    </row>
    <row r="701">
      <c r="G701" s="7" t="str">
        <f>IFERROR(__xludf.DUMMYFUNCTION("""COMPUTED_VALUE"""),"")</f>
        <v/>
      </c>
    </row>
    <row r="702">
      <c r="G702" s="7" t="str">
        <f>IFERROR(__xludf.DUMMYFUNCTION("""COMPUTED_VALUE"""),"")</f>
        <v/>
      </c>
    </row>
    <row r="703">
      <c r="G703" s="7" t="str">
        <f>IFERROR(__xludf.DUMMYFUNCTION("""COMPUTED_VALUE"""),"")</f>
        <v/>
      </c>
    </row>
    <row r="704">
      <c r="G704" s="7" t="str">
        <f>IFERROR(__xludf.DUMMYFUNCTION("""COMPUTED_VALUE"""),"")</f>
        <v/>
      </c>
    </row>
    <row r="705">
      <c r="G705" s="7" t="str">
        <f>IFERROR(__xludf.DUMMYFUNCTION("""COMPUTED_VALUE"""),"")</f>
        <v/>
      </c>
    </row>
    <row r="706">
      <c r="G706" s="7" t="str">
        <f>IFERROR(__xludf.DUMMYFUNCTION("""COMPUTED_VALUE"""),"")</f>
        <v/>
      </c>
    </row>
    <row r="707">
      <c r="G707" s="7" t="str">
        <f>IFERROR(__xludf.DUMMYFUNCTION("""COMPUTED_VALUE"""),"")</f>
        <v/>
      </c>
    </row>
    <row r="708">
      <c r="G708" s="7" t="str">
        <f>IFERROR(__xludf.DUMMYFUNCTION("""COMPUTED_VALUE"""),"")</f>
        <v/>
      </c>
    </row>
    <row r="709">
      <c r="G709" s="7" t="str">
        <f>IFERROR(__xludf.DUMMYFUNCTION("""COMPUTED_VALUE"""),"")</f>
        <v/>
      </c>
    </row>
    <row r="710">
      <c r="G710" s="7" t="str">
        <f>IFERROR(__xludf.DUMMYFUNCTION("""COMPUTED_VALUE"""),"")</f>
        <v/>
      </c>
    </row>
    <row r="711">
      <c r="G711" s="7" t="str">
        <f>IFERROR(__xludf.DUMMYFUNCTION("""COMPUTED_VALUE"""),"")</f>
        <v/>
      </c>
    </row>
    <row r="712">
      <c r="G712" s="7" t="str">
        <f>IFERROR(__xludf.DUMMYFUNCTION("""COMPUTED_VALUE"""),"")</f>
        <v/>
      </c>
    </row>
    <row r="713">
      <c r="G713" s="7" t="str">
        <f>IFERROR(__xludf.DUMMYFUNCTION("""COMPUTED_VALUE"""),"")</f>
        <v/>
      </c>
    </row>
    <row r="714">
      <c r="G714" s="7" t="str">
        <f>IFERROR(__xludf.DUMMYFUNCTION("""COMPUTED_VALUE"""),"")</f>
        <v/>
      </c>
    </row>
    <row r="715">
      <c r="G715" s="7" t="str">
        <f>IFERROR(__xludf.DUMMYFUNCTION("""COMPUTED_VALUE"""),"")</f>
        <v/>
      </c>
    </row>
    <row r="716">
      <c r="G716" s="7" t="str">
        <f>IFERROR(__xludf.DUMMYFUNCTION("""COMPUTED_VALUE"""),"")</f>
        <v/>
      </c>
    </row>
    <row r="717">
      <c r="G717" s="7" t="str">
        <f>IFERROR(__xludf.DUMMYFUNCTION("""COMPUTED_VALUE"""),"")</f>
        <v/>
      </c>
    </row>
    <row r="718">
      <c r="G718" s="7" t="str">
        <f>IFERROR(__xludf.DUMMYFUNCTION("""COMPUTED_VALUE"""),"")</f>
        <v/>
      </c>
    </row>
    <row r="719">
      <c r="G719" s="7" t="str">
        <f>IFERROR(__xludf.DUMMYFUNCTION("""COMPUTED_VALUE"""),"")</f>
        <v/>
      </c>
    </row>
    <row r="720">
      <c r="G720" s="7" t="str">
        <f>IFERROR(__xludf.DUMMYFUNCTION("""COMPUTED_VALUE"""),"")</f>
        <v/>
      </c>
    </row>
    <row r="721">
      <c r="G721" s="7" t="str">
        <f>IFERROR(__xludf.DUMMYFUNCTION("""COMPUTED_VALUE"""),"")</f>
        <v/>
      </c>
    </row>
    <row r="722">
      <c r="G722" s="7" t="str">
        <f>IFERROR(__xludf.DUMMYFUNCTION("""COMPUTED_VALUE"""),"")</f>
        <v/>
      </c>
    </row>
    <row r="723">
      <c r="G723" s="7" t="str">
        <f>IFERROR(__xludf.DUMMYFUNCTION("""COMPUTED_VALUE"""),"")</f>
        <v/>
      </c>
    </row>
    <row r="724">
      <c r="G724" s="7" t="str">
        <f>IFERROR(__xludf.DUMMYFUNCTION("""COMPUTED_VALUE"""),"")</f>
        <v/>
      </c>
    </row>
    <row r="725">
      <c r="G725" s="7" t="str">
        <f>IFERROR(__xludf.DUMMYFUNCTION("""COMPUTED_VALUE"""),"")</f>
        <v/>
      </c>
    </row>
    <row r="726">
      <c r="G726" s="7" t="str">
        <f>IFERROR(__xludf.DUMMYFUNCTION("""COMPUTED_VALUE"""),"")</f>
        <v/>
      </c>
    </row>
    <row r="727">
      <c r="G727" s="7" t="str">
        <f>IFERROR(__xludf.DUMMYFUNCTION("""COMPUTED_VALUE"""),"")</f>
        <v/>
      </c>
    </row>
    <row r="728">
      <c r="G728" s="7" t="str">
        <f>IFERROR(__xludf.DUMMYFUNCTION("""COMPUTED_VALUE"""),"")</f>
        <v/>
      </c>
    </row>
    <row r="729">
      <c r="G729" s="7" t="str">
        <f>IFERROR(__xludf.DUMMYFUNCTION("""COMPUTED_VALUE"""),"")</f>
        <v/>
      </c>
    </row>
    <row r="730">
      <c r="G730" s="7" t="str">
        <f>IFERROR(__xludf.DUMMYFUNCTION("""COMPUTED_VALUE"""),"")</f>
        <v/>
      </c>
    </row>
    <row r="731">
      <c r="G731" s="7" t="str">
        <f>IFERROR(__xludf.DUMMYFUNCTION("""COMPUTED_VALUE"""),"")</f>
        <v/>
      </c>
    </row>
    <row r="732">
      <c r="G732" s="7" t="str">
        <f>IFERROR(__xludf.DUMMYFUNCTION("""COMPUTED_VALUE"""),"")</f>
        <v/>
      </c>
    </row>
    <row r="733">
      <c r="G733" s="7" t="str">
        <f>IFERROR(__xludf.DUMMYFUNCTION("""COMPUTED_VALUE"""),"")</f>
        <v/>
      </c>
    </row>
    <row r="734">
      <c r="G734" s="7" t="str">
        <f>IFERROR(__xludf.DUMMYFUNCTION("""COMPUTED_VALUE"""),"")</f>
        <v/>
      </c>
    </row>
    <row r="735">
      <c r="G735" s="7" t="str">
        <f>IFERROR(__xludf.DUMMYFUNCTION("""COMPUTED_VALUE"""),"")</f>
        <v/>
      </c>
    </row>
    <row r="736">
      <c r="G736" s="7" t="str">
        <f>IFERROR(__xludf.DUMMYFUNCTION("""COMPUTED_VALUE"""),"")</f>
        <v/>
      </c>
    </row>
    <row r="737">
      <c r="G737" s="7" t="str">
        <f>IFERROR(__xludf.DUMMYFUNCTION("""COMPUTED_VALUE"""),"")</f>
        <v/>
      </c>
    </row>
    <row r="738">
      <c r="G738" s="7" t="str">
        <f>IFERROR(__xludf.DUMMYFUNCTION("""COMPUTED_VALUE"""),"")</f>
        <v/>
      </c>
    </row>
    <row r="739">
      <c r="G739" s="7" t="str">
        <f>IFERROR(__xludf.DUMMYFUNCTION("""COMPUTED_VALUE"""),"")</f>
        <v/>
      </c>
    </row>
    <row r="740">
      <c r="G740" s="7" t="str">
        <f>IFERROR(__xludf.DUMMYFUNCTION("""COMPUTED_VALUE"""),"")</f>
        <v/>
      </c>
    </row>
    <row r="741">
      <c r="G741" s="7" t="str">
        <f>IFERROR(__xludf.DUMMYFUNCTION("""COMPUTED_VALUE"""),"")</f>
        <v/>
      </c>
    </row>
    <row r="742">
      <c r="G742" s="7" t="str">
        <f>IFERROR(__xludf.DUMMYFUNCTION("""COMPUTED_VALUE"""),"")</f>
        <v/>
      </c>
    </row>
    <row r="743">
      <c r="G743" s="7" t="str">
        <f>IFERROR(__xludf.DUMMYFUNCTION("""COMPUTED_VALUE"""),"")</f>
        <v/>
      </c>
    </row>
    <row r="744">
      <c r="G744" s="7" t="str">
        <f>IFERROR(__xludf.DUMMYFUNCTION("""COMPUTED_VALUE"""),"")</f>
        <v/>
      </c>
    </row>
    <row r="745">
      <c r="G745" s="7" t="str">
        <f>IFERROR(__xludf.DUMMYFUNCTION("""COMPUTED_VALUE"""),"")</f>
        <v/>
      </c>
    </row>
    <row r="746">
      <c r="G746" s="7" t="str">
        <f>IFERROR(__xludf.DUMMYFUNCTION("""COMPUTED_VALUE"""),"")</f>
        <v/>
      </c>
    </row>
    <row r="747">
      <c r="G747" s="7" t="str">
        <f>IFERROR(__xludf.DUMMYFUNCTION("""COMPUTED_VALUE"""),"")</f>
        <v/>
      </c>
    </row>
    <row r="748">
      <c r="G748" s="7" t="str">
        <f>IFERROR(__xludf.DUMMYFUNCTION("""COMPUTED_VALUE"""),"")</f>
        <v/>
      </c>
    </row>
    <row r="749">
      <c r="G749" s="7" t="str">
        <f>IFERROR(__xludf.DUMMYFUNCTION("""COMPUTED_VALUE"""),"")</f>
        <v/>
      </c>
    </row>
    <row r="750">
      <c r="G750" s="7" t="str">
        <f>IFERROR(__xludf.DUMMYFUNCTION("""COMPUTED_VALUE"""),"")</f>
        <v/>
      </c>
    </row>
    <row r="751">
      <c r="G751" s="7" t="str">
        <f>IFERROR(__xludf.DUMMYFUNCTION("""COMPUTED_VALUE"""),"")</f>
        <v/>
      </c>
    </row>
    <row r="752">
      <c r="G752" s="7" t="str">
        <f>IFERROR(__xludf.DUMMYFUNCTION("""COMPUTED_VALUE"""),"")</f>
        <v/>
      </c>
    </row>
    <row r="753">
      <c r="G753" s="7" t="str">
        <f>IFERROR(__xludf.DUMMYFUNCTION("""COMPUTED_VALUE"""),"")</f>
        <v/>
      </c>
    </row>
    <row r="754">
      <c r="G754" s="7" t="str">
        <f>IFERROR(__xludf.DUMMYFUNCTION("""COMPUTED_VALUE"""),"")</f>
        <v/>
      </c>
    </row>
    <row r="755">
      <c r="G755" s="7" t="str">
        <f>IFERROR(__xludf.DUMMYFUNCTION("""COMPUTED_VALUE"""),"")</f>
        <v/>
      </c>
    </row>
    <row r="756">
      <c r="G756" s="7" t="str">
        <f>IFERROR(__xludf.DUMMYFUNCTION("""COMPUTED_VALUE"""),"")</f>
        <v/>
      </c>
    </row>
    <row r="757">
      <c r="G757" s="7" t="str">
        <f>IFERROR(__xludf.DUMMYFUNCTION("""COMPUTED_VALUE"""),"")</f>
        <v/>
      </c>
    </row>
    <row r="758">
      <c r="G758" s="7" t="str">
        <f>IFERROR(__xludf.DUMMYFUNCTION("""COMPUTED_VALUE"""),"")</f>
        <v/>
      </c>
    </row>
    <row r="759">
      <c r="G759" s="7" t="str">
        <f>IFERROR(__xludf.DUMMYFUNCTION("""COMPUTED_VALUE"""),"")</f>
        <v/>
      </c>
    </row>
    <row r="760">
      <c r="G760" s="7" t="str">
        <f>IFERROR(__xludf.DUMMYFUNCTION("""COMPUTED_VALUE"""),"")</f>
        <v/>
      </c>
    </row>
    <row r="761">
      <c r="G761" s="7" t="str">
        <f>IFERROR(__xludf.DUMMYFUNCTION("""COMPUTED_VALUE"""),"")</f>
        <v/>
      </c>
    </row>
    <row r="762">
      <c r="G762" s="7" t="str">
        <f>IFERROR(__xludf.DUMMYFUNCTION("""COMPUTED_VALUE"""),"")</f>
        <v/>
      </c>
    </row>
    <row r="763">
      <c r="G763" s="7" t="str">
        <f>IFERROR(__xludf.DUMMYFUNCTION("""COMPUTED_VALUE"""),"")</f>
        <v/>
      </c>
    </row>
    <row r="764">
      <c r="G764" s="7" t="str">
        <f>IFERROR(__xludf.DUMMYFUNCTION("""COMPUTED_VALUE"""),"")</f>
        <v/>
      </c>
    </row>
    <row r="765">
      <c r="G765" s="7" t="str">
        <f>IFERROR(__xludf.DUMMYFUNCTION("""COMPUTED_VALUE"""),"")</f>
        <v/>
      </c>
    </row>
    <row r="766">
      <c r="G766" s="7" t="str">
        <f>IFERROR(__xludf.DUMMYFUNCTION("""COMPUTED_VALUE"""),"")</f>
        <v/>
      </c>
    </row>
    <row r="767">
      <c r="G767" s="7" t="str">
        <f>IFERROR(__xludf.DUMMYFUNCTION("""COMPUTED_VALUE"""),"")</f>
        <v/>
      </c>
    </row>
    <row r="768">
      <c r="G768" s="7" t="str">
        <f>IFERROR(__xludf.DUMMYFUNCTION("""COMPUTED_VALUE"""),"")</f>
        <v/>
      </c>
    </row>
    <row r="769">
      <c r="G769" s="7" t="str">
        <f>IFERROR(__xludf.DUMMYFUNCTION("""COMPUTED_VALUE"""),"")</f>
        <v/>
      </c>
    </row>
    <row r="770">
      <c r="G770" s="7" t="str">
        <f>IFERROR(__xludf.DUMMYFUNCTION("""COMPUTED_VALUE"""),"")</f>
        <v/>
      </c>
    </row>
    <row r="771">
      <c r="G771" s="7" t="str">
        <f>IFERROR(__xludf.DUMMYFUNCTION("""COMPUTED_VALUE"""),"")</f>
        <v/>
      </c>
    </row>
    <row r="772">
      <c r="G772" s="7" t="str">
        <f>IFERROR(__xludf.DUMMYFUNCTION("""COMPUTED_VALUE"""),"")</f>
        <v/>
      </c>
    </row>
    <row r="773">
      <c r="G773" s="7" t="str">
        <f>IFERROR(__xludf.DUMMYFUNCTION("""COMPUTED_VALUE"""),"")</f>
        <v/>
      </c>
    </row>
    <row r="774">
      <c r="G774" s="7" t="str">
        <f>IFERROR(__xludf.DUMMYFUNCTION("""COMPUTED_VALUE"""),"")</f>
        <v/>
      </c>
    </row>
    <row r="775">
      <c r="G775" s="7" t="str">
        <f>IFERROR(__xludf.DUMMYFUNCTION("""COMPUTED_VALUE"""),"")</f>
        <v/>
      </c>
    </row>
    <row r="776">
      <c r="G776" s="7" t="str">
        <f>IFERROR(__xludf.DUMMYFUNCTION("""COMPUTED_VALUE"""),"")</f>
        <v/>
      </c>
    </row>
    <row r="777">
      <c r="G777" s="7" t="str">
        <f>IFERROR(__xludf.DUMMYFUNCTION("""COMPUTED_VALUE"""),"")</f>
        <v/>
      </c>
    </row>
    <row r="778">
      <c r="G778" s="7" t="str">
        <f>IFERROR(__xludf.DUMMYFUNCTION("""COMPUTED_VALUE"""),"")</f>
        <v/>
      </c>
    </row>
    <row r="779">
      <c r="G779" s="7" t="str">
        <f>IFERROR(__xludf.DUMMYFUNCTION("""COMPUTED_VALUE"""),"")</f>
        <v/>
      </c>
    </row>
    <row r="780">
      <c r="G780" s="7" t="str">
        <f>IFERROR(__xludf.DUMMYFUNCTION("""COMPUTED_VALUE"""),"")</f>
        <v/>
      </c>
    </row>
    <row r="781">
      <c r="G781" s="7" t="str">
        <f>IFERROR(__xludf.DUMMYFUNCTION("""COMPUTED_VALUE"""),"")</f>
        <v/>
      </c>
    </row>
    <row r="782">
      <c r="G782" s="7" t="str">
        <f>IFERROR(__xludf.DUMMYFUNCTION("""COMPUTED_VALUE"""),"")</f>
        <v/>
      </c>
    </row>
    <row r="783">
      <c r="G783" s="7" t="str">
        <f>IFERROR(__xludf.DUMMYFUNCTION("""COMPUTED_VALUE"""),"")</f>
        <v/>
      </c>
    </row>
    <row r="784">
      <c r="G784" s="7" t="str">
        <f>IFERROR(__xludf.DUMMYFUNCTION("""COMPUTED_VALUE"""),"")</f>
        <v/>
      </c>
    </row>
    <row r="785">
      <c r="G785" s="7" t="str">
        <f>IFERROR(__xludf.DUMMYFUNCTION("""COMPUTED_VALUE"""),"")</f>
        <v/>
      </c>
    </row>
    <row r="786">
      <c r="G786" s="7" t="str">
        <f>IFERROR(__xludf.DUMMYFUNCTION("""COMPUTED_VALUE"""),"")</f>
        <v/>
      </c>
    </row>
    <row r="787">
      <c r="G787" s="7" t="str">
        <f>IFERROR(__xludf.DUMMYFUNCTION("""COMPUTED_VALUE"""),"")</f>
        <v/>
      </c>
    </row>
    <row r="788">
      <c r="G788" s="7" t="str">
        <f>IFERROR(__xludf.DUMMYFUNCTION("""COMPUTED_VALUE"""),"")</f>
        <v/>
      </c>
    </row>
    <row r="789">
      <c r="G789" s="7" t="str">
        <f>IFERROR(__xludf.DUMMYFUNCTION("""COMPUTED_VALUE"""),"")</f>
        <v/>
      </c>
    </row>
    <row r="790">
      <c r="G790" s="7" t="str">
        <f>IFERROR(__xludf.DUMMYFUNCTION("""COMPUTED_VALUE"""),"")</f>
        <v/>
      </c>
    </row>
    <row r="791">
      <c r="G791" s="7" t="str">
        <f>IFERROR(__xludf.DUMMYFUNCTION("""COMPUTED_VALUE"""),"")</f>
        <v/>
      </c>
    </row>
    <row r="792">
      <c r="G792" s="7" t="str">
        <f>IFERROR(__xludf.DUMMYFUNCTION("""COMPUTED_VALUE"""),"")</f>
        <v/>
      </c>
    </row>
    <row r="793">
      <c r="G793" s="7" t="str">
        <f>IFERROR(__xludf.DUMMYFUNCTION("""COMPUTED_VALUE"""),"")</f>
        <v/>
      </c>
    </row>
    <row r="794">
      <c r="G794" s="7" t="str">
        <f>IFERROR(__xludf.DUMMYFUNCTION("""COMPUTED_VALUE"""),"")</f>
        <v/>
      </c>
    </row>
    <row r="795">
      <c r="G795" s="7" t="str">
        <f>IFERROR(__xludf.DUMMYFUNCTION("""COMPUTED_VALUE"""),"")</f>
        <v/>
      </c>
    </row>
    <row r="796">
      <c r="G796" s="7" t="str">
        <f>IFERROR(__xludf.DUMMYFUNCTION("""COMPUTED_VALUE"""),"")</f>
        <v/>
      </c>
    </row>
    <row r="797">
      <c r="G797" s="7" t="str">
        <f>IFERROR(__xludf.DUMMYFUNCTION("""COMPUTED_VALUE"""),"")</f>
        <v/>
      </c>
    </row>
    <row r="798">
      <c r="G798" s="7" t="str">
        <f>IFERROR(__xludf.DUMMYFUNCTION("""COMPUTED_VALUE"""),"")</f>
        <v/>
      </c>
    </row>
    <row r="799">
      <c r="G799" s="7" t="str">
        <f>IFERROR(__xludf.DUMMYFUNCTION("""COMPUTED_VALUE"""),"")</f>
        <v/>
      </c>
    </row>
    <row r="800">
      <c r="G800" s="7" t="str">
        <f>IFERROR(__xludf.DUMMYFUNCTION("""COMPUTED_VALUE"""),"")</f>
        <v/>
      </c>
    </row>
    <row r="801">
      <c r="G801" s="7" t="str">
        <f>IFERROR(__xludf.DUMMYFUNCTION("""COMPUTED_VALUE"""),"")</f>
        <v/>
      </c>
    </row>
    <row r="802">
      <c r="G802" s="7" t="str">
        <f>IFERROR(__xludf.DUMMYFUNCTION("""COMPUTED_VALUE"""),"")</f>
        <v/>
      </c>
    </row>
    <row r="803">
      <c r="G803" s="7" t="str">
        <f>IFERROR(__xludf.DUMMYFUNCTION("""COMPUTED_VALUE"""),"")</f>
        <v/>
      </c>
    </row>
    <row r="804">
      <c r="G804" s="7" t="str">
        <f>IFERROR(__xludf.DUMMYFUNCTION("""COMPUTED_VALUE"""),"")</f>
        <v/>
      </c>
    </row>
    <row r="805">
      <c r="G805" s="7" t="str">
        <f>IFERROR(__xludf.DUMMYFUNCTION("""COMPUTED_VALUE"""),"")</f>
        <v/>
      </c>
    </row>
    <row r="806">
      <c r="G806" s="7" t="str">
        <f>IFERROR(__xludf.DUMMYFUNCTION("""COMPUTED_VALUE"""),"")</f>
        <v/>
      </c>
    </row>
    <row r="807">
      <c r="G807" s="7" t="str">
        <f>IFERROR(__xludf.DUMMYFUNCTION("""COMPUTED_VALUE"""),"")</f>
        <v/>
      </c>
    </row>
    <row r="808">
      <c r="G808" s="7" t="str">
        <f>IFERROR(__xludf.DUMMYFUNCTION("""COMPUTED_VALUE"""),"")</f>
        <v/>
      </c>
    </row>
    <row r="809">
      <c r="G809" s="7" t="str">
        <f>IFERROR(__xludf.DUMMYFUNCTION("""COMPUTED_VALUE"""),"")</f>
        <v/>
      </c>
    </row>
    <row r="810">
      <c r="G810" s="7" t="str">
        <f>IFERROR(__xludf.DUMMYFUNCTION("""COMPUTED_VALUE"""),"")</f>
        <v/>
      </c>
    </row>
    <row r="811">
      <c r="G811" s="7" t="str">
        <f>IFERROR(__xludf.DUMMYFUNCTION("""COMPUTED_VALUE"""),"")</f>
        <v/>
      </c>
    </row>
    <row r="812">
      <c r="G812" s="7" t="str">
        <f>IFERROR(__xludf.DUMMYFUNCTION("""COMPUTED_VALUE"""),"")</f>
        <v/>
      </c>
    </row>
    <row r="813">
      <c r="G813" s="7" t="str">
        <f>IFERROR(__xludf.DUMMYFUNCTION("""COMPUTED_VALUE"""),"")</f>
        <v/>
      </c>
    </row>
    <row r="814">
      <c r="G814" s="7" t="str">
        <f>IFERROR(__xludf.DUMMYFUNCTION("""COMPUTED_VALUE"""),"")</f>
        <v/>
      </c>
    </row>
    <row r="815">
      <c r="G815" s="7" t="str">
        <f>IFERROR(__xludf.DUMMYFUNCTION("""COMPUTED_VALUE"""),"")</f>
        <v/>
      </c>
    </row>
    <row r="816">
      <c r="G816" s="7" t="str">
        <f>IFERROR(__xludf.DUMMYFUNCTION("""COMPUTED_VALUE"""),"")</f>
        <v/>
      </c>
    </row>
    <row r="817">
      <c r="G817" s="7" t="str">
        <f>IFERROR(__xludf.DUMMYFUNCTION("""COMPUTED_VALUE"""),"")</f>
        <v/>
      </c>
    </row>
    <row r="818">
      <c r="G818" s="7" t="str">
        <f>IFERROR(__xludf.DUMMYFUNCTION("""COMPUTED_VALUE"""),"")</f>
        <v/>
      </c>
    </row>
    <row r="819">
      <c r="G819" s="7" t="str">
        <f>IFERROR(__xludf.DUMMYFUNCTION("""COMPUTED_VALUE"""),"")</f>
        <v/>
      </c>
    </row>
    <row r="820">
      <c r="G820" s="7" t="str">
        <f>IFERROR(__xludf.DUMMYFUNCTION("""COMPUTED_VALUE"""),"")</f>
        <v/>
      </c>
    </row>
    <row r="821">
      <c r="G821" s="7" t="str">
        <f>IFERROR(__xludf.DUMMYFUNCTION("""COMPUTED_VALUE"""),"")</f>
        <v/>
      </c>
    </row>
    <row r="822">
      <c r="G822" s="7" t="str">
        <f>IFERROR(__xludf.DUMMYFUNCTION("""COMPUTED_VALUE"""),"")</f>
        <v/>
      </c>
    </row>
    <row r="823">
      <c r="G823" s="7" t="str">
        <f>IFERROR(__xludf.DUMMYFUNCTION("""COMPUTED_VALUE"""),"")</f>
        <v/>
      </c>
    </row>
    <row r="824">
      <c r="G824" s="7" t="str">
        <f>IFERROR(__xludf.DUMMYFUNCTION("""COMPUTED_VALUE"""),"")</f>
        <v/>
      </c>
    </row>
    <row r="825">
      <c r="G825" s="7" t="str">
        <f>IFERROR(__xludf.DUMMYFUNCTION("""COMPUTED_VALUE"""),"")</f>
        <v/>
      </c>
    </row>
    <row r="826">
      <c r="G826" s="7" t="str">
        <f>IFERROR(__xludf.DUMMYFUNCTION("""COMPUTED_VALUE"""),"")</f>
        <v/>
      </c>
    </row>
    <row r="827">
      <c r="G827" s="7" t="str">
        <f>IFERROR(__xludf.DUMMYFUNCTION("""COMPUTED_VALUE"""),"")</f>
        <v/>
      </c>
    </row>
    <row r="828">
      <c r="G828" s="7" t="str">
        <f>IFERROR(__xludf.DUMMYFUNCTION("""COMPUTED_VALUE"""),"")</f>
        <v/>
      </c>
    </row>
    <row r="829">
      <c r="G829" s="7" t="str">
        <f>IFERROR(__xludf.DUMMYFUNCTION("""COMPUTED_VALUE"""),"")</f>
        <v/>
      </c>
    </row>
    <row r="830">
      <c r="G830" s="7" t="str">
        <f>IFERROR(__xludf.DUMMYFUNCTION("""COMPUTED_VALUE"""),"")</f>
        <v/>
      </c>
    </row>
    <row r="831">
      <c r="G831" s="7" t="str">
        <f>IFERROR(__xludf.DUMMYFUNCTION("""COMPUTED_VALUE"""),"")</f>
        <v/>
      </c>
    </row>
    <row r="832">
      <c r="G832" s="7" t="str">
        <f>IFERROR(__xludf.DUMMYFUNCTION("""COMPUTED_VALUE"""),"")</f>
        <v/>
      </c>
    </row>
    <row r="833">
      <c r="G833" s="7" t="str">
        <f>IFERROR(__xludf.DUMMYFUNCTION("""COMPUTED_VALUE"""),"")</f>
        <v/>
      </c>
    </row>
    <row r="834">
      <c r="G834" s="7" t="str">
        <f>IFERROR(__xludf.DUMMYFUNCTION("""COMPUTED_VALUE"""),"")</f>
        <v/>
      </c>
    </row>
    <row r="835">
      <c r="G835" s="7" t="str">
        <f>IFERROR(__xludf.DUMMYFUNCTION("""COMPUTED_VALUE"""),"")</f>
        <v/>
      </c>
    </row>
    <row r="836">
      <c r="G836" s="7" t="str">
        <f>IFERROR(__xludf.DUMMYFUNCTION("""COMPUTED_VALUE"""),"")</f>
        <v/>
      </c>
    </row>
    <row r="837">
      <c r="G837" s="7" t="str">
        <f>IFERROR(__xludf.DUMMYFUNCTION("""COMPUTED_VALUE"""),"")</f>
        <v/>
      </c>
    </row>
    <row r="838">
      <c r="G838" s="7" t="str">
        <f>IFERROR(__xludf.DUMMYFUNCTION("""COMPUTED_VALUE"""),"")</f>
        <v/>
      </c>
    </row>
    <row r="839">
      <c r="G839" s="7" t="str">
        <f>IFERROR(__xludf.DUMMYFUNCTION("""COMPUTED_VALUE"""),"")</f>
        <v/>
      </c>
    </row>
    <row r="840">
      <c r="G840" s="7" t="str">
        <f>IFERROR(__xludf.DUMMYFUNCTION("""COMPUTED_VALUE"""),"")</f>
        <v/>
      </c>
    </row>
    <row r="841">
      <c r="G841" s="7" t="str">
        <f>IFERROR(__xludf.DUMMYFUNCTION("""COMPUTED_VALUE"""),"")</f>
        <v/>
      </c>
    </row>
    <row r="842">
      <c r="G842" s="7" t="str">
        <f>IFERROR(__xludf.DUMMYFUNCTION("""COMPUTED_VALUE"""),"")</f>
        <v/>
      </c>
    </row>
    <row r="843">
      <c r="G843" s="7" t="str">
        <f>IFERROR(__xludf.DUMMYFUNCTION("""COMPUTED_VALUE"""),"")</f>
        <v/>
      </c>
    </row>
    <row r="844">
      <c r="G844" s="7" t="str">
        <f>IFERROR(__xludf.DUMMYFUNCTION("""COMPUTED_VALUE"""),"")</f>
        <v/>
      </c>
    </row>
    <row r="845">
      <c r="G845" s="7" t="str">
        <f>IFERROR(__xludf.DUMMYFUNCTION("""COMPUTED_VALUE"""),"")</f>
        <v/>
      </c>
    </row>
    <row r="846">
      <c r="G846" s="7" t="str">
        <f>IFERROR(__xludf.DUMMYFUNCTION("""COMPUTED_VALUE"""),"")</f>
        <v/>
      </c>
    </row>
    <row r="847">
      <c r="G847" s="7" t="str">
        <f>IFERROR(__xludf.DUMMYFUNCTION("""COMPUTED_VALUE"""),"")</f>
        <v/>
      </c>
    </row>
    <row r="848">
      <c r="G848" s="7" t="str">
        <f>IFERROR(__xludf.DUMMYFUNCTION("""COMPUTED_VALUE"""),"")</f>
        <v/>
      </c>
    </row>
    <row r="849">
      <c r="G849" s="7" t="str">
        <f>IFERROR(__xludf.DUMMYFUNCTION("""COMPUTED_VALUE"""),"")</f>
        <v/>
      </c>
    </row>
    <row r="850">
      <c r="G850" s="7" t="str">
        <f>IFERROR(__xludf.DUMMYFUNCTION("""COMPUTED_VALUE"""),"")</f>
        <v/>
      </c>
    </row>
    <row r="851">
      <c r="G851" s="7" t="str">
        <f>IFERROR(__xludf.DUMMYFUNCTION("""COMPUTED_VALUE"""),"")</f>
        <v/>
      </c>
    </row>
    <row r="852">
      <c r="G852" s="7" t="str">
        <f>IFERROR(__xludf.DUMMYFUNCTION("""COMPUTED_VALUE"""),"")</f>
        <v/>
      </c>
    </row>
    <row r="853">
      <c r="G853" s="7" t="str">
        <f>IFERROR(__xludf.DUMMYFUNCTION("""COMPUTED_VALUE"""),"")</f>
        <v/>
      </c>
    </row>
    <row r="854">
      <c r="G854" s="7" t="str">
        <f>IFERROR(__xludf.DUMMYFUNCTION("""COMPUTED_VALUE"""),"")</f>
        <v/>
      </c>
    </row>
    <row r="855">
      <c r="G855" s="7" t="str">
        <f>IFERROR(__xludf.DUMMYFUNCTION("""COMPUTED_VALUE"""),"")</f>
        <v/>
      </c>
    </row>
    <row r="856">
      <c r="G856" s="7" t="str">
        <f>IFERROR(__xludf.DUMMYFUNCTION("""COMPUTED_VALUE"""),"")</f>
        <v/>
      </c>
    </row>
    <row r="857">
      <c r="G857" s="7" t="str">
        <f>IFERROR(__xludf.DUMMYFUNCTION("""COMPUTED_VALUE"""),"")</f>
        <v/>
      </c>
    </row>
    <row r="858">
      <c r="G858" s="7" t="str">
        <f>IFERROR(__xludf.DUMMYFUNCTION("""COMPUTED_VALUE"""),"")</f>
        <v/>
      </c>
    </row>
    <row r="859">
      <c r="G859" s="7" t="str">
        <f>IFERROR(__xludf.DUMMYFUNCTION("""COMPUTED_VALUE"""),"")</f>
        <v/>
      </c>
    </row>
    <row r="860">
      <c r="G860" s="7" t="str">
        <f>IFERROR(__xludf.DUMMYFUNCTION("""COMPUTED_VALUE"""),"")</f>
        <v/>
      </c>
    </row>
    <row r="861">
      <c r="G861" s="7" t="str">
        <f>IFERROR(__xludf.DUMMYFUNCTION("""COMPUTED_VALUE"""),"")</f>
        <v/>
      </c>
    </row>
    <row r="862">
      <c r="G862" s="7" t="str">
        <f>IFERROR(__xludf.DUMMYFUNCTION("""COMPUTED_VALUE"""),"")</f>
        <v/>
      </c>
    </row>
    <row r="863">
      <c r="G863" s="7" t="str">
        <f>IFERROR(__xludf.DUMMYFUNCTION("""COMPUTED_VALUE"""),"")</f>
        <v/>
      </c>
    </row>
    <row r="864">
      <c r="G864" s="7" t="str">
        <f>IFERROR(__xludf.DUMMYFUNCTION("""COMPUTED_VALUE"""),"")</f>
        <v/>
      </c>
    </row>
    <row r="865">
      <c r="G865" s="7" t="str">
        <f>IFERROR(__xludf.DUMMYFUNCTION("""COMPUTED_VALUE"""),"")</f>
        <v/>
      </c>
    </row>
    <row r="866">
      <c r="G866" s="7" t="str">
        <f>IFERROR(__xludf.DUMMYFUNCTION("""COMPUTED_VALUE"""),"")</f>
        <v/>
      </c>
    </row>
    <row r="867">
      <c r="G867" s="7" t="str">
        <f>IFERROR(__xludf.DUMMYFUNCTION("""COMPUTED_VALUE"""),"")</f>
        <v/>
      </c>
    </row>
    <row r="868">
      <c r="G868" s="7" t="str">
        <f>IFERROR(__xludf.DUMMYFUNCTION("""COMPUTED_VALUE"""),"")</f>
        <v/>
      </c>
    </row>
    <row r="869">
      <c r="G869" s="7" t="str">
        <f>IFERROR(__xludf.DUMMYFUNCTION("""COMPUTED_VALUE"""),"")</f>
        <v/>
      </c>
    </row>
    <row r="870">
      <c r="G870" s="7" t="str">
        <f>IFERROR(__xludf.DUMMYFUNCTION("""COMPUTED_VALUE"""),"")</f>
        <v/>
      </c>
    </row>
    <row r="871">
      <c r="G871" s="7" t="str">
        <f>IFERROR(__xludf.DUMMYFUNCTION("""COMPUTED_VALUE"""),"")</f>
        <v/>
      </c>
    </row>
    <row r="872">
      <c r="G872" s="7" t="str">
        <f>IFERROR(__xludf.DUMMYFUNCTION("""COMPUTED_VALUE"""),"")</f>
        <v/>
      </c>
    </row>
    <row r="873">
      <c r="G873" s="7" t="str">
        <f>IFERROR(__xludf.DUMMYFUNCTION("""COMPUTED_VALUE"""),"")</f>
        <v/>
      </c>
    </row>
    <row r="874">
      <c r="G874" s="7" t="str">
        <f>IFERROR(__xludf.DUMMYFUNCTION("""COMPUTED_VALUE"""),"")</f>
        <v/>
      </c>
    </row>
    <row r="875">
      <c r="G875" s="7" t="str">
        <f>IFERROR(__xludf.DUMMYFUNCTION("""COMPUTED_VALUE"""),"")</f>
        <v/>
      </c>
    </row>
    <row r="876">
      <c r="G876" s="7" t="str">
        <f>IFERROR(__xludf.DUMMYFUNCTION("""COMPUTED_VALUE"""),"")</f>
        <v/>
      </c>
    </row>
    <row r="877">
      <c r="G877" s="7" t="str">
        <f>IFERROR(__xludf.DUMMYFUNCTION("""COMPUTED_VALUE"""),"")</f>
        <v/>
      </c>
    </row>
    <row r="878">
      <c r="G878" s="7" t="str">
        <f>IFERROR(__xludf.DUMMYFUNCTION("""COMPUTED_VALUE"""),"")</f>
        <v/>
      </c>
    </row>
    <row r="879">
      <c r="G879" s="7" t="str">
        <f>IFERROR(__xludf.DUMMYFUNCTION("""COMPUTED_VALUE"""),"")</f>
        <v/>
      </c>
    </row>
    <row r="880">
      <c r="G880" s="7" t="str">
        <f>IFERROR(__xludf.DUMMYFUNCTION("""COMPUTED_VALUE"""),"")</f>
        <v/>
      </c>
    </row>
    <row r="881">
      <c r="G881" s="7" t="str">
        <f>IFERROR(__xludf.DUMMYFUNCTION("""COMPUTED_VALUE"""),"")</f>
        <v/>
      </c>
    </row>
    <row r="882">
      <c r="G882" s="7" t="str">
        <f>IFERROR(__xludf.DUMMYFUNCTION("""COMPUTED_VALUE"""),"")</f>
        <v/>
      </c>
    </row>
    <row r="883">
      <c r="G883" s="7" t="str">
        <f>IFERROR(__xludf.DUMMYFUNCTION("""COMPUTED_VALUE"""),"")</f>
        <v/>
      </c>
    </row>
    <row r="884">
      <c r="G884" s="7" t="str">
        <f>IFERROR(__xludf.DUMMYFUNCTION("""COMPUTED_VALUE"""),"")</f>
        <v/>
      </c>
    </row>
    <row r="885">
      <c r="G885" s="7" t="str">
        <f>IFERROR(__xludf.DUMMYFUNCTION("""COMPUTED_VALUE"""),"")</f>
        <v/>
      </c>
    </row>
    <row r="886">
      <c r="G886" s="7" t="str">
        <f>IFERROR(__xludf.DUMMYFUNCTION("""COMPUTED_VALUE"""),"")</f>
        <v/>
      </c>
    </row>
    <row r="887">
      <c r="G887" s="7" t="str">
        <f>IFERROR(__xludf.DUMMYFUNCTION("""COMPUTED_VALUE"""),"")</f>
        <v/>
      </c>
    </row>
    <row r="888">
      <c r="G888" s="7" t="str">
        <f>IFERROR(__xludf.DUMMYFUNCTION("""COMPUTED_VALUE"""),"")</f>
        <v/>
      </c>
    </row>
    <row r="889">
      <c r="G889" s="7" t="str">
        <f>IFERROR(__xludf.DUMMYFUNCTION("""COMPUTED_VALUE"""),"")</f>
        <v/>
      </c>
    </row>
    <row r="890">
      <c r="G890" s="7" t="str">
        <f>IFERROR(__xludf.DUMMYFUNCTION("""COMPUTED_VALUE"""),"")</f>
        <v/>
      </c>
    </row>
    <row r="891">
      <c r="G891" s="7" t="str">
        <f>IFERROR(__xludf.DUMMYFUNCTION("""COMPUTED_VALUE"""),"")</f>
        <v/>
      </c>
    </row>
    <row r="892">
      <c r="G892" s="7" t="str">
        <f>IFERROR(__xludf.DUMMYFUNCTION("""COMPUTED_VALUE"""),"")</f>
        <v/>
      </c>
    </row>
    <row r="893">
      <c r="G893" s="7" t="str">
        <f>IFERROR(__xludf.DUMMYFUNCTION("""COMPUTED_VALUE"""),"")</f>
        <v/>
      </c>
    </row>
    <row r="894">
      <c r="G894" s="7" t="str">
        <f>IFERROR(__xludf.DUMMYFUNCTION("""COMPUTED_VALUE"""),"")</f>
        <v/>
      </c>
    </row>
    <row r="895">
      <c r="G895" s="7" t="str">
        <f>IFERROR(__xludf.DUMMYFUNCTION("""COMPUTED_VALUE"""),"")</f>
        <v/>
      </c>
    </row>
    <row r="896">
      <c r="G896" s="7" t="str">
        <f>IFERROR(__xludf.DUMMYFUNCTION("""COMPUTED_VALUE"""),"")</f>
        <v/>
      </c>
    </row>
    <row r="897">
      <c r="G897" s="7" t="str">
        <f>IFERROR(__xludf.DUMMYFUNCTION("""COMPUTED_VALUE"""),"")</f>
        <v/>
      </c>
    </row>
    <row r="898">
      <c r="G898" s="7" t="str">
        <f>IFERROR(__xludf.DUMMYFUNCTION("""COMPUTED_VALUE"""),"")</f>
        <v/>
      </c>
    </row>
    <row r="899">
      <c r="G899" s="7" t="str">
        <f>IFERROR(__xludf.DUMMYFUNCTION("""COMPUTED_VALUE"""),"")</f>
        <v/>
      </c>
    </row>
    <row r="900">
      <c r="G900" s="7" t="str">
        <f>IFERROR(__xludf.DUMMYFUNCTION("""COMPUTED_VALUE"""),"")</f>
        <v/>
      </c>
    </row>
    <row r="901">
      <c r="G901" s="7" t="str">
        <f>IFERROR(__xludf.DUMMYFUNCTION("""COMPUTED_VALUE"""),"")</f>
        <v/>
      </c>
    </row>
    <row r="902">
      <c r="G902" s="7" t="str">
        <f>IFERROR(__xludf.DUMMYFUNCTION("""COMPUTED_VALUE"""),"")</f>
        <v/>
      </c>
    </row>
    <row r="903">
      <c r="G903" s="7" t="str">
        <f>IFERROR(__xludf.DUMMYFUNCTION("""COMPUTED_VALUE"""),"")</f>
        <v/>
      </c>
    </row>
    <row r="904">
      <c r="G904" s="7" t="str">
        <f>IFERROR(__xludf.DUMMYFUNCTION("""COMPUTED_VALUE"""),"")</f>
        <v/>
      </c>
    </row>
    <row r="905">
      <c r="G905" s="7" t="str">
        <f>IFERROR(__xludf.DUMMYFUNCTION("""COMPUTED_VALUE"""),"")</f>
        <v/>
      </c>
    </row>
    <row r="906">
      <c r="G906" s="7" t="str">
        <f>IFERROR(__xludf.DUMMYFUNCTION("""COMPUTED_VALUE"""),"")</f>
        <v/>
      </c>
    </row>
    <row r="907">
      <c r="G907" s="7" t="str">
        <f>IFERROR(__xludf.DUMMYFUNCTION("""COMPUTED_VALUE"""),"")</f>
        <v/>
      </c>
    </row>
    <row r="908">
      <c r="G908" s="7" t="str">
        <f>IFERROR(__xludf.DUMMYFUNCTION("""COMPUTED_VALUE"""),"")</f>
        <v/>
      </c>
    </row>
    <row r="909">
      <c r="G909" s="7" t="str">
        <f>IFERROR(__xludf.DUMMYFUNCTION("""COMPUTED_VALUE"""),"")</f>
        <v/>
      </c>
    </row>
    <row r="910">
      <c r="G910" s="7" t="str">
        <f>IFERROR(__xludf.DUMMYFUNCTION("""COMPUTED_VALUE"""),"")</f>
        <v/>
      </c>
    </row>
    <row r="911">
      <c r="G911" s="7" t="str">
        <f>IFERROR(__xludf.DUMMYFUNCTION("""COMPUTED_VALUE"""),"")</f>
        <v/>
      </c>
    </row>
    <row r="912">
      <c r="G912" s="7" t="str">
        <f>IFERROR(__xludf.DUMMYFUNCTION("""COMPUTED_VALUE"""),"")</f>
        <v/>
      </c>
    </row>
    <row r="913">
      <c r="G913" s="7" t="str">
        <f>IFERROR(__xludf.DUMMYFUNCTION("""COMPUTED_VALUE"""),"")</f>
        <v/>
      </c>
    </row>
    <row r="914">
      <c r="G914" s="7" t="str">
        <f>IFERROR(__xludf.DUMMYFUNCTION("""COMPUTED_VALUE"""),"")</f>
        <v/>
      </c>
    </row>
    <row r="915">
      <c r="G915" s="7" t="str">
        <f>IFERROR(__xludf.DUMMYFUNCTION("""COMPUTED_VALUE"""),"")</f>
        <v/>
      </c>
    </row>
    <row r="916">
      <c r="G916" s="7" t="str">
        <f>IFERROR(__xludf.DUMMYFUNCTION("""COMPUTED_VALUE"""),"")</f>
        <v/>
      </c>
    </row>
    <row r="917">
      <c r="G917" s="7" t="str">
        <f>IFERROR(__xludf.DUMMYFUNCTION("""COMPUTED_VALUE"""),"")</f>
        <v/>
      </c>
    </row>
    <row r="918">
      <c r="G918" s="7" t="str">
        <f>IFERROR(__xludf.DUMMYFUNCTION("""COMPUTED_VALUE"""),"")</f>
        <v/>
      </c>
    </row>
    <row r="919">
      <c r="G919" s="7" t="str">
        <f>IFERROR(__xludf.DUMMYFUNCTION("""COMPUTED_VALUE"""),"")</f>
        <v/>
      </c>
    </row>
    <row r="920">
      <c r="G920" s="7" t="str">
        <f>IFERROR(__xludf.DUMMYFUNCTION("""COMPUTED_VALUE"""),"")</f>
        <v/>
      </c>
    </row>
    <row r="921">
      <c r="G921" s="7" t="str">
        <f>IFERROR(__xludf.DUMMYFUNCTION("""COMPUTED_VALUE"""),"")</f>
        <v/>
      </c>
    </row>
    <row r="922">
      <c r="G922" s="7" t="str">
        <f>IFERROR(__xludf.DUMMYFUNCTION("""COMPUTED_VALUE"""),"")</f>
        <v/>
      </c>
    </row>
    <row r="923">
      <c r="G923" s="7" t="str">
        <f>IFERROR(__xludf.DUMMYFUNCTION("""COMPUTED_VALUE"""),"")</f>
        <v/>
      </c>
    </row>
    <row r="924">
      <c r="G924" s="7" t="str">
        <f>IFERROR(__xludf.DUMMYFUNCTION("""COMPUTED_VALUE"""),"")</f>
        <v/>
      </c>
    </row>
    <row r="925">
      <c r="G925" s="7" t="str">
        <f>IFERROR(__xludf.DUMMYFUNCTION("""COMPUTED_VALUE"""),"")</f>
        <v/>
      </c>
    </row>
    <row r="926">
      <c r="G926" s="7" t="str">
        <f>IFERROR(__xludf.DUMMYFUNCTION("""COMPUTED_VALUE"""),"")</f>
        <v/>
      </c>
    </row>
    <row r="927">
      <c r="G927" s="7" t="str">
        <f>IFERROR(__xludf.DUMMYFUNCTION("""COMPUTED_VALUE"""),"")</f>
        <v/>
      </c>
    </row>
    <row r="928">
      <c r="G928" s="7" t="str">
        <f>IFERROR(__xludf.DUMMYFUNCTION("""COMPUTED_VALUE"""),"")</f>
        <v/>
      </c>
    </row>
    <row r="929">
      <c r="G929" s="7" t="str">
        <f>IFERROR(__xludf.DUMMYFUNCTION("""COMPUTED_VALUE"""),"")</f>
        <v/>
      </c>
    </row>
    <row r="930">
      <c r="G930" s="7" t="str">
        <f>IFERROR(__xludf.DUMMYFUNCTION("""COMPUTED_VALUE"""),"")</f>
        <v/>
      </c>
    </row>
    <row r="931">
      <c r="G931" s="7" t="str">
        <f>IFERROR(__xludf.DUMMYFUNCTION("""COMPUTED_VALUE"""),"")</f>
        <v/>
      </c>
    </row>
    <row r="932">
      <c r="G932" s="7" t="str">
        <f>IFERROR(__xludf.DUMMYFUNCTION("""COMPUTED_VALUE"""),"")</f>
        <v/>
      </c>
    </row>
    <row r="933">
      <c r="G933" s="7" t="str">
        <f>IFERROR(__xludf.DUMMYFUNCTION("""COMPUTED_VALUE"""),"")</f>
        <v/>
      </c>
    </row>
    <row r="934">
      <c r="G934" s="7" t="str">
        <f>IFERROR(__xludf.DUMMYFUNCTION("""COMPUTED_VALUE"""),"")</f>
        <v/>
      </c>
    </row>
    <row r="935">
      <c r="G935" s="7" t="str">
        <f>IFERROR(__xludf.DUMMYFUNCTION("""COMPUTED_VALUE"""),"")</f>
        <v/>
      </c>
    </row>
    <row r="936">
      <c r="G936" s="7" t="str">
        <f>IFERROR(__xludf.DUMMYFUNCTION("""COMPUTED_VALUE"""),"")</f>
        <v/>
      </c>
    </row>
    <row r="937">
      <c r="G937" s="7" t="str">
        <f>IFERROR(__xludf.DUMMYFUNCTION("""COMPUTED_VALUE"""),"")</f>
        <v/>
      </c>
    </row>
    <row r="938">
      <c r="G938" s="7" t="str">
        <f>IFERROR(__xludf.DUMMYFUNCTION("""COMPUTED_VALUE"""),"")</f>
        <v/>
      </c>
    </row>
    <row r="939">
      <c r="G939" s="7" t="str">
        <f>IFERROR(__xludf.DUMMYFUNCTION("""COMPUTED_VALUE"""),"")</f>
        <v/>
      </c>
    </row>
    <row r="940">
      <c r="G940" s="7" t="str">
        <f>IFERROR(__xludf.DUMMYFUNCTION("""COMPUTED_VALUE"""),"")</f>
        <v/>
      </c>
    </row>
    <row r="941">
      <c r="G941" s="7" t="str">
        <f>IFERROR(__xludf.DUMMYFUNCTION("""COMPUTED_VALUE"""),"")</f>
        <v/>
      </c>
    </row>
    <row r="942">
      <c r="G942" s="7" t="str">
        <f>IFERROR(__xludf.DUMMYFUNCTION("""COMPUTED_VALUE"""),"")</f>
        <v/>
      </c>
    </row>
    <row r="943">
      <c r="G943" s="7" t="str">
        <f>IFERROR(__xludf.DUMMYFUNCTION("""COMPUTED_VALUE"""),"")</f>
        <v/>
      </c>
    </row>
    <row r="944">
      <c r="G944" s="7" t="str">
        <f>IFERROR(__xludf.DUMMYFUNCTION("""COMPUTED_VALUE"""),"")</f>
        <v/>
      </c>
    </row>
    <row r="945">
      <c r="G945" s="7" t="str">
        <f>IFERROR(__xludf.DUMMYFUNCTION("""COMPUTED_VALUE"""),"")</f>
        <v/>
      </c>
    </row>
    <row r="946">
      <c r="G946" s="7" t="str">
        <f>IFERROR(__xludf.DUMMYFUNCTION("""COMPUTED_VALUE"""),"")</f>
        <v/>
      </c>
    </row>
    <row r="947">
      <c r="G947" s="7" t="str">
        <f>IFERROR(__xludf.DUMMYFUNCTION("""COMPUTED_VALUE"""),"")</f>
        <v/>
      </c>
    </row>
    <row r="948">
      <c r="G948" s="7" t="str">
        <f>IFERROR(__xludf.DUMMYFUNCTION("""COMPUTED_VALUE"""),"")</f>
        <v/>
      </c>
    </row>
    <row r="949">
      <c r="G949" s="7" t="str">
        <f>IFERROR(__xludf.DUMMYFUNCTION("""COMPUTED_VALUE"""),"")</f>
        <v/>
      </c>
    </row>
    <row r="950">
      <c r="G950" s="7" t="str">
        <f>IFERROR(__xludf.DUMMYFUNCTION("""COMPUTED_VALUE"""),"")</f>
        <v/>
      </c>
    </row>
    <row r="951">
      <c r="G951" s="7" t="str">
        <f>IFERROR(__xludf.DUMMYFUNCTION("""COMPUTED_VALUE"""),"")</f>
        <v/>
      </c>
    </row>
    <row r="952">
      <c r="G952" s="7" t="str">
        <f>IFERROR(__xludf.DUMMYFUNCTION("""COMPUTED_VALUE"""),"")</f>
        <v/>
      </c>
    </row>
    <row r="953">
      <c r="G953" s="7" t="str">
        <f>IFERROR(__xludf.DUMMYFUNCTION("""COMPUTED_VALUE"""),"")</f>
        <v/>
      </c>
    </row>
    <row r="954">
      <c r="G954" s="7" t="str">
        <f>IFERROR(__xludf.DUMMYFUNCTION("""COMPUTED_VALUE"""),"")</f>
        <v/>
      </c>
    </row>
    <row r="955">
      <c r="G955" s="7" t="str">
        <f>IFERROR(__xludf.DUMMYFUNCTION("""COMPUTED_VALUE"""),"")</f>
        <v/>
      </c>
    </row>
    <row r="956">
      <c r="G956" s="7" t="str">
        <f>IFERROR(__xludf.DUMMYFUNCTION("""COMPUTED_VALUE"""),"")</f>
        <v/>
      </c>
    </row>
    <row r="957">
      <c r="G957" s="7" t="str">
        <f>IFERROR(__xludf.DUMMYFUNCTION("""COMPUTED_VALUE"""),"")</f>
        <v/>
      </c>
    </row>
    <row r="958">
      <c r="G958" s="7" t="str">
        <f>IFERROR(__xludf.DUMMYFUNCTION("""COMPUTED_VALUE"""),"")</f>
        <v/>
      </c>
    </row>
    <row r="959">
      <c r="G959" s="7" t="str">
        <f>IFERROR(__xludf.DUMMYFUNCTION("""COMPUTED_VALUE"""),"")</f>
        <v/>
      </c>
    </row>
    <row r="960">
      <c r="G960" s="7" t="str">
        <f>IFERROR(__xludf.DUMMYFUNCTION("""COMPUTED_VALUE"""),"")</f>
        <v/>
      </c>
    </row>
    <row r="961">
      <c r="G961" s="7" t="str">
        <f>IFERROR(__xludf.DUMMYFUNCTION("""COMPUTED_VALUE"""),"")</f>
        <v/>
      </c>
    </row>
    <row r="962">
      <c r="G962" s="7" t="str">
        <f>IFERROR(__xludf.DUMMYFUNCTION("""COMPUTED_VALUE"""),"")</f>
        <v/>
      </c>
    </row>
    <row r="963">
      <c r="G963" s="7" t="str">
        <f>IFERROR(__xludf.DUMMYFUNCTION("""COMPUTED_VALUE"""),"")</f>
        <v/>
      </c>
    </row>
    <row r="964">
      <c r="G964" s="7" t="str">
        <f>IFERROR(__xludf.DUMMYFUNCTION("""COMPUTED_VALUE"""),"")</f>
        <v/>
      </c>
    </row>
    <row r="965">
      <c r="G965" s="7" t="str">
        <f>IFERROR(__xludf.DUMMYFUNCTION("""COMPUTED_VALUE"""),"")</f>
        <v/>
      </c>
    </row>
    <row r="966">
      <c r="G966" s="7" t="str">
        <f>IFERROR(__xludf.DUMMYFUNCTION("""COMPUTED_VALUE"""),"")</f>
        <v/>
      </c>
    </row>
    <row r="967">
      <c r="G967" s="7" t="str">
        <f>IFERROR(__xludf.DUMMYFUNCTION("""COMPUTED_VALUE"""),"")</f>
        <v/>
      </c>
    </row>
    <row r="968">
      <c r="G968" s="7" t="str">
        <f>IFERROR(__xludf.DUMMYFUNCTION("""COMPUTED_VALUE"""),"")</f>
        <v/>
      </c>
    </row>
    <row r="969">
      <c r="G969" s="7" t="str">
        <f>IFERROR(__xludf.DUMMYFUNCTION("""COMPUTED_VALUE"""),"")</f>
        <v/>
      </c>
    </row>
    <row r="970">
      <c r="G970" s="7" t="str">
        <f>IFERROR(__xludf.DUMMYFUNCTION("""COMPUTED_VALUE"""),"")</f>
        <v/>
      </c>
    </row>
    <row r="971">
      <c r="G971" s="7" t="str">
        <f>IFERROR(__xludf.DUMMYFUNCTION("""COMPUTED_VALUE"""),"")</f>
        <v/>
      </c>
    </row>
    <row r="972">
      <c r="G972" s="7" t="str">
        <f>IFERROR(__xludf.DUMMYFUNCTION("""COMPUTED_VALUE"""),"")</f>
        <v/>
      </c>
    </row>
    <row r="973">
      <c r="G973" s="7" t="str">
        <f>IFERROR(__xludf.DUMMYFUNCTION("""COMPUTED_VALUE"""),"")</f>
        <v/>
      </c>
    </row>
    <row r="974">
      <c r="G974" s="7" t="str">
        <f>IFERROR(__xludf.DUMMYFUNCTION("""COMPUTED_VALUE"""),"")</f>
        <v/>
      </c>
    </row>
    <row r="975">
      <c r="G975" s="7" t="str">
        <f>IFERROR(__xludf.DUMMYFUNCTION("""COMPUTED_VALUE"""),"")</f>
        <v/>
      </c>
    </row>
    <row r="976">
      <c r="G976" s="7" t="str">
        <f>IFERROR(__xludf.DUMMYFUNCTION("""COMPUTED_VALUE"""),"")</f>
        <v/>
      </c>
    </row>
    <row r="977">
      <c r="G977" s="7" t="str">
        <f>IFERROR(__xludf.DUMMYFUNCTION("""COMPUTED_VALUE"""),"")</f>
        <v/>
      </c>
    </row>
    <row r="978">
      <c r="G978" s="7" t="str">
        <f>IFERROR(__xludf.DUMMYFUNCTION("""COMPUTED_VALUE"""),"")</f>
        <v/>
      </c>
    </row>
    <row r="979">
      <c r="G979" s="7" t="str">
        <f>IFERROR(__xludf.DUMMYFUNCTION("""COMPUTED_VALUE"""),"")</f>
        <v/>
      </c>
    </row>
    <row r="980">
      <c r="G980" s="7" t="str">
        <f>IFERROR(__xludf.DUMMYFUNCTION("""COMPUTED_VALUE"""),"")</f>
        <v/>
      </c>
    </row>
    <row r="981">
      <c r="G981" s="7" t="str">
        <f>IFERROR(__xludf.DUMMYFUNCTION("""COMPUTED_VALUE"""),"")</f>
        <v/>
      </c>
    </row>
    <row r="982">
      <c r="G982" s="7" t="str">
        <f>IFERROR(__xludf.DUMMYFUNCTION("""COMPUTED_VALUE"""),"")</f>
        <v/>
      </c>
    </row>
    <row r="983">
      <c r="G983" s="7" t="str">
        <f>IFERROR(__xludf.DUMMYFUNCTION("""COMPUTED_VALUE"""),"")</f>
        <v/>
      </c>
    </row>
    <row r="984">
      <c r="G984" s="7" t="str">
        <f>IFERROR(__xludf.DUMMYFUNCTION("""COMPUTED_VALUE"""),"")</f>
        <v/>
      </c>
    </row>
    <row r="985">
      <c r="G985" s="7" t="str">
        <f>IFERROR(__xludf.DUMMYFUNCTION("""COMPUTED_VALUE"""),"")</f>
        <v/>
      </c>
    </row>
    <row r="986">
      <c r="G986" s="7" t="str">
        <f>IFERROR(__xludf.DUMMYFUNCTION("""COMPUTED_VALUE"""),"")</f>
        <v/>
      </c>
    </row>
    <row r="987">
      <c r="G987" s="7" t="str">
        <f>IFERROR(__xludf.DUMMYFUNCTION("""COMPUTED_VALUE"""),"")</f>
        <v/>
      </c>
    </row>
    <row r="988">
      <c r="G988" s="7" t="str">
        <f>IFERROR(__xludf.DUMMYFUNCTION("""COMPUTED_VALUE"""),"")</f>
        <v/>
      </c>
    </row>
    <row r="989">
      <c r="G989" s="7" t="str">
        <f>IFERROR(__xludf.DUMMYFUNCTION("""COMPUTED_VALUE"""),"")</f>
        <v/>
      </c>
    </row>
    <row r="990">
      <c r="G990" s="7" t="str">
        <f>IFERROR(__xludf.DUMMYFUNCTION("""COMPUTED_VALUE"""),"")</f>
        <v/>
      </c>
    </row>
    <row r="991">
      <c r="G991" s="7" t="str">
        <f>IFERROR(__xludf.DUMMYFUNCTION("""COMPUTED_VALUE"""),"")</f>
        <v/>
      </c>
    </row>
    <row r="992">
      <c r="G992" s="7" t="str">
        <f>IFERROR(__xludf.DUMMYFUNCTION("""COMPUTED_VALUE"""),"")</f>
        <v/>
      </c>
    </row>
    <row r="993">
      <c r="G993" s="7" t="str">
        <f>IFERROR(__xludf.DUMMYFUNCTION("""COMPUTED_VALUE"""),"")</f>
        <v/>
      </c>
    </row>
    <row r="994">
      <c r="G994" s="7" t="str">
        <f>IFERROR(__xludf.DUMMYFUNCTION("""COMPUTED_VALUE"""),"")</f>
        <v/>
      </c>
    </row>
    <row r="995">
      <c r="G995" s="7" t="str">
        <f>IFERROR(__xludf.DUMMYFUNCTION("""COMPUTED_VALUE"""),"")</f>
        <v/>
      </c>
    </row>
    <row r="996">
      <c r="G996" s="7" t="str">
        <f>IFERROR(__xludf.DUMMYFUNCTION("""COMPUTED_VALUE"""),"")</f>
        <v/>
      </c>
    </row>
    <row r="997">
      <c r="G997" s="7" t="str">
        <f>IFERROR(__xludf.DUMMYFUNCTION("""COMPUTED_VALUE"""),"")</f>
        <v/>
      </c>
    </row>
    <row r="998">
      <c r="G998" s="7" t="str">
        <f>IFERROR(__xludf.DUMMYFUNCTION("""COMPUTED_VALUE"""),"")</f>
        <v/>
      </c>
    </row>
    <row r="999">
      <c r="G999" s="7" t="str">
        <f>IFERROR(__xludf.DUMMYFUNCTION("""COMPUTED_VALUE"""),"")</f>
        <v/>
      </c>
    </row>
    <row r="1000">
      <c r="G1000" s="7" t="str">
        <f>IFERROR(__xludf.DUMMYFUNCTION("""COMPUTED_VALUE"""),"")</f>
        <v/>
      </c>
    </row>
  </sheetData>
  <drawing r:id="rId1"/>
</worksheet>
</file>