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Ideal-variasPreguntas-" sheetId="1" r:id="rId5"/>
    <sheet state="visible" name="Hoja 1" sheetId="2" r:id="rId6"/>
  </sheets>
  <definedNames/>
  <calcPr/>
</workbook>
</file>

<file path=xl/sharedStrings.xml><?xml version="1.0" encoding="utf-8"?>
<sst xmlns="http://schemas.openxmlformats.org/spreadsheetml/2006/main" count="926" uniqueCount="621">
  <si>
    <t>step</t>
  </si>
  <si>
    <t>entrada</t>
  </si>
  <si>
    <t>contexto</t>
  </si>
  <si>
    <t>salida</t>
  </si>
  <si>
    <t>esperado</t>
  </si>
  <si>
    <t>tiempo</t>
  </si>
  <si>
    <t>dif abs</t>
  </si>
  <si>
    <t>diferencia</t>
  </si>
  <si>
    <t>ERROR MAXIMO</t>
  </si>
  <si>
    <t>ERROR MEDIO ABSOLUTO</t>
  </si>
  <si>
    <t>SESGO DE CALIFICACION</t>
  </si>
  <si>
    <t>COINCIDENCIA EXACTA</t>
  </si>
  <si>
    <t>Exacto +-1 diferencia</t>
  </si>
  <si>
    <t>Respuesta: 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</si>
  <si>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['Eres un profesor experto en evaluación académica. Tu tarea es corregir respuestas de estudiantes, vas a obtener un par [Pregunta, Respuesta] tu funcion es evaluar la respuesta a la pregunta. Proporciona una breve justificación de la nota indicando los conceptos correctamente mencionados, los errores detectados y los conceptos importantes que faltan. Además,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'Para que utilices como contexto tienes a continuacion las respuestas ideales a las preguntas: [Pregunta: Explica el ciclo TDD  y su importancia en el desarrollo de software., RespuestaIdeal: El ciclo TDD consiste en tres etapas: primero, se escribe un test que falla (Rojo) porque la funcionalidad aún no ha sido implementada. En la segunda fase (Verde), se desarrolla el mínimo código necesario para que el test pase. Finalmente, en la etapa de Refactor, se mejora el código manteniendo todos los tests en verde. Este ciclo es crucial ya que promueve un desarrollo proactivo, asegurando que el código producido cumple con las especificaciones definidas inicialmente por los tests.][Pregunta: Explica la importancia de validar entradas en el contexto de TDD y cómo se relaciona con la robustez del software.,RespuestaIdeal: Validar entradas es crucial en TDD porque ayuda a prevenir errores y comportamientos inesperados en el software. Al escribir tests para validar las entradas antes de implementar la lógica del negocio, se aseguran condiciones adecuadas para el funcionamiento del código. Esto se traduce en un software más robusto, ya que se minimizan los casos de errores en tiempo de ejecución. La validación en TDD no solo mejora la calidad del código, sino que también facilita el mantenimiento y la comprensión del mismo.][Pregunta: Describe las buenas prácticas en TDD y su impacto en la calidad del software.,ResuestaIdeal: Las buenas prácticas en TDD incluyen escribir solo los tests necesarios para que fallen, evitar la duplicación de código y refactorizar regularmente. Estas prácticas aseguran que el desarrollo se mantenga enfocado y eficiente, reduciendo la complejidad del código y mejorando su mantenibilidad. Al seguir estas guías, se promueve la creación de un software más robusto y de alta calidad, ya que cada unidad de código está respaldada por pruebas que garantizan su correcto funcionamiento.][Pregunta: Compara TDD con un enfoque tradicional de testing en el desarrollo de software.,RespuestaIdeal: TDD y el enfoque tradicional de testing difieren fundamentalmente en su secuencia y propósito. En TDD, los tests se escriben antes del código, sirviendo como especificación y guía para el desarrollo. En contraste, en un enfoque tradicional, primero se desarrolla el código y luego se realizan pruebas, lo que puede llevar a una verificación reactiva. Además, en TDD, los tests son obligatorios y ayudan a prevenir errores desde el inicio, mientras que en el enfoque tradicional, los tests pueden ser opcionales y se utilizan para validar el trabajo ya realizado.]', 'Pregunta: Explica el ciclo TDD  y su importancia en el desarrollo de software.']</t>
  </si>
  <si>
    <t>**Evaluación de la respuesta**
La respuesta proporcionada explica el ciclo TDD (Test-Driven Development) de manera clara y concisa. A continuación, se presentan los conceptos correctamente mencionados, los errores detectados y los conceptos importantes que faltan:
**Conceptos correctamente mencionados:**
* El ciclo TDD se refiere al proceso de desarrollo de software que involucra la escritura de tests antes de implementar el código.
* Las tres etapas del ciclo TDD son: test en rojo, test en verde y refactor.
* La finalidad del ciclo TDD es asegurarse de que el código funcione correctamente y sea fácil de mantener.
**Errores detectados:**
* La respuesta no menciona explícitamente que el objetivo del test en rojo es escribir un test que falla porque la funcionalidad aún no ha sido implementada.
* La respuesta no destaca la importancia de la etapa de refactor en el ciclo TDD, enfocándose más en la mejora del código que en la mejora del diseño y la simplicidad del código.
* La respuesta no menciona la importancia de que el test en verde sea el mínimo código necesario para que el test pase.
**Conceptos importantes que faltan:**
* La respuesta no explica por qué el ciclo TDD es importante en el desarrollo de software, es decir, no menciona cómo promueve un desarrollo proactivo, asegurando que el código cumpla con las especificaciones definidas inicialmente por los tests.
* La respuesta no destaca la importancia de la repetición del ciclo TDD en el desarrollo de software, es decir, no menciona que se debe repetir el ciclo para asegurarse de que el código sigue siendo válido y funcional.
**Calificación: 6/10**
La respuesta proporcionada es buena, pero no es perfecta. Mantiene la esencia del ciclo TDD, pero falta profundidad y claridad en algunos aspectos importantes.&lt;|eot_id|&gt;</t>
  </si>
  <si>
    <t>Respuesta: 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</si>
  <si>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['Eres un profesor experto en evaluación académica. Tu tarea es corregir respuestas de estudiantes, vas a obtener un par [Pregunta, Respuesta] tu funcion es evaluar la respuesta a la pregunta. Proporciona una breve justificación de la nota indicando los conceptos correctamente mencionados, los errores detectados y los conceptos importantes que faltan. Además,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'Para que utilices como contexto tienes a continuacion las respuestas ideales a las preguntas: [Pregunta: Explica el ciclo TDD  y su importancia en el desarrollo de software., RespuestaIdeal: El ciclo TDD consiste en tres etapas: primero, se escribe un test que falla (Rojo) porque la funcionalidad aún no ha sido implementada. En la segunda fase (Verde), se desarrolla el mínimo código necesario para que el test pase. Finalmente, en la etapa de Refactor, se mejora el código manteniendo todos los tests en verde. Este ciclo es crucial ya que promueve un desarrollo proactivo, asegurando que el código producido cumple con las especificaciones definidas inicialmente por los tests.][Pregunta: Explica la importancia de validar entradas en el contexto de TDD y cómo se relaciona con la robustez del software.,RespuestaIdeal: Validar entradas es crucial en TDD porque ayuda a prevenir errores y comportamientos inesperados en el software. Al escribir tests para validar las entradas antes de implementar la lógica del negocio, se aseguran condiciones adecuadas para el funcionamiento del código. Esto se traduce en un software más robusto, ya que se minimizan los casos de errores en tiempo de ejecución. La validación en TDD no solo mejora la calidad del código, sino que también facilita el mantenimiento y la comprensión del mismo.][Pregunta: Describe las buenas prácticas en TDD y su impacto en la calidad del software.,ResuestaIdeal: Las buenas prácticas en TDD incluyen escribir solo los tests necesarios para que fallen, evitar la duplicación de código y refactorizar regularmente. Estas prácticas aseguran que el desarrollo se mantenga enfocado y eficiente, reduciendo la complejidad del código y mejorando su mantenibilidad. Al seguir estas guías, se promueve la creación de un software más robusto y de alta calidad, ya que cada unidad de código está respaldada por pruebas que garantizan su correcto funcionamiento.][Pregunta: Compara TDD con un enfoque tradicional de testing en el desarrollo de software.,RespuestaIdeal: TDD y el enfoque tradicional de testing difieren fundamentalmente en su secuencia y propósito. En TDD, los tests se escriben antes del código, sirviendo como especificación y guía para el desarrollo. En contraste, en un enfoque tradicional, primero se desarrolla el código y luego se realizan pruebas, lo que puede llevar a una verificación reactiva. Además, en TDD, los tests son obligatorios y ayudan a prevenir errores desde el inicio, mientras que en el enfoque tradicional, los tests pueden ser opcionales y se utilizan para validar el trabajo ya realizado.]', 'Pregunta: Compara TDD con un enfoque tradicional de testing en el desarrollo de software.']</t>
  </si>
  <si>
    <t>**Evaluación de la respuesta**
La respuesta proporcionada muestra una comprensión básica del concepto de TDD (Desarrollo Guiado por Pruebas) y su comparación con un enfoque tradicional de testing en el desarrollo de software. A continuación, se presentan los conceptos correctamente mencionados, errores detectados y conceptos importantes que faltan:
**Conceptos correctamente mencionados:**
1. La idea central de TDD es comprobar que la implementación de los métodos de la práctica sea correcta.
2. La secuencia de TDD: escribir tests que fallan, implementar el código y refactorear.
3. La importancia de probar los tests antes de implementar el código.
**Errores detectados:**
1. La respuesta no menciona explícitamente la importancia de escribir tests antes de implementar el código, lo que es un aspecto clave de TDD.
2. No se menciona la importancia de mantener los tests en verde (pasar) después de la implementación del código.
3. La comparación con el enfoque tradicional de testing no es muy clara y no destaca las ventajas de TDD sobre este enfoque.
**Conceptos importantes que faltan:**
1. La importancia de escribir tests que cubran todo el código y no solo los casos de falla.
2. La necesidad de refactorizar el código sin modificar su comportamiento.
3. La relación entre TDD y la calidad del software (robustez, mantenibilidad, etc.).
**Calificación: 6/10**
La respuesta muestra una comprensión básica de TDD y su comparación con un enfoque tradicional de testing, pero necesita mejorar en la claridad y profundidad de la explicación. La respuesta no destaca los beneficios y ventajas de TDD sobre el enfoque tradicional, lo que reduce su calificación.&lt;|eot_id|&gt;</t>
  </si>
  <si>
    <t>Respuesta: 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</si>
  <si>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['Eres un profesor experto en evaluación académica. Tu tarea es corregir respuestas de estudiantes, vas a obtener un par [Pregunta, Respuesta] tu funcion es evaluar la respuesta a la pregunta. Proporciona una breve justificación de la nota indicando los conceptos correctamente mencionados, los errores detectados y los conceptos importantes que faltan. Además,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'Para que utilices como contexto tienes a continuacion las respuestas ideales a las preguntas: [Pregunta: Explica el ciclo TDD  y su importancia en el desarrollo de software., RespuestaIdeal: El ciclo TDD consiste en tres etapas: primero, se escribe un test que falla (Rojo) porque la funcionalidad aún no ha sido implementada. En la segunda fase (Verde), se desarrolla el mínimo código necesario para que el test pase. Finalmente, en la etapa de Refactor, se mejora el código manteniendo todos los tests en verde. Este ciclo es crucial ya que promueve un desarrollo proactivo, asegurando que el código producido cumple con las especificaciones definidas inicialmente por los tests.][Pregunta: Explica la importancia de validar entradas en el contexto de TDD y cómo se relaciona con la robustez del software.,RespuestaIdeal: Validar entradas es crucial en TDD porque ayuda a prevenir errores y comportamientos inesperados en el software. Al escribir tests para validar las entradas antes de implementar la lógica del negocio, se aseguran condiciones adecuadas para el funcionamiento del código. Esto se traduce en un software más robusto, ya que se minimizan los casos de errores en tiempo de ejecución. La validación en TDD no solo mejora la calidad del código, sino que también facilita el mantenimiento y la comprensión del mismo.][Pregunta: Describe las buenas prácticas en TDD y su impacto en la calidad del software.,ResuestaIdeal: Las buenas prácticas en TDD incluyen escribir solo los tests necesarios para que fallen, evitar la duplicación de código y refactorizar regularmente. Estas prácticas aseguran que el desarrollo se mantenga enfocado y eficiente, reduciendo la complejidad del código y mejorando su mantenibilidad. Al seguir estas guías, se promueve la creación de un software más robusto y de alta calidad, ya que cada unidad de código está respaldada por pruebas que garantizan su correcto funcionamiento.][Pregunta: Compara TDD con un enfoque tradicional de testing en el desarrollo de software.,RespuestaIdeal: TDD y el enfoque tradicional de testing difieren fundamentalmente en su secuencia y propósito. En TDD, los tests se escriben antes del código, sirviendo como especificación y guía para el desarrollo. En contraste, en un enfoque tradicional, primero se desarrolla el código y luego se realizan pruebas, lo que puede llevar a una verificación reactiva. Además, en TDD, los tests son obligatorios y ayudan a prevenir errores desde el inicio, mientras que en el enfoque tradicional, los tests pueden ser opcionales y se utilizan para validar el trabajo ya realizado.]', 'Pregunta: Describe las buenas prácticas en TDD y su impacto en la calidad del software.']</t>
  </si>
  <si>
    <t>**Evaluación de la respuesta**
La respuesta proporcionada aborda las buenas prácticas en TDD y su impacto en la calidad del software, aunque con algunos errores y omisiones. A continuación, se presentan los conceptos correctamente mencionados, los errores detectados y los conceptos importantes que faltan:
**Conceptos correctamente mencionados:**
* La importancia de la independencia de los tests y la implementación de cada test y método.
* La necesidad de comentarios claros y explicativos en el código.
* El ciclo de TDD (test en rojo, implementación en verde y refactor) y su importancia en la mejora del código.
* La importancia de probar si los tests funcionan y comprobar dónde está fallando en caso de error.
**Errores detectados:**
* La respuesta no menciona explícitamente la importancia de escribir solo los tests necesarios para que fallen, lo que es una buena práctica clave en TDD.
* No se menciona la importancia de evitar la duplicación de código en la implementación.
* La respuesta no destaca la importancia de refactorizar regularmente para mejorar la calidad y mantenibilidad del código.
* La respuesta no menciona la importancia de que los tests sean obligatorios y ayuden a prevenir errores desde el inicio.
**Conceptos importantes que faltan:**
* La importancia de la robustez del software y cómo las buenas prácticas en TDD contribuyen a lograrla.
* La relación entre las buenas prácticas en TDD y la calidad del software, más allá de la simple probabilidad de que los tests funcionen.
**Calificación: 7/10**
La respuesta muestra una buena comprensión de las buenas prácticas en TDD y su impacto en la calidad del software, aunque con algunas omisiones y errores. La respuesta necesita ser revisada y ampliada para incluir los conceptos faltantes y corregir los errores detectados.&lt;|eot_id|&gt;</t>
  </si>
  <si>
    <t>Respuesta: 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</si>
  <si>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['Eres un profesor experto en evaluación académica. Tu tarea es corregir respuestas de estudiantes, vas a obtener un par [Pregunta, Respuesta] tu funcion es evaluar la respuesta a la pregunta. Proporciona una breve justificación de la nota indicando los conceptos correctamente mencionados, los errores detectados y los conceptos importantes que faltan. Además,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'Para que utilices como contexto tienes a continuacion las respuestas ideales a las preguntas: [Pregunta: Explica el ciclo TDD  y su importancia en el desarrollo de software., RespuestaIdeal: El ciclo TDD consiste en tres etapas: primero, se escribe un test que falla (Rojo) porque la funcionalidad aún no ha sido implementada. En la segunda fase (Verde), se desarrolla el mínimo código necesario para que el test pase. Finalmente, en la etapa de Refactor, se mejora el código manteniendo todos los tests en verde. Este ciclo es crucial ya que promueve un desarrollo proactivo, asegurando que el código producido cumple con las especificaciones definidas inicialmente por los tests.][Pregunta: Explica la importancia de validar entradas en el contexto de TDD y cómo se relaciona con la robustez del software.,RespuestaIdeal: Validar entradas es crucial en TDD porque ayuda a prevenir errores y comportamientos inesperados en el software. Al escribir tests para validar las entradas antes de implementar la lógica del negocio, se aseguran condiciones adecuadas para el funcionamiento del código. Esto se traduce en un software más robusto, ya que se minimizan los casos de errores en tiempo de ejecución. La validación en TDD no solo mejora la calidad del código, sino que también facilita el mantenimiento y la comprensión del mismo.][Pregunta: Describe las buenas prácticas en TDD y su impacto en la calidad del software.,ResuestaIdeal: Las buenas prácticas en TDD incluyen escribir solo los tests necesarios para que fallen, evitar la duplicación de código y refactorizar regularmente. Estas prácticas aseguran que el desarrollo se mantenga enfocado y eficiente, reduciendo la complejidad del código y mejorando su mantenibilidad. Al seguir estas guías, se promueve la creación de un software más robusto y de alta calidad, ya que cada unidad de código está respaldada por pruebas que garantizan su correcto funcionamiento.][Pregunta: Compara TDD con un enfoque tradicional de testing en el desarrollo de software.,RespuestaIdeal: TDD y el enfoque tradicional de testing difieren fundamentalmente en su secuencia y propósito. En TDD, los tests se escriben antes del código, sirviendo como especificación y guía para el desarrollo. En contraste, en un enfoque tradicional, primero se desarrolla el código y luego se realizan pruebas, lo que puede llevar a una verificación reactiva. Además, en TDD, los tests son obligatorios y ayudan a prevenir errores desde el inicio, mientras que en el enfoque tradicional, los tests pueden ser opcionales y se utilizan para validar el trabajo ya realizado.]', 'Pregunta: Explica la importancia de validar entradas en el contexto de TDD y cómo se relaciona con la robustez del software.']</t>
  </si>
  <si>
    <t>**Evaluación de la respuesta**
La respuesta proporcionada es parcialmente correcta, pero requiere más claridad y profundidad en la explicación. A continuación, se presentan los conceptos correctamente mencionados, los errores detectados y los conceptos importantes que faltan:
**Conceptos correctamente mencionados:**
* La importancia de validar entradas en el contexto de TDD.
* La necesidad de verificar datos como la edad de los alumnos o el ID del estudiante para evitar errores.
* La relación entre la validación de entradas y la creación de un buen proyecto y software.
**Errores detectados:**
* La respuesta no menciona explícitamente cómo la validación de entradas contribuye a la robustez del software.
* No se proporciona un ejemplo claro y conciso de cómo la validación de entradas puede prevenir errores en el software.
* La respuesta parece estar más enfocada en la importancia de la validación en general, en lugar de específicamente en el contexto de TDD.
**Conceptos importantes que faltan:**
* La explicación de cómo la validación de entradas se integra en el ciclo TDD (Rojo, Verde, Refactor).
* La relación entre la validación de entradas y la reducción de errores en tiempo de ejecución.
* Ejemplos más específicos de cómo la validación de entradas puede mejorar la calidad y robustez del software.
**Nota:** 6/10
**Justificación:** La respuesta proporcionada es parcialmente correcta, pero requiere más claridad y profundidad en la explicación. La respuesta debería enfocarse más en la importancia de la validación de entradas en el contexto de TDD y cómo contribuye a la robustez del software, en lugar de simplemente mencionar la importancia de la validación en general.&lt;|eot_id|&gt;</t>
  </si>
  <si>
    <t>Respuesta: 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</si>
  <si>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**Nota:** 7/10
**Conceptos correctamente mencionados:**
* La metodología TDD se divide en fases.
* La fase "rojo" se refiere a los tests que no han sido cubiertos de forma correcta y han fallado.
* La fase "verde" se refiere a los tests que han sido satisfactorios y cubren lo requerido.
* La fase "refactor" se encarga de limpiar el código y su diseño.
**Errores detectados:**
* La explicación no es muy detallada y no menciona la secuencia correcta de las fases.
* No se menciona la importancia del ciclo TDD en el desarrollo de software.
* No se menciona la idea de escribir tests antes del código.
**Conceptos importantes que faltan:**
* La idea de escribir tests antes del código.
* La importancia de la fase "refactor" en la mejora continua del código.
* La relación entre el ciclo TDD y la calidad del software.
**Sugerencias para mejorar la respuesta:**
* Añadir más detalles sobre la secuencia de las fases y su importancia en el ciclo TDD.
* Mencionar la importancia de escribir tests antes del código y su relación con la calidad del software.
* Añadir ejemplos o ejercicios prácticos para ilustrar la aplicación del ciclo TDD.
**Respuesta ideal:**
El ciclo TDD consiste en tres etapas: primero, se escribe un test que falla (Rojo) porque la funcionalidad aún no ha sido implementada. En la segunda fase (Verde), se desarrolla el mínimo código necesario para que el test pase. Finalmente, en la etapa de Refactor, se mejora el código manteniendo todos los tests en verde. Este ciclo es crucial ya que promueve un desarrollo proactivo, asegurando que el código producido cumple con las especificaciones definidas inicialmente por los tests.&lt;|eot_id|&gt;</t>
  </si>
  <si>
    <t>Respuesta: 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</si>
  <si>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**Evaluación de la respuesta**
La respuesta proporcionada es parcialmente correcta, pero requiere algunos ajustes para reflejar con precisión la comparación entre TDD y el enfoque tradicional de testing en el desarrollo de software.
**Conceptos correctamente mencionados:**
* El Test Driven Development (TDD) permite probar paso a paso durante el ciclo de desarrollo del software.
* El TDD permite realizar pruebas más frecuentes y de forma más flexible.
* El TDD se considera más fiable que el enfoque tradicional para asegurar que las funcionalidades requeridas se cumplan de forma adecuada sin errores.
**Errores detectados:**
* La respuesta no menciona explícitamente la secuencia y el propósito de los tests en TDD y en el enfoque tradicional.
* La respuesta no destaca la importancia de la validación de entradas y la robustez del software en TDD.
* La respuesta no menciona las buenas prácticas en TDD, como escribir solo los tests necesarios para que fallen, evitar la duplicación de código y refactorizar regularmente.
**Conceptos importantes que faltan:**
* La importancia de escribir tests antes del código en TDD.
* La diferencia entre la secuencia de TDD (escribir tests, desarrollar código, refactorizar) y el enfoque tradicional (desarrollar código, luego realizar pruebas).
* La relación entre TDD y la robustez del software.
**Calificación: 6/10**
La respuesta proporcionada muestra una comprensión básica de TDD y su ventajas en comparación con el enfoque tradicional, pero requiere más detalles y profundidad para reflejar con precisión la teoría y la práctica de TDD.&lt;|eot_id|&gt;</t>
  </si>
  <si>
    <t>Respuesta: 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</si>
  <si>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**Evaluación de la respuesta**
La respuesta proporcionada describe algunas buenas prácticas en el Test Driven Development (TDD) y su impacto en la calidad del software. A continuación, se evaluará la respuesta y se proporcionará una justificación de los conceptos correctamente mencionados, los errores detectados y los conceptos importantes que faltan.
**Conceptos correctamente mencionados:**
1. La importancia de realizar test de cobertura para definir lo que se quiere cubrir con el código.
2. La práctica de realizar los tests antes que el código para que los tests diseñen el código.
3. La importancia de realizar pruebas y tests a lo largo del ciclo del software, no solo al final.
**Errores detectados:**
1. La respuesta no menciona explícitamente la importancia de refactorizar regularmente, lo que es una buena práctica clave en el TDD.
2. No se menciona la necesidad de evitar la duplicación de código, que es otra buena práctica importante en el TDD.
3. La respuesta no proporciona ejemplos concretos de cómo aplicar estas buenas prácticas en un contexto específico.
**Conceptos importantes que faltan:**
1. La importancia de escribir solo los tests necesarios para que fallen, lo que ayuda a mantener el desarrollo enfocado y eficiente.
2. La necesidad de mantener los tests actualizados y relevantes a medida que el software evoluciona.
3. La importancia de utilizar herramientas y tecnologías adecuadas para automatizar y facilitar el proceso de testing.
**Calificación: 7/10**
La respuesta proporcionada muestra una buena comprensión de algunas buenas prácticas en el TDD, pero falta una mayor profundidad y detalle en algunos aspectos clave. La respuesta podría mejorar si se incluyeran ejemplos concretos y se mencionaran los conceptos importantes que faltan.&lt;|eot_id|&gt;</t>
  </si>
  <si>
    <t>Respuesta: 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</si>
  <si>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**Evaluación de la respuesta**
La respuesta proporcionada aborda la importancia de validar entradas en el contexto de TDD, pero no cubre todos los aspectos esenciales de la pregunta. A continuación, se presentan los conceptos correctamente mencionados, los errores detectados y los conceptos importantes que faltan:
**Conceptos correctamente mencionados:**
* La importancia de validar entradas en el contexto de TDD.
* La relación entre la validación de entradas y la robustez del software.
* La idea de que más test y validaciones conducen a una mayor fiabilidad y estabilidad del software.
**Errores detectados:**
* La respuesta no menciona explícitamente la importancia de validar entradas para prevenir errores y comportamientos inesperados en el software.
* No se menciona la relación entre la validación de entradas y la facilidad de mantenimiento y comprensión del software.
* La respuesta se centra en la idea de que más test y validaciones conducen a una mayor fiabilidad, pero no explica cómo se logra esto en la práctica.
**Conceptos importantes que faltan:**
* La explicación de cómo la validación de entradas en TDD ayuda a prevenir errores y comportamientos inesperados en el software.
* La importancia de validar entradas para asegurar condiciones adecuadas para el funcionamiento del código.
* La relación entre la validación de entradas y la calidad del código.
**Calificación: 6/10**
La respuesta proporcionada muestra una comprensión básica de la importancia de validar entradas en el contexto de TDD, pero no cubre todos los aspectos esenciales de la pregunta. La respuesta podría ser mejorada con más detalles y ejemplos prácticos para respaldar las afirmaciones.&lt;|eot_id|&gt;</t>
  </si>
  <si>
    <t>Respuesta: 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</si>
  <si>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**Evaluación de la respuesta**
La respuesta proporcionada describe el ciclo TDD de manera general, pero no es tan detallada como la respuesta ideal. A continuación, se presentan los conceptos correctamente mencionados, los errores detectados y los conceptos importantes que faltan:
**Conceptos correctamente mencionados:**
* El ciclo TDD se compone de 3 pasos cíclicos.
* Los 3 pasos son: Rojo, Verde y Refactor.
* El objetivo del ciclo es desarrollar código de manera fiable y modular.
**Errores detectados:**
* La respuesta no menciona que el test debe fallar en la etapa "Rojo" porque la funcionalidad aún no ha sido implementada.
* La respuesta no menciona que en la etapa "Verde" se desarrolla el mínimo código necesario para que el test pase.
* La respuesta no menciona que en la etapa "Refactor" se mejora el código manteniendo todos los tests en verde.
**Conceptos importantes que faltan:**
* La respuesta no menciona la importancia del ciclo TDD en el desarrollo de software.
* No se menciona la secuencia de eventos en cada paso del ciclo TDD.
**Calificación: 6/10**
La respuesta proporcionada es básica y no muestra una comprensión profunda del ciclo TDD y su importancia en el desarrollo de software. Aunque menciona los 3 pasos del ciclo, no proporciona detalles importantes y no muestra una comprensión clara de la secuencia de eventos y la importancia del ciclo en el desarrollo de software.&lt;|eot_id|&gt;</t>
  </si>
  <si>
    <t>Respuesta: 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</si>
  <si>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**Evaluación de la respuesta**
La respuesta proporcionada por el estudiante es una buena intento de comparar el enfoque tradicional de testing con el enfoque TDD en el desarrollo de software. Sin embargo, hay algunos conceptos que no están claros o no están completamente desarrollados.
**Conceptos correctamente mencionados:**
* El enfoque tradicional de testing implica desarrollar el código primero y luego realizar pruebas para verificar su funcionamiento.
* El enfoque TDD implica escribir tests primero y luego desarrollar el código que haga que los tests pasen.
* El enfoque TDD puede generar código más limpio, fiable y modular.
**Errores detectados:**
* La respuesta no menciona la importancia de la secuencia de eventos en el enfoque TDD, es decir, que los tests deben escribirse antes del código.
* La respuesta no destaca la diferencia en el propósito de los tests en el enfoque tradicional y en el enfoque TDD. En el enfoque tradicional, los tests se utilizan para verificar el funcionamiento del código ya desarrollado, mientras que en el enfoque TDD, los tests sirven como especificación y guía para el desarrollo del código.
* La respuesta no menciona la importancia de la refactorización en el enfoque TDD.
**Conceptos importantes que faltan:**
* La explicación de cómo el enfoque TDD puede ayudar a prevenir errores y mejorar la calidad del código.
* La mención de los beneficios adicionales del enfoque TDD, como la mejora de la mantenibilidad y la escalabilidad del código.
**Calificación: 6/10**
La respuesta proporcionada es una buena base para una comparación entre el enfoque tradicional de testing y el enfoque TDD. Sin embargo, hay algunos conceptos importantes que no están claros o no están completamente desarrollados. Con un poco más de profundidad y claridad en la explicación, la respuesta podría ser aún mejor.&lt;|eot_id|&gt;</t>
  </si>
  <si>
    <t>Respuesta: 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</si>
  <si>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**Evaluación de la respuesta**
La respuesta proporcionada describe algunas buenas prácticas en TDD, pero no cubre todos los aspectos importantes. A continuación, se presentan los conceptos correctamente mencionados, los errores detectados y los conceptos importantes que faltan:
**Conceptos correctamente mencionados:**
* La importancia de los nombres descriptivos para los tests.
* La necesidad de test unitarios, es decir, tests que no dependan de otros.
**Errores detectados:**
* La respuesta no menciona la importancia de escribir solo los tests necesarios para que fallen, lo que es una buena práctica clave en TDD.
* No se menciona la necesidad de evitar la duplicación de código.
* No se menciona la importancia del refactorización regular.
* La respuesta no explica cómo estas buenas prácticas impactan en la calidad del software.
**Conceptos importantes que faltan:**
* La importancia de la iteración y la reflexión en TDD.
* La necesidad de enfocarse en la simplicidad y la claridad en los tests.
* La importancia de mantener los tests actualizados y reflejando los cambios en el código.
**Calificación: 6/10**
La respuesta proporcionada muestra una buena comprensión de algunas buenas prácticas en TDD, pero no cubre todos los aspectos importantes. La respuesta podría mejorar si se incluyera la información faltante y se proporcionara ejemplos concretos para ilustrar cada punto.
**Sugerencias de mejora:**
* Incluir la importancia de escribir solo los tests necesarios para que fallen.
* Mencionar la necesidad de evitar la duplicación de código.
* Explicar la importancia del refactorización regular.
* Incluir la importancia de la iteración y la reflexión en TDD.
* Agregar ejemplos concretos para ilustrar cada punto.&lt;|eot_id|&gt;</t>
  </si>
  <si>
    <t>Respuesta: 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</si>
  <si>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**Evaluación de la respuesta**
La respuesta proporcionada describe con claridad el ciclo TDD y su importancia en el desarrollo de software. A continuación, se presentan los conceptos correctamente mencionados, errores detectados y conceptos importantes que faltan:
**Conceptos correctamente mencionados:**
* El ciclo TDD se basa en las etapas Rojo, Verde y Refactor.
* La etapa Rojo implica crear tests que fallan porque la funcionalidad no ha sido implementada.
* La etapa Verde implica crear las funcionalidades para que los tests pasen.
* La etapa Refactor implica mejorar las funcionalidades sin alterar el comportamiento.
* El objetivo del TDD es guiar el diseño de software a través de pruebas automáticas (tests).
* El TDD puede ayudar a crear mejores diseños de software y anticiparse a posibles errores.
**Errores detectados:**
* La respuesta no menciona explícitamente que la secuencia del ciclo TDD es Rojo-Verde-Refactor, sino que lo describe como "ciclo iterativo" sin especificar la secuencia correcta.
* No se menciona la importancia de la automatización en el TDD, es decir, que los tests deben ser automáticos y no realizados manualmente.
**Conceptos importantes que faltan:**
* No se menciona la importancia de la minimización del código y la eliminación de duplicados en la etapa Refactor.
* No se menciona la importancia de la claridad y concisión en la escritura de tests.
* No se menciona la importancia de la retroalimentación continua y la mejora continua en el proceso de TDD.
**Calificación: 7/10**
La respuesta proporcionada es clara y describe con precisión el ciclo TDD y su importancia en el desarrollo de software. Sin embargo, falta profundidad en algunos aspectos y no menciona algunos conceptos importantes relacionados con el TDD. Con algunas correcciones y adiciones, la respuesta podría ser aún más completa y precisa.&lt;|eot_id|&gt;</t>
  </si>
  <si>
    <t>Respuesta: 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</si>
  <si>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**Evaluación de la respuesta**
La respuesta proporcionada es una buena aproximación al concepto de TDD (Desarrollo Dirigido por Pruebas) en comparación con el enfoque tradicional de testing en el desarrollo de software. A continuación, se presentan los conceptos correctamente mencionados, los errores detectados y los conceptos importantes que faltan:
**Conceptos correctamente mencionados:**
1. La secuencia de TDD, que implica crear tests antes de la programación.
2. La ventaja de TDD en cuanto a la prevención de errores y mejora de las funcionalidades de los tests.
3. La importancia de un diseño modular y fácil de mantener en el desarrollo de software.
**Errores detectados:**
1. La respuesta no menciona explícitamente la importancia de la validación de entradas en TDD y su relación con la robustez del software.
2. No se destaca la importancia de refactorizar regularmente en TDD para mantener el código limpio y eficiente.
3. La respuesta no proporciona ejemplos concretos de cómo TDD se diferencia del enfoque tradicional de testing en términos de secuencia y propósito.
**Conceptos importantes que faltan:**
1. La importancia de escribir solo los tests necesarios para que fallen en TDD.
2. La diferencia en la complejidad del código y la facilidad de mantenimiento entre TDD y el enfoque tradicional de testing.
3. La relación entre TDD y la calidad del software en términos de robustez, escalabilidad y fiabilidad.
**Nota: 7/10**
La respuesta proporcionada es una buena aproximación al concepto de TDD, pero requiere más detalles y ejemplos concretos para demostrar una comprensión más profunda del tema. La respuesta ideal proporciona una visión más completa y detallada de los beneficios y características de TDD en comparación con el enfoque tradicional de testing.&lt;|eot_id|&gt;</t>
  </si>
  <si>
    <t>Respuesta: 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</si>
  <si>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**Evaluación de la respuesta**
La respuesta proporcionada describe algunas buenas prácticas en TDD, pero no aborda completamente el tema. A continuación, se presentan los conceptos correctamente mencionados, los errores detectados y los conceptos importantes que faltan:
**Conceptos correctamente mencionados:**
* La importancia de darle un nombre descriptivo a los tests para facilitar su comprensión y evitar la necesidad de comentarios.
* La necesidad de que los tests sean independientes, es decir, que su resultado no dependa del resultado de otros tests.
* La recomendación de que cada funcionalidad se pruebe en un solo test, evitando la duplicación de código y mejorar la claridad.
**Errores detectados:**
* La respuesta no menciona la importancia de escribir solo los tests necesarios para que fallen, lo que es una de las buenas prácticas fundamentales en TDD.
* No se menciona la necesidad de refactorizar regularmente para mantener la simplicidad y la eficiencia del código.
* No se aborda la importancia de evitar la duplicación de código y la necesidad de mantener la coherencia en los tests.
**Conceptos importantes que faltan:**
* La importancia de escribir tests que cubran todos los escenarios y casos de uso posibles.
* La necesidad de utilizar una herramienta de automatización para ejecutar los tests y obtener informes sobre los resultados.
* La importancia de integrar los tests en el flujo de trabajo de desarrollo para garantizar que se ejecuten automáticamente después de cada cambio en el código.
**Calificación: 6/10**
La respuesta proporcionada muestra una comprensión básica de algunas buenas prácticas en TDD, pero no aborda completamente el tema. Se necesitan más detalles y conceptos para evaluar la respuesta como correcta y completa.&lt;|eot_id|&gt;</t>
  </si>
  <si>
    <t>Respuesta: Es muy importante el validar entradas ya que comienzas con una estructura muy robusta y correcta, sino a mitad del proceso se pueden volver los test fragil.</t>
  </si>
  <si>
    <t>**Evaluación de la respuesta**
La respuesta proporcionada intenta abordar la importancia de validar entradas en el contexto de TDD, pero hay algunas carencias en la explicación que afectan su claridad y precisión.
**Conceptos correctos mencionados:**
* La importancia de validar entradas en TDD.
* La relación entre la validación de entradas y la robustez del software.
**Errores detectados:**
* La respuesta no proporciona una explicación clara y detallada sobre por qué la validación de entradas es importante en TDD.
* No se menciona cómo la validación de entradas ayuda a prevenir errores y comportamientos inesperados en el software.
* La respuesta utiliza un lenguaje vago al mencionar que la validación de entradas ayuda a crear una "estructura muy robusta y correcta", sin especificar cómo se logra esto.
**Conceptos importantes que faltan:**
* No se menciona la importancia de escribir tests para validar las entradas antes de implementar la lógica del negocio.
* No se explica cómo la validación de entradas se relaciona con la reducción de errores en tiempo de ejecución y la mejora de la calidad del código.
**Calificación: 6/10**
La respuesta proporcionada no cumple con los requisitos de claridad, precisión y completitud requeridos para una respuesta ideal. Aunque menciona la importancia de validar entradas en TDD, la explicación es vaga y no proporciona suficiente detalles para respaldar su afirmación.&lt;|eot_id|&gt;</t>
  </si>
  <si>
    <t>Respuesta: 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</si>
  <si>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**Evaluación de la respuesta**
La respuesta proporcionada describe el ciclo TDD (Desarrollo Guiado por Pruebas) de manera general, aunque con algunos errores y omisiones. A continuación, se presentan los conceptos correctamente mencionados, los errores detectados y los conceptos importantes que faltan:
**Conceptos correctamente mencionados:**
* El ciclo TDD se describe como un proceso de tres pasos: Rojo, Verde y Refactor.
* El paso Rojo se refiere a un test que falla debido a que la funcionalidad aún no ha sido implementada.
* El paso Verde se refiere a la implementación del mínimo código necesario para que el test pase.
* El paso Refactor se refiere a la mejora del código manteniendo todos los tests en verde.
**Errores detectados:**
* La respuesta no menciona que el ciclo TDD se repite iterativamente, es decir, que se vuelve a ejecutar el proceso de Rojo, Verde y Refactor para cada nueva funcionalidad o requerimiento.
* La respuesta no menciona la importancia de que el test que falla en el paso Rojo sea específico y objetivo, es decir, que se centre en una sola funcionalidad o requerimiento.
* La respuesta no menciona la importancia de que el código en el paso Verde sea el más simple posible, es decir, que se evite la duplicación de código y se utilicen patrones de diseño y principios de programación sólida.
**Conceptos importantes que faltan:**
* La respuesta no menciona la importancia de que el ciclo TDD se utilice desde el principio del desarrollo de software, es decir, que se utilice para guiar el diseño y la implementación del software.
* La respuesta no menciona la importancia de que el ciclo TDD se utilice para garantizar la calidad del software, es decir, que se utilice para asegurarse de que el software cumpla con los requisitos y sea robusto y escalable.
**Calificación: 6/10**
La respuesta proporcionada es una buena introducción al ciclo TDD, pero necesita ser más detallada y precisa para reflejar la complejidad y la importancia del proceso. La respuesta no menciona algunos conceptos importantes y contiene errores que pueden llevar a confusiones.&lt;|eot_id|&gt;</t>
  </si>
  <si>
    <t>Respuesta: En el enfoque tradicional de testing en el desarrollo de software es algo que se centra más en el código que pasar los test, los test se consideran algo secundario. 
En el desarrollo del TDD se centra más en el partado de los test que el desarrollo del código en si.</t>
  </si>
  <si>
    <t>**Evaluación de la respuesta**
La respuesta proporcionada no aborda completamente la pregunta y no demuestra una comprensión profunda del concepto de TDD y su comparación con el enfoque tradicional de testing.
**Conceptos correctamente mencionados:**
* La respuesta menciona que en el enfoque tradicional de testing se centra más en el código que en pasar los tests.
* También menciona que en el desarrollo de TDD se centra más en el desarrollo de los tests que en el desarrollo del código.
**Errores detectados:**
* La respuesta no proporciona una descripción clara y detallada de la diferencia entre TDD y el enfoque tradicional de testing.
* No se menciona el propósito de los tests en TDD, que es servir como especificación y guía para el desarrollo.
* No se destaca la importancia de la secuencia de TDD, donde los tests se escriben antes del código.
**Conceptos importantes que faltan:**
* No se menciona la diferencia en la secuencia de desarrollo entre TDD y el enfoque tradicional.
* No se explica cómo TDD promueve un desarrollo más proactivo y preventivo en comparación con el enfoque tradicional.
* No se destaca la importancia de la refactoring en TDD.
**Calificación: 4/10**
La respuesta proporcionada es incompleta y no demuestra una comprensión profunda del concepto de TDD y su comparación con el enfoque tradicional de testing. La respuesta podría mejorar si se proporciona una descripción más detallada y clara de las diferencias entre ambos enfoques y se mencionan los conceptos importantes que faltan.&lt;|eot_id|&gt;</t>
  </si>
  <si>
    <t>Respuesta: 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</si>
  <si>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**Evaluación de la respuesta**
La respuesta proporcionada describe algunas buenas prácticas en TDD, pero no aborda completamente el tema. A continuación, se presentan los conceptos correctamente mencionados, los errores detectados y los conceptos importantes que faltan:
**Conceptos correctamente mencionados:**
* La idea de mejorar el desarrollo de software de manera progresiva durante el desarrollo.
* La importancia de hacer que el código sea accesible para otros integrantes del grupo.
**Errores detectados:**
* La respuesta no menciona explícitamente las buenas prácticas en TDD, como escribir solo los tests necesarios para que fallen, evitar la duplicación de código y refactorizar regularmente.
* La respuesta no explica cómo estas prácticas impactan en la calidad del software.
* La respuesta utiliza un lenguaje vago y no proporciona ejemplos concretos.
**Conceptos importantes que faltan:**
* La importancia de escribir tests antes del código en TDD.
* La necesidad de refactorizar regularmente para mantener la simplicidad y la legibilidad del código.
* El impacto de las buenas prácticas en TDD en la robustez y la mantenibilidad del software.
**Nota:** 6/10
**Justificación:** La respuesta proporcionada muestra una comprensión básica de las buenas prácticas en TDD, pero no aborda completamente el tema. La respuesta necesita ser más específica y proporcionar ejemplos concretos para demostrar una comprensión más profunda del tema.&lt;|eot_id|&gt;</t>
  </si>
  <si>
    <t>Respuesta: 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</si>
  <si>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**Evaluación de la respuesta**
La respuesta proporcionada intenta explicar la importancia de validar entradas en el contexto de TDD, pero presenta algunos errores y conceptos incompletos. A continuación, se presentan los conceptos correctamente mencionados, los errores detectados y los conceptos importantes que faltan:
**Conceptos correctamente mencionados:**
* La respuesta menciona la importancia de validar entradas en el contexto de TDD.
* Se menciona el concepto de "casos Edge", que se refiere a los casos en los que se pueden equivocar los datos de entrada.
* Se proporciona un ejemplo de cómo validar la edad de un usuario.
**Errores detectados:**
* La respuesta no explica con claridad por qué la validación de entradas es importante en TDD. ¿Por qué es crucial para la robustez del software?
* La respuesta se enfoca en evitar errores de entrada, pero no menciona cómo la validación de entradas ayuda a prevenir errores y comportamientos inesperados en el software.
* La respuesta no menciona la importancia de la validación de entradas en la fase de diseño y desarrollo del software.
**Conceptos importantes que faltan:**
* La respuesta no menciona la relación entre la validación de entradas y la robustez del software. ¿Cómo la validación de entradas ayuda a crear un software más robusto y menos propenso a errores?
* No se menciona la importancia de la validación de entradas en la fase de mantenimiento del software.
* No se proporciona ejemplos adicionales de cómo la validación de entradas puede prevenir errores y mejorar la calidad del software.
**Calificación: 6/10**
La respuesta proporcionada presenta algunos conceptos básicos de la importancia de la validación de entradas en TDD, pero falta claridad y profundidad en la explicación. La respuesta no aborda completamente la relación entre la validación de entradas y la robustez del software, y no proporciona ejemplos adicionales para ilustrar la importancia de la validación de entradas.&lt;|eot_id|&gt;</t>
  </si>
  <si>
    <t>Respuesta: 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</si>
  <si>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**Evaluación de la respuesta**
La respuesta proporcionada describe el ciclo TDD (Test Driven Development) y su importancia en el desarrollo de software de manera general. A continuación, se presentan los conceptos correctamente mencionados, los errores detectados y los conceptos importantes que faltan:
**Conceptos correctamente mencionados:**
* El ciclo TDD consta de tres etapas: Rojo, Verde y Refactor.
* La etapa Rojo implica escribir un test que falla porque las clases y métodos no están implementados.
* La etapa Verde implica implementar el código mínimo para que el test anterior pase sin problemas.
* La etapa Refactor implica mejorar el código o estructura interna sin afectar la salida o comportamiento del programa.
**Errores detectados:**
* La respuesta no menciona explícitamente la importancia del TDD en la creación de programas con códigos completos y eficientes.
* No se menciona la importancia de la validación de entradas en el contexto del TDD.
* La respuesta no destaca la importancia de la refactorización en la etapa Refactor.
**Conceptos importantes que faltan:**
* La respuesta no menciona la importancia de escribir solo los tests necesarios para que fallen, evitar la duplicación de código y refactorizar regularmente.
* No se menciona la diferencia entre TDD y un enfoque tradicional de testing en el desarrollo de software.
**Nota:** 7/10
La respuesta proporcionada es clara y concisa, pero faltan algunos conceptos importantes para una evaluación completa del ciclo TDD y su importancia en el desarrollo de software. Se recomienda mejorar la respuesta para incluir estos conceptos y proporcionar una explicación más detallada y completa.&lt;|eot_id|&gt;</t>
  </si>
  <si>
    <t>Respuesta: 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</si>
  <si>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**Evaluación de la respuesta**
La respuesta proporcionada ofrece una buena comprensión de la diferencia entre el TDD (Desarrollo Guiado por Pruebas) y el enfoque tradicional de testing en el desarrollo de software. A continuación, se presentan los conceptos correctamente mencionados, errores detectados y conceptos importantes que faltan:
**Conceptos correctamente mencionados:**
* La secuencia de TDD: escribir tests primero y luego el código.
* La diferencia entre programación proactiva (TDD) y reactiva (testing tradicional).
* La importancia de los tests obligatorios en TDD.
* La ventaja de TDD en cuanto a minimizar la probabilidad de bugs y código innecesario.
**Errores detectados:**
* La respuesta no menciona explícitamente la importancia de la secuencia de TDD en términos de calidad del software.
* No se explica con claridad cómo la programación proactiva en TDD ayuda a prevenir errores desde el inicio.
* La respuesta no menciona la importancia de refactorizar el código en TDD.
**Conceptos importantes que faltan:**
* La importancia de la robustez del software en TDD.
* La relación entre la validación de entradas y la robustez del software.
* La importancia de la claridad y concisión en la respuesta.
**Nota: 7/10**
La respuesta proporcionada ofrece una buena comprensión de la diferencia entre TDD y testing tradicional, pero hay oportunidades para mejorar en términos de claridad y concisión. La respuesta podría ser más efectiva si se enfocara en la importancia de la secuencia de TDD, la programación proactiva y la robustez del software.&lt;|eot_id|&gt;</t>
  </si>
  <si>
    <t>Respuesta: -El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</si>
  <si>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**Evaluación de la respuesta**
La respuesta proporcionada describe algunas buenas prácticas en TDD, pero no aborda completamente el impacto en la calidad del software. A continuación, se presentan los conceptos correctamente mencionados, errores detectados y conceptos importantes que faltan:
**Conceptos correctamente mencionados:**
* El principio FIRST se utiliza para crear tests rápidos, independientes, reutilizables e invariables en el tiempo.
* La importancia de escribir código estrictamente necesario para que sea cubierto por los tests.
* La importancia del refactor para mejorar la eficiencia del código sin afectar su comportamiento.
* La estructura AAA (A..., ACT, ASSERT) en los tests para asegurar su completitud.
**Errores detectados:**
* La respuesta no menciona explícitamente la importancia de escribir tests antes del código, lo que es una característica clave de TDD.
* No se menciona la importancia de la validación de entradas en TDD y su impacto en la robustez del software.
* La respuesta no aborda la importancia de la automatización de tests y la integración continua en TDD.
**Conceptos importantes que faltan:**
* La importancia de la simplicidad y claridad en los tests.
* La necesidad de mantener los tests actualizados y no obsoletos.
* La importancia de la retroalimentación y la mejora continua en TDD.
**Nota: 7/10**
La respuesta proporcionada es buena, pero no aborda completamente el impacto en la calidad del software. Se necesitan más detalles y ejemplos para ilustrar las buenas prácticas en TDD y su relación con la calidad del software.&lt;|eot_id|&gt;</t>
  </si>
  <si>
    <t>Respuesta: Es importante validar entradas en el contexto de TDD puesto que garantiza que el código no devuelva valores erróneos o sin sentido, permitiendo que el código sea eficiente y robusto.</t>
  </si>
  <si>
    <t>**Nota:** 8/10
**Conceptos correctamente mencionados:** 
- La importancia de validar entradas en TDD.
- La relación con la robustez del software.
**Errores detectados:**
- La respuesta no menciona explícitamente la importancia de escribir tests para validar las entradas antes de implementar la lógica del negocio, lo que es un aspecto crucial en TDD.
- La respuesta no proporciona ejemplos concretos de cómo la validación de entradas puede afectar la robustez del software.
**Conceptos importantes que faltan:**
- La necesidad de validar entradas para prevenir errores y comportamientos inesperados en el software.
- La importancia de la validación en TDD para mejorar la calidad del código y facilitar su mantenimiento.
**Justificación:** La respuesta proporciona una idea general de la importancia de validar entradas en TDD y su relación con la robustez del software, pero no profundiza lo suficiente en los conceptos clave de TDD y no proporciona ejemplos concretos. Para mejorar, la respuesta debería incluir ejemplos y explicaciones más detalladas sobre la importancia de la validación de entradas en TDD.&lt;|eot_id|&gt;</t>
  </si>
  <si>
    <t>Respuesta: 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</si>
  <si>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**Evaluación de la respuesta**
La respuesta proporcionada describe el ciclo TDD (Test Driven Development) y su importancia en el desarrollo de software. A continuación, se evalúa la precisión conceptual, la completitud de la respuesta, el uso correcto de la terminología y la claridad de la explicación.
**Conceptos correctamente mencionados:**
* El ciclo TDD se basa en el ciclo Red - Green - Refactor.
* El primer paso es crear un test que falle (Red).
* El segundo paso es escribir lo mínimo necesario para que el test pase (Green).
* El tercer paso es optimizar y mejorar el código ya escrito (Refactor).
* El ejemplo de uso de Maven es un buen ejemplo de cómo se aplica el ciclo TDD.
**Errores detectados:**
* La respuesta no menciona explícitamente la importancia del ciclo TDD en el desarrollo de software.
* No se menciona que el ciclo TDD es crucial para asegurar que el código cumple con las especificaciones definidas inicialmente por los tests.
* La respuesta se centra más en la secuencia de pasos del ciclo TDD que en su importancia y beneficios.
**Conceptos importantes que faltan:**
* La importancia de escribir tests antes del código en TDD.
* La relación entre TDD y la robustez del software.
* La necesidad de refactorizar regularmente para mantener el código limpio y eficiente.
**Calificación:** 6/10
La respuesta proporcionada describe el ciclo TDD de manera correcta, pero falta en la explicación de su importancia y beneficios en el desarrollo de software. La respuesta podría ser más completa y detallada para reflejar la importancia de TDD en la creación de software robusto y de alta calidad.&lt;|eot_id|&gt;</t>
  </si>
  <si>
    <t>Respuesta: 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</si>
  <si>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**Evaluación de la respuesta**
La respuesta proporcionada describe una comprensión básica de la diferencia entre el enfoque tradicional de testing y el ciclo de Desarrollo Guiado por Pruebas (TDD). Sin embargo, hay algunos conceptos importantes que faltan y algunos errores conceptuales que se deben corregir.
**Conceptos correctamente mencionados:**
* La respuesta menciona que en el enfoque tradicional de testing, se busca escribir el código lo mejor posible y luego probar tests.
* También menciona que en el ciclo TDD, se escribe un test que sabes que va a fallar, y en base a los fallos, se escribe lo mínimo para que este funcione.
**Errores conceptuales:**
* La respuesta sugiere que en el enfoque tradicional de testing, se busca que los tests salgan verde a la primera. En realidad, en el enfoque tradicional, los tests se realizan después de que se ha escrito el código, y no necesariamente se busca que salgan verde a la primera.
* La respuesta no menciona la importancia de la refactorización en el ciclo TDD, que es una etapa crucial para mejorar la calidad del código y mantenerlo mantenible.
**Conceptos importantes que faltan:**
* La respuesta no menciona la secuencia de etapas en el ciclo TDD (Rojo, Verde, Refactor), lo que puede dar una visión incompleta de cómo funciona el proceso.
* No se menciona la importancia de escribir tests que cubran todo el código y no solo los casos más obvios.
**Nota:** 6/10
**Justificación:** La respuesta muestra una comprensión básica de la diferencia entre el enfoque tradicional de testing y el ciclo TDD, pero faltan conceptos importantes y hay errores conceptuales. Para mejorar, se recomienda enfatizar la importancia de la refactorización, la secuencia de etapas en el ciclo TDD y la importancia de escribir tests que cubran todo el código.&lt;|eot_id|&gt;</t>
  </si>
  <si>
    <t>Respuesta: 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</si>
  <si>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**Evaluación de la respuesta**
La respuesta proporcionada describe dos buenas prácticas en TDD (Desarrollo Dirigido por Pruebas) y su impacto en la calidad del software. A continuación, se evalúa la respuesta y se proporciona una calificación numérica entre 0 y 10.
**Conceptos correctamente mencionados:**
* La importancia de la nomenclatura descriptiva en los tests (BooleanConditionComprobation en lugar de Test1)
* La práctica AAA (Arrange, Act, Assert) para escribir tests estructurados
* El impacto positivo de estas prácticas en la calidad del software
**Errores detectados:**
* La respuesta no menciona otras buenas prácticas en TDD, como la escritura de tests mínimos, la refactorización regular y la evitación de la duplicación de código.
* La respuesta no proporciona ejemplos concretos de cómo aplicar la práctica AAA en un test.
* La respuesta no destaca la importancia de la automatización de tests y la integración continua en la calidad del software.
**Conceptos importantes que faltan:**
* La importancia de la automatización de tests y la integración continua en la calidad del software.
* La necesidad de refactorizar regularmente para mantener el código limpio y eficiente.
* La importancia de evitar la duplicación de código y la creación de tests duplicados.
**Calificación: 6/10**
La respuesta proporciona una visión general de dos buenas prácticas en TDD, pero no cubre todos los conceptos importantes y no proporciona ejemplos concretos. La respuesta necesita mejorar para incluir más detalles y ejemplos para reflejar una comprensión más completa de las buenas prácticas en TDD y su impacto en la calidad del software.&lt;|eot_id|&gt;</t>
  </si>
  <si>
    <t>Respuesta: La validación de entradas en los ciclos TDD es importante ya que te encargas de que las entradas existen y evitas que haya algún tipo de inconsistencia de datos.</t>
  </si>
  <si>
    <t>**Evaluación de la respuesta**
La respuesta proporcionada aborda parcialmente la importancia de validar entradas en el contexto de TDD y su relación con la robustez del software. Sin embargo, hay algunos conceptos importantes que faltan o no se explican con claridad.
**Conceptos correctamente mencionados:**
* La respuesta reconoce la importancia de la validación de entradas en los ciclos TDD.
* Se menciona que la validación de entradas ayuda a evitar inconsistencias de datos.
**Errores detectados:**
* La respuesta no explica con claridad cómo la validación de entradas contribuye a la robustez del software.
* No se menciona cómo la validación de entradas previene errores y comportamientos inesperados en el software.
* La respuesta no destaca la importancia de la validación de entradas en la calidad del código y su mantenibilidad.
**Conceptos importantes que faltan:**
* No se explica cómo la validación de entradas se relaciona con la seguridad del software.
* No se menciona cómo la validación de entradas ayuda a reducir la complejidad del código y mejorar su mantenibilidad.
* No se proporciona un ejemplo concreto de cómo la validación de entradas se aplica en un escenario de TDD.
**Calificación: 6/10**
La respuesta proporcionada es una base para entender la importancia de la validación de entradas en TDD, pero necesita ser más completa y detallada para reflejar la respuesta ideal. Se requiere una mayor claridad y profundidad en la explicación para abordar los conceptos importantes que faltan.&lt;|eot_id|&gt;</t>
  </si>
  <si>
    <t>Respuesta: 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</si>
  <si>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**Evaluación de la respuesta**
La respuesta proporcionada describe el ciclo TDD (Test-Driven Development) de manera general, pero presenta algunas inexactitudes y omisiones importantes. A continuación, se presentan los conceptos correctamente mencionados, los errores detectados y los conceptos importantes que faltan:
**Conceptos correctamente mencionados:**
* El ciclo TDD se compone de tres pasos.
* El primer paso es realizar tests que fallan porque la funcionalidad no ha sido implementada.
* El segundo paso es implementar un método o funcionalidad que valide el test del paso anterior.
* El tercer paso es el refactor, donde se implementa la forma óptima para pasar el test.
**Errores detectados:**
* La respuesta no menciona que el ciclo TDD se inicia con un test que falla porque la funcionalidad aún no ha sido implementada (el "rojo" del ciclo TDD).
* No se menciona la importancia de que el test del paso "verde" sea el mínimo código necesario para que el test pase.
* La respuesta no destaca la importancia de mantener todos los tests en verde durante el ciclo de desarrollo.
**Conceptos importantes que faltan:**
* La respuesta no menciona la importancia de que el ciclo TDD promueva un desarrollo proactivo, asegurando que el código producido cumpla con las especificaciones definidas inicialmente por los tests.
* No se menciona que el ciclo TDD ayuda a prevenir errores y comportamientos inesperados en el software.
**Nota:** 6/10
La respuesta proporcionada presenta algunos conceptos básicos del ciclo TDD, pero falta profundidad y precisión en la explicación. La respuesta no destaca la importancia de la metodología y no menciona algunos conceptos clave, como la importancia de mantener todos los tests en verde y la importancia de prevenir errores en el software.&lt;|eot_id|&gt;</t>
  </si>
  <si>
    <t>Respuesta: El mecanismo TDD se ejecutan pruebas y luego se escribe el código, mientras que el enfoque tradicional se realiza el código y luego se ejecutan los test</t>
  </si>
  <si>
    <t>**Evaluación de la respuesta**
La respuesta proporcionada es incompleta y contiene errores en cuanto a la descripción de la diferencia entre TDD (Testing-Driven Development) y el enfoque tradicional de testing en el desarrollo de software.
**Conceptos correctamente mencionados:**
* La respuesta menciona que TDD se refiere a un mecanismo de desarrollo que involucra pruebas y código, lo que es correcto.
**Errores detectados:**
* La respuesta describe el orden incorrecto de las fases en TDD: "El mecanismo TDD se ejecutan pruebas y luego se escribe el código". En realidad, en TDD, se escribe un test que falla (fase Rojo), luego se desarrolla el código necesario para que el test pase (fase Verde), y finalmente se refactorea el código manteniendo todos los tests en verde (fase Refactor).
* La respuesta también describe el enfoque tradicional de testing como "se realiza el código y luego se ejecutan los test", lo que es correcto, pero no se menciona la diferencia clave entre TDD y el enfoque tradicional, que es que en TDD los tests son obligatorios y se utilizan para guiar el desarrollo, mientras que en el enfoque tradicional los tests pueden ser opcionales y se utilizan para validar el trabajo ya realizado.
**Conceptos importantes que faltan:**
* La respuesta no menciona la importancia de los tests en TDD en cuanto a la calidad del software, la robustez y la mantenibilidad.
* No se menciona la diferencia en la secuencia y propósito de los tests en TDD y en el enfoque tradicional.
**Calificación: 4/10**
La respuesta proporcionada no demuestra una comprensión completa del concepto de TDD y su diferencia con el enfoque tradicional de testing. Es importante que el estudiante profundice en la materia para entender los conceptos clave y ser capaz de describirlos de manera precisa.&lt;|eot_id|&gt;</t>
  </si>
  <si>
    <t>Respuesta: poner nombres simples e intuitivos, seguir el enfoque de las tres AAA y no probar varias funcionalidades en un mismo test, hacer varias que prueben y testeen una por una</t>
  </si>
  <si>
    <t>**Evaluación de la respuesta**
La respuesta proporcionada describe algunas buenas prácticas en TDD, pero no aborda completamente el impacto en la calidad del software. A continuación, se presentan los conceptos correctamente mencionados, los errores detectados y los conceptos importantes que faltan:
**Conceptos correctamente mencionados:**
1. La importancia de utilizar nombres simples e intuitivos para los tests y métodos.
2. El enfoque de las tres A's (Arrange, Act y Assert) como una buena práctica en TDD.
3. La necesidad de no probar varias funcionalidades en un mismo test.
**Errores detectados:**
1. La respuesta no menciona la importancia de refactorizar regularmente, lo que es una buena práctica clave en TDD.
2. No se menciona la importancia de escribir solo los tests necesarios para que fallen, lo que ayuda a mantener el enfoque en el desarrollo.
3. La respuesta no aborda el impacto en la calidad del software, como la mejora de la robustez, la mantenibilidad y la comprensibilidad del código.
**Conceptos importantes que faltan:**
1. La importancia de escribir tests automatizados y repetibles.
2. La necesidad de utilizar un lenguaje de programación y un framework de testing adecuados.
3. El impacto en la calidad del software, como la reducción de errores y la mejora de la confiabilidad.
**Calificación: 6/10**
La respuesta proporcionada muestra una buena comprensión de algunas buenas prácticas en TDD, pero no aborda completamente el impacto en la calidad del software. Se recomienda mejorar la respuesta para incluir los conceptos mencionados anteriormente y proporcionar una visión más completa de las buenas prácticas en TDD.&lt;|eot_id|&gt;</t>
  </si>
  <si>
    <t>Respuesta: 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</si>
  <si>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**Evaluación de la respuesta**
La respuesta proporcionada es buena, pero hay algunos aspectos que se pueden mejorar para alcanzar una calificación más alta. Aquí te presento mi evaluación:
**Conceptos correctamente mencionados:**
* La importancia de validar entradas en el contexto de TDD.
* La relación entre la validación de entradas y la robustez del software.
**Errores detectados:**
* La respuesta no menciona explícitamente el ciclo de TDD y su relación con la validación de entradas.
* La explicación sobre la importancia de la validación de entradas es un poco vaga y no proporciona ejemplos concretos.
**Conceptos importantes que faltan:**
* La importancia de la validación de entradas en la prevención de errores y comportamientos inesperados en el software.
* La relación entre la validación de entradas y la mejora de la calidad del código y su mantenibilidad.
**Calificación: 7/10**
La respuesta proporcionada es buena, pero podría ser mejorada con más detalles y ejemplos concretos para respaldar la importancia de la validación de entradas en el contexto de TDD. La respuesta también podría ser más clara y concisa en su explicación.
**Sugerencias para mejorar:**
* Incluir un ejemplo concreto de cómo la validación de entradas puede prevenir errores y comportamientos inesperados en el software.
* Mencionar explícitamente el ciclo de TDD y su relación con la validación de entradas.
* Agregar más detalles sobre cómo la validación de entradas mejora la calidad del código y su mantenibilidad.
**Respuesta ideal:**
"La validación de entradas es crucial en TDD porque ayuda a prevenir errores y comportamientos inesperados en el software. Al escribir tests para validar las entradas antes de implementar la lógica del negocio, se aseguran condiciones adecuadas para el funcionamiento del código. Por ejemplo, si se ingresa un valor inválido, el programa debe poder manejarlo de manera adecuada. La validación de entradas no solo mejora la calidad del código, sino que también facilita su mantenimiento y comprensión. En el ciclo de TDD, la validación de entradas es una parte fundamental para garantizar que el software sea robusto y funcione correctamente en diferentes escenarios."&lt;|eot_id|&gt;</t>
  </si>
  <si>
    <t>Respuesta: 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</si>
  <si>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**Evaluación de la respuesta**
La respuesta proporcionada describe el ciclo TDD (Desarrollo Dirigido por Pruebas) y su importancia en el desarrollo de software. A continuación, se presentan los conceptos correctamente mencionados, los errores detectados y los conceptos importantes que faltan:
**Conceptos correctamente mencionados:**
* El ciclo TDD se desarrolla antes que el código de producción.
* El ciclo se divide en tres fases: Ciclo Rojo, Ciclo Verde y Ciclo Refactor.
* El Ciclo Rojo se desarrolla un test que no pasa porque no se ha implementado el código.
* El Ciclo Verde se implementa el código mínimo y los tests pasan.
* El Ciclo Refactor se mejora el código manteniendo los tests.
**Errores detectados:**
* La respuesta no menciona explícitamente la importancia del ciclo TDD en el desarrollo de software, solo se menciona que garantiza un código limpio y bien modulado.
* No se explica claramente cómo el ciclo TDD reduce la cantidad de código y el debugging.
* La respuesta utiliza términos como "ciclo corto y continuo" sin explicar su significado en el contexto del TDD.
**Conceptos importantes que faltan:**
* La importancia de escribir tests que fallan en la primera etapa (Ciclo Rojo) para asegurar que el código se implemente correctamente.
* La importancia de mantener los tests en verde durante el Ciclo Refactor para garantizar que el código sigue siendo válido.
* La relación entre el TDD y la mejora de la calidad del software.
**Nota:** 6/10
La respuesta proporciona una descripción básica del ciclo TDD, pero falta profundidad y claridad en algunos aspectos importantes. Es necesario mejorar la explicación de la importancia del ciclo TDD y agregar conceptos clave para obtener una nota más alta.&lt;|eot_id|&gt;</t>
  </si>
  <si>
    <t>Respuesta: Las principales ventajas de TDD respecto a un enfoque tradicional de testing en desarrollo software, son que el codigo se reduce, mayor seguridad al refactorizar, codigo mas limpio y mas modulado, menos errores y tambien disminuye el tiempo de debugging.</t>
  </si>
  <si>
    <t>**Evaluación de la respuesta**
La respuesta proporcionada ofrece una visión general de las ventajas de TDD en comparación con un enfoque tradicional de testing en el desarrollo de software. A continuación, se presentan los conceptos correctamente mencionados, los errores detectados y los conceptos importantes que faltan:
**Conceptos correctamente mencionados:**
* Reducción del código: La respuesta menciona que el código se reduce, lo que es un beneficio clave de TDD.
* Mayor seguridad al refactorizar: La respuesta destaca la importancia de la refactorización en TDD, lo que ayuda a mejorar la seguridad del código.
* Código más limpio y más modulado: La respuesta menciona que TDD promueve un código más limpio y modulado, lo que facilita la mantenibilidad y la comprensión del código.
* Menos errores: La respuesta destaca que TDD ayuda a reducir los errores, lo que es un beneficio clave de esta práctica.
* Disminución del tiempo de debugging: La respuesta menciona que TDD disminuye el tiempo de debugging, lo que es un beneficio importante en términos de productividad y eficiencia.
**Errores detectados:**
* Falta de comparación con el enfoque tradicional: La respuesta no ofrece una comparación detallada con el enfoque tradicional de testing, lo que hace que la respuesta sea un poco genérica.
* Falta de explicación sobre cómo se logran estas ventajas: La respuesta no explica cómo se logran estas ventajas en TDD, lo que hace que la respuesta sea un poco superficial.
* Uso de términos generales: La respuesta utiliza términos generales como "codigo se reduce" y "codigo mas limpio", que no están claramente definidos.
**Conceptos importantes que faltan:**
* La importancia de escribir tests antes del código: TDD se basa en la idea de escribir tests antes del código, lo que no se menciona en la respuesta.
* La importancia de la iteración y la refactorización continua: TDD implica una iteración continua entre escribir tests, implementar código y refactorizar, lo que no se menciona en la respuesta.
* La relación entre TDD y la calidad del software: La respuesta no explora la relación entre TDD y la calidad del software, lo que es un concepto importante en el desarrollo de software.
**Calificación:** 6/10
La respuesta ofrece una visión general de las ventajas de TDD, pero falta una comparación detallada con el enfoque tradicional de testing y una explicación más profunda de cómo se logran estas ventajas. Además, se utilizan términos generales y se omiten conceptos importantes como la importancia de escribir tests antes del código y la iteración continua.&lt;|eot_id|&gt;</t>
  </si>
  <si>
    <t>Respuesta: Desarrollar buenas en TDD es muy importante ya mejora la calidad del software notablemente, en el desarrollo de los tests prima la calidad a la cantidad, tambien es muy importante desarrollar codigo bien estructurado, ya que esto los errores,</t>
  </si>
  <si>
    <t>**Evaluación de la respuesta**
La respuesta proporcionada es una buena base para describir las buenas prácticas en TDD, pero hay algunos conceptos importantes que faltan y errores en la terminología que deben ser corregidos.
**Conceptos correctamente mencionados:**
* La importancia de la calidad en el desarrollo de tests en TDD.
* La importancia de desarrollar código bien estructurado.
**Errores detectados:**
* La respuesta no menciona explícitamente las buenas prácticas en TDD, como escribir solo los tests necesarios para que fallen, evitar la duplicación de código y refactorizar regularmente.
* La frase "prima la calidad a la cantidad" no es clara y no se refiere a un concepto específico de TDD.
* La respuesta no menciona el impacto de las buenas prácticas en TDD en la calidad del software de manera explícita.
**Conceptos importantes que faltan:**
* La importancia de la refactorización regular para mejorar la calidad del código.
* La necesidad de evitar la duplicación de código para mantener la coherencia y la simplicidad del código.
* La importancia de escribir tests que cubran el comportamiento deseado del software.
**Calificación: 6/10**
La respuesta proporcionada es una buena base, pero necesita ser más completa y precisa para reflejar las buenas prácticas en TDD y su impacto en la calidad del software.
**Sugerencias para mejorar la respuesta:**
* Agregar ejemplos concretos de buenas prácticas en TDD, como escribir tests para cubrir diferentes escenarios y evitar la duplicación de código.
* Explicar de manera clara y concisa el impacto de las buenas prácticas en TDD en la calidad del software, como la mejora de la confiabilidad, la reducción de errores y la mejora de la mantenibilidad del código.&lt;|eot_id|&gt;</t>
  </si>
  <si>
    <t>Respuesta: Validar la entradas de contexto es importante ya que evita conflictos en el codigo y esto hace que el codigo sea mas robusto.</t>
  </si>
  <si>
    <t>**Evaluación de la respuesta**
La respuesta proporcionada intenta explicar la importancia de validar entradas en el contexto de TDD, pero no aborda completamente el tema de manera clara y precisa.
**Conceptos correctamente mencionados:**
* La respuesta menciona la importancia de validar entradas, lo que es correcto en el contexto de TDD.
* Se menciona que validar entradas evita conflictos en el código, lo que es una ventaja de la validación.
**Errores detectados:**
* La respuesta no explica con claridad cómo se relaciona la validación de entradas con la robustez del software.
* No se menciona cómo la validación de entradas ayuda a prevenir errores y comportamientos inesperados en el software.
* La respuesta no se basa en conceptos específicos de TDD, como la reducción de la complejidad y la mejora de la calidad del código.
**Conceptos importantes que faltan:**
* La respuesta no menciona la importancia de escribir tests para validar las entradas antes de implementar la lógica del negocio.
* No se explica cómo la validación de entradas mejora la calidad del código y facilita el mantenimiento.
* No se menciona la relación entre la validación de entradas y la reducción de errores en tiempo de ejecución.
**Calificación: 4/10**
La respuesta proporcionada no es completamente correcta y no aborda completamente el tema de manera clara y precisa. Sin embargo, reconoce la importancia de validar entradas en el contexto de TDD y menciona una ventaja de la validación. Con algunos ajustes y aclaraciones, la respuesta podría mejorar significativamente.&lt;|eot_id|&gt;</t>
  </si>
  <si>
    <t>Respuesta: 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</si>
  <si>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**Nota:** 7/10
**Conceptos correctamente mencionados:** 
- El ciclo TDD se basa en tests.
- El ciclo TDD se caracteriza por tres etapas: test en rojo, test en verde y refactor.
- El ciclo se representa como "rojo --&gt; verde --&gt; refactor".
**Errores detectados:**
- La respuesta no menciona explícitamente el orden en el que se realizan las etapas del ciclo TDD. Aunque se menciona que el test pasa de rojo a verde, no se especifica que primero se escribe un test que falla y luego se desarrolla el código para que el test pase.
- No se menciona la importancia de que el test en verde sea solo el código mínimo necesario para que el test pase.
- La respuesta no destaca con claridad la importancia del ciclo TDD en el desarrollo de software, limitándose a mencionar que los tests pueden ahorrar ciertos bugs y que puede hacer que el código sea más simple.
**Conceptos importantes que faltan:**
- No se menciona la importancia de que el ciclo TDD promueva un desarrollo proactivo y asegure que el código cumpla con las especificaciones definidas inicialmente por los tests.
- No se menciona la importancia de la validación de entradas en el contexto de TDD y cómo se relaciona con la robustez del software.
**Recomendaciones para mejorar la respuesta:**
- Añadir más detalles sobre el orden en el que se realizan las etapas del ciclo TDD.
- Destacar con claridad la importancia del ciclo TDD en el desarrollo de software.
- Incluir la importancia de la validación de entradas en el contexto de TDD y cómo se relaciona con la robustez del software.&lt;|eot_id|&gt;</t>
  </si>
  <si>
    <t>Respuesta: 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</si>
  <si>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**Evaluación de la respuesta**
La respuesta proporcionada aborda la comparación entre TDD (Testing-Driven Development) y el enfoque tradicional de testing en el desarrollo de software. A continuación, se presentan los conceptos correctamente mencionados, los errores detectados y los conceptos importantes que faltan:
**Conceptos correctamente mencionados:**
1. La secuencia de TDD: el test primero, luego el código de producción.
2. El uso de los tests como especificación en TDD.
3. El enfoque proactivo de TDD.
4. La obligatoriedad de los tests en TDD.
5. La secuencia del enfoque tradicional: código primero, luego test.
6. El uso de los tests como verificación en el enfoque tradicional.
7. El carácter reactivo de los tests en el enfoque tradicional.
8. La opcionalidad de los tests en el enfoque tradicional.
**Errores detectados:**
1. La respuesta no menciona la importancia de la iteración en TDD, es decir, el ciclo de Rojo (test falla), Verde (test pasa) y Refactor.
2. No se menciona la importancia de la validación de entradas en TDD.
3. La respuesta no destaca la mejora en la calidad del código y la robustez del software que se logra con TDD.
**Conceptos importantes que faltan:**
1. La importancia de la refactorización en TDD.
2. La relación entre TDD y la reducción de la complejidad del código.
3. La mejora en la mantenibilidad del código gracias a TDD.
4. La diferencia en la frecuencia de errores en tiempo de ejecución entre TDD y el enfoque tradicional.
**Nota: 6/10**
La respuesta proporcionada muestra una buena comprensión de los conceptos básicos de TDD y el enfoque tradicional de testing, pero falta profundidad y detalle en algunos aspectos importantes. La respuesta no destaca la importancia de la iteración, la validación de entradas y la refactorización en TDD, lo que reduce la puntuación.&lt;|eot_id|&gt;</t>
  </si>
  <si>
    <t>Respuesta: 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</si>
  <si>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**Evaluación de la respuesta**
La respuesta proporcionada describe las buenas prácticas en TDD mediante la práctica FIRST, que es un enfoque ampliamente aceptado en la comunidad de desarrollo de software. A continuación, se evalúa la respuesta en función de los criterios establecidos:
**Conceptos correctamente mencionados:**
* La práctica FIRST es una guía para realizar buenas prácticas en TDD.
* Cada letra de FIRST se describe con claridad y precisión.
**Errores detectados:**
* No se menciona la importancia de escribir solo los tests necesarios para que fallen, lo que es una buena práctica en TDD.
* No se destaca la importancia de evitar la duplicación de código y refactorizar regularmente, que también son buenas prácticas en TDD.
**Conceptos importantes que faltan:**
* No se menciona la importancia de enfocarse en la automatización de tests y la integración continua.
* No se destaca la importancia de mantener un registro de los tests y su historial de ejecución.
**Precisión conceptual:**
La respuesta es precisa en cuanto a la descripción de la práctica FIRST y sus características.
**Completitud de la respuesta:**
La respuesta no es completa, ya que no cubre todos los aspectos importantes de las buenas prácticas en TDD.
**Uso correcto de la terminología:**
La respuesta utiliza la terminología correcta y precisa.
**Claridad de la explicación:**
La respuesta es clara y fácil de entender.
**Calificación: 6/10**
La respuesta proporcionada es buena, pero no cubre todos los aspectos importantes de las buenas prácticas en TDD. La inclusión de la práctica FIRST es un buen punto de partida, pero es necesario abordar otros aspectos importantes como la automatización de tests y la integración continua.&lt;|eot_id|&gt;</t>
  </si>
  <si>
    <t>Respuesta: Porque no puedes escribir codigo a lo loco, al final necesitas ajustarte a unos parametros para que el test pueda pasar por esas lineas que va a comprobar, y que este pueda entenderlo</t>
  </si>
  <si>
    <t>**Evaluación de la respuesta**
La respuesta proporcionada es parcialmente correcta, pero no aborda completamente la importancia de validar entradas en el contexto de TDD y su relación con la robustez del software.
**Conceptos correctamente mencionados:**
* La necesidad de ajustarse a parámetros para que el test pueda pasar.
* La importancia de que el test pueda entender la entrada.
**Errores detectados:**
* La respuesta no menciona explícitamente la importancia de validar entradas en el contexto de TDD.
* No se explica cómo la validación de entradas contribuye a la robustez del software.
* La respuesta se centra en la necesidad de ajustarse a parámetros para que el test pase, pero no menciona la importancia de validar entradas para prevenir errores y comportamientos inesperados en el software.
**Conceptos importantes que faltan:**
* La importancia de validar entradas para asegurar que el software se comporte de manera correcta y prevenir errores.
* La relación entre la validación de entradas y la robustez del software.
* La necesidad de escribir tests para validar las entradas antes de implementar la lógica del negocio.
**Calificación: 4/10**
La respuesta proporcionada es parcialmente correcta, pero no aborda completamente la importancia de validar entradas en el contexto de TDD y su relación con la robustez del software. La respuesta necesita ser más completa y precisa para reflejar la importancia de la validación de entradas en TDD.
**Sugerencias para mejorar la respuesta:**
* Añadir un párrafo que explique la importancia de validar entradas en el contexto de TDD y cómo contribuye a la robustez del software.
* Mencionar la necesidad de escribir tests para validar las entradas antes de implementar la lógica del negocio.
* Proporcionar ejemplos o casos de uso que ilustren la importancia de la validación de entradas en TDD.&lt;|eot_id|&gt;</t>
  </si>
  <si>
    <t>Respuesta: 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</si>
  <si>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**Evaluación de la respuesta**
La respuesta proporcionada ofrece una visión general del ciclo TDD y sus beneficios en el desarrollo de software. A continuación, se presentan los conceptos correctamente mencionados, los errores detectados y los conceptos importantes que faltan:
**Conceptos correctamente mencionados:**
* El ciclo TDD se basa en hacer tests a lo largo del desarrollo.
* Se empieza con un test rojo (test que falla).
* Se menciona la importancia de la granularidad y el aislamiento en el desarrollo.
**Errores detectados:**
* La respuesta no menciona explícitamente las tres etapas del ciclo TDD: test rojo, test verde y refactorización.
* No se explica con claridad la importancia de la refactorización en el ciclo TDD.
* Se utiliza el término "test verde" de manera incorrecta, ya que en el contexto del TDD, un test verde se refiere a un test que pasa, no a uno que "todavía no es perfecto".
**Conceptos importantes que faltan:**
* No se menciona la importancia de la iteración y la repetición en el ciclo TDD.
* No se explica cómo el ciclo TDD promueve un desarrollo proactivo y la creación de código robusto.
* No se menciona la importancia de la especificación y la guía que los tests proporcionan en el desarrollo.
**Nota:** 7/10
La respuesta proporcionada ofrece una visión general del ciclo TDD, pero no es completa ni precisa en todos los aspectos. Se necesitan más detalles y explicaciones para entender completamente el ciclo y sus beneficios.&lt;|eot_id|&gt;</t>
  </si>
  <si>
    <t>Respuesta: 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</si>
  <si>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**Evaluación de la respuesta**
La respuesta proporcionada muestra una buena comprensión del concepto de TDD (Desarrollo Dirigido por Pruebas) y su enfoque en comparación con el desarrollo tradicional. Sin embargo, hay algunos aspectos que se podrían mejorar para hacer que la respuesta sea más completa y precisa.
**Conceptos correctamente mencionados:**
* La respuesta menciona que en el enfoque tradicional, se desarrolla el código y luego se prueba, lo que puede llevar a problemas de identificación de errores.
* Se menciona que el TDD permite identificar errores en cada función por separado, lo que facilita la identificación de problemas específicos.
* Se destaca la importancia de probar cada función por separado antes de juntar todo el código.
**Errores detectados:**
* La respuesta no menciona explícitamente la secuencia de TDD, que implica escribir tests antes del código, lo que podría generar confusión.
* No se menciona la importancia de refactorizar el código en TDD, lo que es un paso crucial para mantener la calidad del código.
* La respuesta no es lo suficientemente clara en cuanto a la diferencia en la frecuencia y la intensidad de los tests en TDD en comparación con el enfoque tradicional.
**Conceptos importantes que faltan:**
* La respuesta no menciona la importancia de la robustez y la mantenibilidad del código en TDD.
* No se menciona la relación entre TDD y la reducción de errores en tiempo de ejecución.
* No se destaca la importancia de la automatización de los tests en TDD.
**Calificación: 6/10**
La respuesta proporcionada es buena, pero necesita ser más completa y precisa para reflejar la complejidad y la profundidad del tema. Se recomienda agregar más detalles y conceptos para mejorar la respuesta y hacerla más convincente.
**Recomendaciones para mejorar la respuesta:**
* Incluir la secuencia de TDD y su importancia en la escritura de tests antes del código.
* Destacar la importancia de refactorizar el código en TDD.
* Agregar más detalles sobre la diferencia en la frecuencia y la intensidad de los tests en TDD en comparación con el enfoque tradicional.
* Mencionar la importancia de la robustez y la mantenibilidad del código en TDD.
* Destacar la relación entre TDD y la reducción de errores en tiempo de ejecución.
* Agregar más detalles sobre la automatización de los tests en TDD.&lt;|eot_id|&gt;</t>
  </si>
  <si>
    <t>Respuesta: 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</si>
  <si>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**Evaluación de la respuesta**
La respuesta proporcionada aborda la pregunta sobre las buenas prácticas en TDD y su impacto en la calidad del software. A continuación, se presentan los conceptos correctamente mencionados, los errores detectados y los conceptos importantes que faltan:
**Conceptos correctamente mencionados:**
1. La importancia de la granularidad en TDD, es decir, hacer tests con fragmentos de código lo más pequeños posible para identificar problemas.
2. El concepto de aislamiento en TDD, que implica probar funciones del código por separado para perfeccionar cada una antes de unirlas en un programa completo.
3. La importancia de testear el código varias veces y mejorar cada error con tests refactores.
**Errores detectados:**
1. La respuesta no menciona explícitamente las buenas prácticas en TDD, como escribir solo los tests necesarios para que fallen, evitar la duplicación de código y refactorizar regularmente.
2. No se explica con claridad cómo estas buenas prácticas contribuyen a la calidad del software.
3. La respuesta se centra en los beneficios del TDD, pero no proporciona una visión clara de cómo se relacionan con la calidad del software.
**Conceptos importantes que faltan:**
1. La importancia de escribir tests antes del código en TDD.
2. La relación entre la validación de entradas y la robustez del software en TDD.
3. La diferencia entre TDD y el enfoque tradicional de testing en el desarrollo de software.
**Calificación: 6/10**
La respuesta proporcionada muestra una buena comprensión de algunos conceptos relacionados con el TDD, pero no aborda exhaustivamente las buenas prácticas y su impacto en la calidad del software. La respuesta necesita mejorar en la claridad y la exhaustividad para reflejar una comprensión más profunda del tema.&lt;|eot_id|&gt;</t>
  </si>
  <si>
    <t>Respuesta: 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</si>
  <si>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**Evaluación de la respuesta**
La respuesta proporcionada aborda la importancia de validar entradas en el contexto de TDD y su relación con la robustez del software. A continuación, se presentan los conceptos correctamente mencionados, los errores detectados y los conceptos importantes que faltan en la respuesta:
**Conceptos correctamente mencionados:**
* La importancia de validar entradas en el contexto de TDD.
* La relación entre la validación de entradas y la robustez del software.
* La idea de que la validación de entradas ayuda a prevenir errores y comportamientos inesperados en el software.
**Errores detectados:**
* La respuesta no menciona explícitamente cómo la validación de entradas se integra en el ciclo TDD (Rojo, Verde, Refactor).
* No se explica con claridad cómo la validación de entradas afecta la robustez del software.
* La respuesta utiliza un lenguaje demasiado vago y general, como "software de calidad" y "funcionar perfecto sin importar que", que no aportan claridad al concepto.
**Conceptos importantes que faltan:**
* La importancia de escribir tests para validar las entradas antes de implementar la lógica del negocio.
* La idea de que la validación de entradas ayuda a minimizar los casos de errores en tiempo de ejecución.
* La relación entre la validación de entradas y la facilidad de mantenimiento y comprensión del código.
**Calificación: 6/10**
La respuesta proporcionada muestra una comprensión básica de la importancia de validar entradas en el contexto de TDD, pero falta claridad y detalle en la explicación. La respuesta no menciona conceptos importantes y utiliza lenguaje vago, lo que reduce su valor como respuesta.
**Sugerencias para mejorar:**
* Añadir más detalles sobre cómo la validación de entradas se integra en el ciclo TDD.
* Explicar con claridad cómo la validación de entradas afecta la robustez del software.
* Utilizar lenguaje más preciso y técnico para describir conceptos.
* Incluir ejemplos o casos de uso para ilustrar la importancia de la validación de entradas en TDD.&lt;|eot_id|&gt;</t>
  </si>
  <si>
    <t>Respuesta: 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</si>
  <si>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**Evaluación de la respuesta**
La respuesta proporcionada describe el ciclo TDD (Test-Driven Development) y su importancia en el desarrollo de software. A continuación, se presentan los conceptos correctamente mencionados, los errores detectados y los conceptos importantes que faltan, junto con una calificación numérica entre 0 y 10.
**Conceptos correctamente mencionados:**
* El ciclo TDD se basa en los tests.
* El ciclo TDD consta de tres fases: RED, GREEN y REFACTOR.
* La fase RED implica crear un test que falla.
* La fase GREEN implica implementar el mínimo código necesario para que el test funcione.
* La fase REFACTOR implica mejorar el código.
**Errores detectados:**
* La respuesta no menciona explícitamente la importancia de la fase RED, es decir, que el test debe fallar porque la funcionalidad aún no ha sido implementada.
* La respuesta no menciona explícitamente la importancia de la fase GREEN, es decir, que el objetivo es implementar el mínimo código necesario para que el test funcione.
* La respuesta no menciona explícitamente la importancia de la fase REFACTOR, es decir, que el objetivo es mejorar el código.
* La respuesta no menciona la importancia de que los tests sean obligatorios y ayuden a prevenir errores desde el inicio.
* La respuesta no menciona la importancia de que el ciclo TDD promueva un desarrollo proactivo.
**Conceptos importantes que faltan:**
* La importancia de que el ciclo TDD promueva un desarrollo proactivo.
* La importancia de que los tests sean obligatorios y ayuden a prevenir errores desde el inicio.
* La importancia de que el ciclo TDD se utilice para asegurar que el código cumpla con las especificaciones definidas inicialmente por los tests.
**Calificación: 6/10**
La respuesta proporcionada describe el ciclo TDD y sus fases, pero no aborda completamente la importancia y el propósito de cada fase. Además, no menciona algunos conceptos importantes relacionados con el ciclo TDD. Sin embargo, la respuesta es clara y concisa, y proporciona ejemplos para ilustrar cada fase.&lt;|eot_id|&gt;</t>
  </si>
  <si>
    <t>Respuesta: 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</si>
  <si>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**Evaluación de la respuesta**
La respuesta proporcionada es parcialmente correcta, pero requiere algunas correcciones y aclaraciones. A continuación, se presentan los conceptos correctamente mencionados, los errores detectados y los conceptos importantes que faltan:
**Conceptos correctamente mencionados:**
* La definición del ciclo TDD como un proceso monitorizado principalmente por los test de código.
* Las tres fases del ciclo TDD: red (test que falla), green (test con código mínimo para que pase) y refactor (mejora del test).
* La diferencia entre TDD y un enfoque tradicional de testing en el desarrollo de software.
**Errores detectados:**
* La respuesta no menciona claramente la importancia de escribir tests antes del código en TDD, lo que es un aspecto fundamental de este enfoque.
* La descripción de la fase "red" no es precisa, ya que se refiere a un estado de test que falla, pero no explica por qué ocurre esto.
* La respuesta no menciona la importancia de la validación de entradas en TDD.
* La comparación entre TDD y un enfoque tradicional de testing no es completa, ya que no se mencionan las ventajas de TDD en términos de calidad del software y mantenibilidad.
**Conceptos importantes que faltan:**
* La importancia de escribir tests antes del código en TDD.
* La importancia de la validación de entradas en TDD.
* Las ventajas de TDD en términos de calidad del software y mantenibilidad.
* La importancia de refactorizar regularmente en TDD.
**Nota:** 6/10
**Justificación:** La respuesta proporcionada es parcialmente correcta, pero requiere más detalles y aclaraciones para reflejar completamente el concepto de TDD y su comparación con un enfoque tradicional de testing.&lt;|eot_id|&gt;</t>
  </si>
  <si>
    <t>Respuesta: 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</si>
  <si>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**Evaluación de la respuesta**
La respuesta proporcionada describe las buenas prácticas en TDD utilizando el acrónimo FIRST, que se refiere a las características de los tests de unidad en TDD. A continuación, se analizará la respuesta en función de los conceptos mencionados en el enunciado del problema y se proporcionará una calificación numérica entre 0 y 10.
**Conceptos correctamente mencionados:**
* El acrónimo FIRST se refiere a las características de los tests de unidad en TDD.
* Las letras F, I, R y S se describen como características importantes en la respuesta.
* Se menciona la importancia de la independencia y la repetibilidad de los tests.
**Errores detectados:**
* La letra T no se describe en la respuesta.
* La letra S no se describe en la respuesta.
* La explicación de cada letra del acrónimo no es completa ni clara.
* La respuesta no menciona la importancia de refactorizar regularmente en TDD.
**Conceptos importantes que faltan:**
* La importancia de escribir solo los tests necesarios para que fallen.
* La importancia de evitar la duplicación de código.
* La relación entre las buenas prácticas en TDD y la calidad del software.
**Calificación: 6/10**
La respuesta proporcionada describe parcialmente las buenas prácticas en TDD utilizando el acrónimo FIRST, pero no aborda completamente cada letra del acrónimo ni menciona otros conceptos importantes en TDD. La respuesta también carece de claridad y precisión en la explicación de cada letra.&lt;|eot_id|&gt;</t>
  </si>
  <si>
    <t>Respuesta: 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</si>
  <si>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**Evaluación de la respuesta**
La respuesta proporcionada no es completamente correcta en relación con la importancia de validar entradas en el contexto de TDD y su relación con la robustez del software.
**Conceptos correctamente mencionados:**
* La respuesta menciona que validar entradas es importante en el contexto de TDD, lo que es correcto.
* También menciona que validar entradas ayuda a garantizar que el desarrollador siga las etapas de manera correcta, lo que es parcialmente correcto, ya que la validación de entradas es crucial para asegurar que el código se ejecute de manera correcta.
**Errores detectados:**
* La respuesta no menciona explícitamente la importancia de la validación de entradas en términos de prevenir errores y comportamientos inesperados en el software, lo que es un aspecto fundamental de la validación de entradas en TDD.
* La respuesta también no menciona la relación entre la validación de entradas y la robustez del software de manera clara y concisa, lo que es un aspecto crítico en el contexto de TDD.
**Conceptos importantes que faltan:**
* La respuesta no menciona la idea de que la validación de entradas ayuda a minimizar los casos de errores en tiempo de ejecución y a mejorar la calidad del código.
* No se menciona la importancia de la validación de entradas en términos de facilitar el mantenimiento y la comprensión del software.
**Nota: 4/10**
La respuesta proporcionada tiene algunos conceptos correctos, pero no aborda completamente la importancia de la validación de entradas en el contexto de TDD y su relación con la robustez del software. Para mejorar, se deben agregar más detalles y conceptos relacionados con la validación de entradas y su impacto en la calidad y robustez del software.&lt;|eot_id|&gt;</t>
  </si>
  <si>
    <t>Respuesta: 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</si>
  <si>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**Evaluación de la respuesta**
La respuesta proporcionada explica de manera general el ciclo TDD y su importancia en el desarrollo de software. A continuación, se presentan los conceptos correctamente mencionados, los errores detectados y los conceptos importantes que faltan:
**Conceptos correctamente mencionados:**
* El ciclo TDD se basa en la implementación de tests al principio del desarrollo del código.
* El ciclo TDD tiene varias etapas.
* La etapa "Red" se refiere a la creación de un test que falla.
* La etapa "Green" se refiere a la ejecución de un código mínimo para resolver el test y que salga verde.
* La etapa "Refactor" se refiere a la mejora, optimización y organización del código.
**Errores detectados:**
* La respuesta no menciona explícitamente la importancia de la etapa "Refactor" en términos de mantener el código eficiente y evitar código duplicado o inecesario.
* La respuesta no menciona la importancia de que los tests sean obligatorios y ayuden a prevenir errores desde el inicio.
* La respuesta utiliza términos incorrectos, como "Bass" en lugar de "Basada" y "funcionamiento del codigo" en lugar de "funcionamiento del código".
**Conceptos importantes que faltan:**
* La respuesta no menciona la importancia de que los tests sean escritos antes del código.
* No se menciona la importancia de que los tests sean independientes y no relacionados con la implementación del código.
* No se menciona la importancia de la repetición del ciclo TDD en cada iteración del desarrollo del software.
**Calificación: 7/10**
La respuesta proporcionada es buena, pero hay errores y conceptos importantes que faltan. La respuesta necesita ser más precisa y detallada para reflejar completamente el ciclo TDD y su importancia en el desarrollo de software.&lt;|eot_id|&gt;</t>
  </si>
  <si>
    <t>Respuesta: 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</si>
  <si>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**Evaluación de la respuesta**
La respuesta proporcionada ofrece una comparación general entre TDD (Desarrollo Dirigido por Pruebas) y el enfoque tradicional de testing en el desarrollo de software. A continuación, se presentan los conceptos correctamente mencionados, errores detectados y conceptos importantes que faltan, junto con una calificación numérica entre 0 y 10.
**Conceptos correctamente mencionados:**
* La importancia de los tests en TDD y su papel como especificación y guía para el desarrollo.
* La diferencia en la secuencia de TDD y el enfoque tradicional de testing.
* La importancia de la refactorización en TDD para optimizar el código.
* La ventaja de TDD en cuanto a la reducción de código duplicado o inecesario.
**Errores detectados:**
* La respuesta no menciona explícitamente la importancia de escribir tests antes del código en TDD, lo que es un aspecto clave de esta metodología.
* No se destaca con claridad la diferencia en la frecuencia y obligatoriedad de los tests en TDD y el enfoque tradicional.
* La respuesta no menciona la importancia de la validación de entradas en TDD, lo que es un aspecto crucial para prevenir errores y comportamientos inesperados.
**Conceptos importantes que faltan:**
* La importancia de escribir solo los tests necesarios para que fallen, como una buena práctica en TDD.
* La relación entre TDD y la robustez del software, como se mencionó en la respuesta ideal.
* La comparación de la efectividad de TDD y el enfoque tradicional de testing en términos de calidad del software y mantenibilidad.
**Calificación: 7/10**
La respuesta proporcionada ofrece una visión general correcta de las diferencias entre TDD y el enfoque tradicional de testing, pero falta profundidad en algunos aspectos clave y no menciona todos los conceptos importantes. La respuesta también podría beneficiarse de una mayor claridad y precisión en la presentación de los conceptos.&lt;|eot_id|&gt;</t>
  </si>
  <si>
    <t>Respuesta: 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</si>
  <si>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**Evaluación de la respuesta**
La respuesta proporcionada describe algunas buenas prácticas en TDD, pero no cubre completamente el alcance de las buenas prácticas en TDD y su impacto en la calidad del software. A continuación, se presentan los conceptos correctamente mencionados, los errores detectados y los conceptos importantes que faltan:
**Conceptos correctamente mencionados:**
* La importancia de dar nombres claros a los métodos y métodos.
* La importancia de tener tests que solucionen una parte específica del código.
* La regla AAA (Arrange, Act, Assert) para comprobar la coherencia del código.
* La importancia de que los tests sean independientes y no dependan de servicios externos.
**Errores detectados:**
* La respuesta no menciona explícitamente la importancia de la refactorización regular en TDD, lo que es una de las buenas prácticas clave en TDD.
* No se menciona la importancia de escribir tests que cubran todos los escenarios posibles, lo que puede llevar a la complejidad y la falta de confiabilidad del código.
* La respuesta no destaca la importancia de la automatización de los tests en TDD, lo que puede llevar a una mayor eficiencia y reducción de errores.
**Conceptos importantes que faltan:**
* La importancia de la iteración y la retroalimentación en TDD, lo que permite identificar y corregir errores temprano en el proceso de desarrollo.
* La importancia de la documentación y la comunicación en TDD, lo que permite a los desarrolladores entender y mantener el código.
* La importancia de la prueba de integración y la prueba de aceptación en TDD, lo que permite asegurarse de que el código se ajuste a las expectativas del cliente.
**Calificación: 7/10**
La respuesta proporcionada muestra una buena comprensión de algunas buenas prácticas en TDD, pero no cubre completamente el alcance del tema. La respuesta necesita mejorar en la inclusión de conceptos importantes como la refactorización, la automatización de tests, la iteración y la retroalimentación, la documentación y la comunicación, y la prueba de integración y aceptación.&lt;|eot_id|&gt;</t>
  </si>
  <si>
    <t>Respuesta: Son clave ya que permiten usar un test para distintos casos y asi evitar codigo duplicado. Gracias a esto se tiene una mejor estructuracion del codigo y por tanto sea mas eficaz.</t>
  </si>
  <si>
    <t>**Evaluación de la respuesta**
La respuesta proporcionada aborda parcialmente la importancia de validar entradas en el contexto de TDD y su relación con la robustez del software. A continuación, se presentan los conceptos correctamente mencionados, los errores detectados y los conceptos importantes que faltan:
**Conceptos correctamente mencionados:**
* La importancia de validar entradas en TDD
* La posibilidad de reutilizar tests para distintos casos
* La reducción del código duplicado
**Errores detectados:**
* La respuesta no menciona explícitamente la relación entre la validación de entradas y la robustez del software.
* No se explica claramente cómo la validación de entradas ayuda a prevenir errores y comportamientos inesperados en el software.
* No se menciona la importancia de la validación de entradas en la mejora de la calidad del código y su mantenibilidad.
**Conceptos importantes que faltan:**
* La importancia de validar entradas para asegurar condiciones adecuadas para el funcionamiento del código.
* La relación entre la validación de entradas y la reducción de errores en tiempo de ejecución.
* La importancia de la validación de entradas en la creación de software más robusto y de alta calidad.
**Calificación: 6/10**
La respuesta proporcionada es parcialmente correcta y no aborda completamente la importancia de validar entradas en el contexto de TDD y su relación con la robustez del software. Aunque menciona algunos conceptos importantes, falta la claridad y profundidad necesarias para una respuesta completa y precisa.&lt;|eot_id|&gt;</t>
  </si>
  <si>
    <t>Respuesta: 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</si>
  <si>
    <t>**Evaluación de la respuesta**
La respuesta proporcionada describe el ciclo TDD de manera incompleta y contiene errores conceptuales. A continuación, se presentan los conceptos correctamente mencionados, los errores detectados y los conceptos importantes que faltan:
**Conceptos correctamente mencionados:**
* Se menciona que el ciclo TDD consiste en tres etapas: TDD rojo, TDD verde y TDD refactor.
* Se menciona que existen frameworks como JUnit5, Maven test y JaCoCo para realizar pruebas unitarias y de integración.
* Se menciona que los tests se clasifican en tres tipos: TDD rojo, TDD verde y TDD refactor.
**Errores detectados:**
* La definición del ciclo TDD es incorrecta. El ciclo TDD consiste en escribir un test que falla (TDD rojo), desarrollar el mínimo código necesario para que el test pase (TDD verde) y refactoring el código para mejorar su calidad (TDD refactor). La respuesta describe el ciclo como una "fase en el desarrollo e implementación del software" y no como un ciclo iterativo.
* Se menciona que el TDD es una "evaluación del código mediante pruebas", lo que es incorrecto. El TDD es un enfoque de desarrollo de software que implica escribir tests antes del código.
* La respuesta no menciona la importancia del ciclo TDD en el desarrollo de software, que es promover un desarrollo proactivo y asegurar que el código cumple con las especificaciones definidas inicialmente por los tests.
**Conceptos importantes que faltan:**
* La respuesta no menciona la secuencia correcta de los tres etapas del ciclo TDD.
* No se explica cómo se relaciona el ciclo TDD con la robustez del software.
* No se menciona la importancia de la validación de entradas en el contexto del TDD.
* No se menciona las buenas prácticas en TDD, como escribir solo los tests necesarios para que fallen, evitar la duplicación de código y refactorizar regularmente.
**Nota: 4/10**
La respuesta proporcionada muestra una comprensión básica del ciclo TDD, pero contiene errores conceptuales y omisiones importantes. Se requiere una mayor claridad y precisión en la descripción del ciclo TDD y su importancia en el desarrollo de software.&lt;|eot_id|&gt;</t>
  </si>
  <si>
    <t>Respuesta: 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</si>
  <si>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**Evaluación de la respuesta**
La respuesta proporcionada es una buena descripción de la diferencia entre TDD (Test Driven Development) y el enfoque tradicional de testing en el desarrollo de software. Sin embargo, hay algunos conceptos que no están completamente claros o no se mencionan con precisión.
**Conceptos correctamente mencionados:**
* La definición de TDD como un proceso en el que los tests se desarrollan en función del desarrollo de software.
* La idea de que en TDD, los tests se van implementando a medida que se desarrolla el software y se prueban si el software pasa las pruebas establecidas.
* El ejemplo de un test unitario para comprobar si un método nuevo pasa un test de afirmación de array.
**Errores detectados:**
* La respuesta no menciona explícitamente la secuencia de TDD, que consta de tres etapas: rojo, verde y refactoring.
* No se menciona la importancia de la validación de entradas en TDD.
* La respuesta no es muy clara en cuanto a la diferencia entre TDD y el enfoque tradicional en términos de la secuencia y el propósito de los tests.
**Conceptos importantes que faltan:**
* La importancia de la robustez del software y cómo TDD contribuye a ella.
* Las buenas prácticas en TDD, como escribir solo los tests necesarios, evitar la duplicación de código y refactorizar regularmente.
* El impacto de TDD en la calidad del software.
**Calificación: 6/10**
La respuesta proporcionada es una buena descripción de la diferencia entre TDD y el enfoque tradicional de testing, pero falta claridad en algunos conceptos y no menciona algunos aspectos importantes de TDD. Con un poco más de detalle y precisión, la respuesta podría ser aún más efectiva.&lt;|eot_id|&gt;</t>
  </si>
  <si>
    <t>Respuesta: 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</si>
  <si>
    <t>**Evaluación de la respuesta**
La respuesta proporcionada describe dos buenas prácticas en TDD, a saber, el desarrollo AAA (Arrange-Apply-Assertion) y la identificación de tests con nombres específicos (Named). A continuación, se evalúa la precisión conceptual, la completitud de la respuesta, el uso correcto de la terminología y la claridad de la explicación.
**Conceptos correctamente mencionados:**
* Desarrollo AAA (Arrange-Apply-Assertion) como estructura principal de los tests
* Importancia de identificar tests con nombres específicos (Named)
**Errores detectados:**
* La respuesta no menciona otros aspectos importantes de las buenas prácticas en TDD, como la escritura de tests solo para lo necesario, la evitación de la duplicación de código y la refactorización regular.
* La respuesta no explica con claridad cómo estas buenas prácticas impactan en la calidad del software.
**Conceptos importantes que faltan:**
* La importancia de escribir tests solo para lo necesario
* La importancia de evitar la duplicación de código
* La importancia de la refactorización regular
* El impacto de estas buenas prácticas en la calidad del software, como la mejora de la mantenibilidad, la escalabilidad y la robustez del código.
**Calificación: 6/10**
La respuesta proporcionada es parcialmente correcta, pero no aborda completamente las buenas prácticas en TDD. Aunque menciona dos conceptos importantes, omite otros aspectos clave y no explica con claridad cómo estas prácticas impactan en la calidad del software.&lt;|eot_id|&gt;</t>
  </si>
  <si>
    <t>Respuesta: 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</si>
  <si>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**Evaluación de la respuesta**
La respuesta proporcionada aborda la importancia de validar entradas en el contexto de TDD (Desarrollo Dirigido por Pruebas), aunque no es perfecta. A continuación, se presentan los conceptos correctamente mencionados, los errores detectados y los conceptos importantes que faltan:
**Conceptos correctamente mencionados:**
* La importancia de validar entradas en TDD
* El análisis de tipos de datos en el desarrollo
* La utilización de TDD para comprobar si los datos de entrada son los esperados
* La importancia de la robustez del software
**Errores detectados:**
* La respuesta no menciona explícitamente la relación entre la validación de entradas y la robustez del software de manera clara.
* No se menciona la importancia de la validación de entradas en términos de prevenir errores y comportamientos inesperados en el software.
* La respuesta se centra más en la comprobación de tipos de datos que en la validación en sí misma.
**Conceptos importantes que faltan:**
* La importancia de la validación de entradas en términos de seguridad y prevención de ataques de inyección de código.
* La relación entre la validación de entradas y la responsabilidad del desarrollador de asegurar que el software funcione correctamente con diferentes tipos de datos.
* La importancia de la validación de entradas en la etapa de refactorización del ciclo TDD.
**Nota:** 7/10
La respuesta proporcionada es clara y concisa, pero no aborda todos los aspectos importantes de la validación de entradas en el contexto de TDD. La respuesta podría mejorar con más detalles y ejemplos concretos para ilustrar la importancia de la validación de entradas en la robustez del software.&lt;|eot_id|&gt;</t>
  </si>
  <si>
    <t>Respuesta: 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</si>
  <si>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**Evaluación de la respuesta**
La respuesta proporcionada da una idea básica de la importancia de TDD, pero no explora completamente el ciclo TDD y su importancia en el desarrollo de software.
**Conceptos correctamente mencionados:**
* TDD se refiere a una metodología de desarrollo de software.
* La importancia de TDD se relaciona con la detección de bugs.
**Errores detectados:**
* La respuesta no describe el ciclo TDD de manera clara y completa.
* No se menciona la importancia de la iteración y la refactorización en el ciclo TDD.
* No se destaca la importancia de la especificación y la guía que proporcionan los tests en TDD.
**Conceptos importantes que faltan:**
* La descripción del ciclo TDD, que consta de tres etapas: Rojo, Verde y Refactor.
* La importancia de escribir tests antes del código en TDD.
* La relación entre TDD y la mejora de la calidad y la robustez del software.
**Calificación: 4/10**
La respuesta proporcionada es incompleta y no ofrece una visión clara y completa del ciclo TDD y su importancia en el desarrollo de software. Aunque menciona la importancia de TDD en la detección de bugs, no explora otros aspectos importantes del ciclo TDD y su impacto en la calidad y la robustez del software.
**Recomendaciones para mejorar:**
* Añadir una descripción clara y completa del ciclo TDD, incluyendo las tres etapas: Rojo, Verde y Refactor.
* Destacar la importancia de escribir tests antes del código en TDD y su papel en la especificación y guía del desarrollo.
* Explorar la relación entre TDD y la mejora de la calidad y la robustez del software.&lt;|eot_id|&gt;</t>
  </si>
  <si>
    <t>Respuesta: 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</si>
  <si>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**Evaluación de la respuesta**
La respuesta proporcionada ofrece una buena comprensión básica de la diferencia entre TDD (Desarrollo Guiado por Pruebas) y el enfoque tradicional de testing en el desarrollo de software. Sin embargo, hay algunos conceptos importantes que no se mencionan o se explican de manera incompleta.
**Conceptos correctamente mencionados:**
1. En el enfoque tradicional de testing, se prueban los códigos una vez finalizado la escritura inicial.
2. En TDD, se empieza escribiendo códigos y luego se desarrolla el código.
3. La metodología de TDD permite mantener el código conciso y evitar la expansión innecesaria.
4. La refactorización de código es más sencilla en TDD.
**Conceptos importantes que faltan:**
1. No se menciona la importancia de escribir tests antes del código en TDD, lo que es un aspecto clave de la metodología.
2. No se explica claramente la importancia de que los tests sean "verdes" (es decir, pasar) en TDD, lo que implica que el código cumple con las especificaciones.
3. No se menciona la importancia de la iteración y la refactorización continua en TDD.
**Errores detectados:**
1. La respuesta menciona que en TDD "se empieza escribiendo codigos en red", lo que es incorrecto. En TDD, se empieza escribiendo tests y luego se desarrolla el código.
2. La respuesta no es muy clara en cuanto a la secuencia de eventos en TDD, lo que puede generar confusión.
**Calificación: 6/10**
La respuesta proporcionada ofrece una buena base para entender la diferencia entre TDD y el enfoque tradicional de testing, pero necesita mejorar en términos de claridad y precisión en algunos conceptos clave.&lt;|eot_id|&gt;</t>
  </si>
  <si>
    <t>Respuesta: 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</si>
  <si>
    <t>**Evaluación de la respuesta**
La respuesta proporcionada describe algunas buenas prácticas en TDD (Desarrollo Dirigido por Pruebas) y su impacto en la calidad del software. A continuación, se presentan los conceptos correctamente mencionados, los errores detectados y los conceptos importantes que faltan:
**Conceptos correctamente mencionados:**
1. El ciclo TDD (RED, GREEN, REFACTOR) es mencionado como una buena práctica en TDD.
2. La importancia de los test unitarios en la escritura de pruebas en TDD.
3. Las características de los test unitarios (abarcan pequeños fragmentos de código, son únicos, reutilizables, se refieren a un solo requisito y deben empezar en Rojo).
4. La importancia de las pruebas de integración en TDD.
5. El impacto de TDD en la calidad del software (disminución de la tasa de bugs, código más profesional, herramientas para refactorización del código y evitación de la escritura de código inútil).
**Errores detectados:**
1. La respuesta menciona que los test unitarios "suelen referirse a un solo requisito", lo que no es estrictamente cierto. Los test unitarios pueden abarcar varios requisitos, aunque se centren en un pequeño fragmento de código.
2. La respuesta menciona que los test unitarios "son únicos" y "no reutilizables", lo que es contradictorio. Los test unitarios pueden ser reutilizables, ya que se pueden aplicar a diferentes partes del código.
3. La respuesta no menciona la importancia de la refactorización en el ciclo TDD, a pesar de que se menciona como una herramienta útil para la refactorización del código.
**Conceptos importantes que faltan:**
1. La importancia de la claridad y concisión en la escritura de pruebas.
2. La necesidad de que las pruebas sean independientes y no dependan de la implementación del código.
3. La importancia de la cobertura de código en las pruebas.
4. La necesidad de que las pruebas sean ejecutadas regularmente y que se utilice una herramienta de gestión de pruebas para automatizar el proceso.
**Calificación: 7/10**
La respuesta proporcionada muestra una buena comprensión de las buenas prácticas en TDD y su impacto en la calidad del software. Sin embargo, hay algunos errores y conceptos importantes que faltan, lo que reduce la calificación.&lt;|eot_id|&gt;</t>
  </si>
  <si>
    <t>Respuesta: 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</si>
  <si>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**Nota:** 8/10
**Conceptos correctamente mencionados:**
* La importancia de la validación de entradas en TDD
* La acotación de las funciones
* La prevención de errores causados por variables con formatos inesperados
* La comprobación de que las funciones tengan los valores necesarios para su correcto funcionamiento
**Errores detectados:**
* La respuesta no menciona explícitamente la relación entre la validación de entradas y la robustez del software.
* La explicación no es lo suficientemente clara y concisa, y podría ser mejorada para hacerla más accesible a un público más amplio.
* La respuesta no menciona la importancia de la validación de entradas en la fase de diseño y desarrollo del software.
**Conceptos importantes que faltan:**
* La importancia de la validación de entradas en la fase de mantenimiento del software.
* La relación entre la validación de entradas y la reducción de errores en tiempo de ejecución.
* La importancia de la validación de entradas en la mejora de la calidad del software.
**Sugerencias para mejorar la respuesta:**
* Añadir una breve introducción que explique la importancia de la validación de entradas en TDD.
* Explicar de manera más detallada cómo la validación de entradas contribuye a la robustez del software.
* Incluir ejemplos prácticos para ilustrar la importancia de la validación de entradas en TDD.
* Concluir con una reflexión sobre la importancia de la validación de entradas en el desarrollo de software en general.&lt;|eot_id|&gt;</t>
  </si>
  <si>
    <t>Respuesta: 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</si>
  <si>
    <t>**Evaluación de la respuesta**
La respuesta proporcionada describe con precisión el ciclo TDD (Desarrollo Guiado por Pruebas), pero hay algunos conceptos importantes que faltan o se mencionan de manera incompleta.
**Conceptos correctamente mencionados:**
* El ciclo TDD se basa en la producción de tests para reducir bugs y problemas en el desarrollo.
* El ciclo consta de tres fases.
* La primera fase implica crear tests antes del código.
* La segunda fase implica crear código en base a los tests previamente creados.
* La tercera fase implica refactorizar y mejorar el código manteniendo los tests en verde.
**Errores detectados:**
* La respuesta no menciona explícitamente que la primera fase implica que los tests fallan porque la funcionalidad aún no ha sido implementada, lo que se conoce como "rojo".
* La respuesta no menciona la importancia de que los tests sean escritos antes del código en la primera fase.
* La respuesta no menciona explícitamente la importancia de mantener los tests en verde en la tercera fase.
**Conceptos importantes que faltan:**
* La respuesta no menciona la importancia de que el ciclo TDD promueva un desarrollo proactivo y asegure que el código cumpla con las especificaciones definidas inicialmente por los tests.
* La respuesta no menciona la importancia de que el ciclo TDD permita la detección de errores y problemas desde el inicio del desarrollo.
**Calificación: 6/10**
La respuesta proporcionada es buena, pero hay algunos conceptos importantes que faltan o se mencionan de manera incompleta. Para mejorar, se recomienda agregar la información faltante y asegurarse de que la respuesta sea más detallada y precisa.
**Recomendaciones para mejorar:**
* Agregar la información faltante sobre la primera fase y la importancia de mantener los tests en verde.
* Añadir la importancia de que el ciclo TDD promueva un desarrollo proactivo y asegure que el código cumpla con las especificaciones definidas inicialmente por los tests.
* Asegurarse de que la respuesta sea más detallada y precisa.&lt;|eot_id|&gt;</t>
  </si>
  <si>
    <t>Respuesta: 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</si>
  <si>
    <t>**Evaluación de la respuesta**
La respuesta proporcionada presenta algunos conceptos básicos sobre la comparación entre TDD (Desarrollo Dirigido por Pruebas) y un enfoque tradicional de testing en el desarrollo de software. A continuación, se presentan los conceptos correctamente mencionados, errores detectados y conceptos importantes que faltan, junto con una calificación numérica entre 0 y 10.
**Conceptos correctamente mencionados:**
* La diferencia en la secuencia de creación del código entre TDD y un enfoque tradicional de testing (TDD: código a partir de tests, enfoque tradicional: código primero y luego tests).
* La importancia de la cobertura general del código en TDD (cubrir todos los caminos del código).
* Las fases del ciclo TDD (test rojos, código con tests verdes y refactorización).
**Errores detectados:**
* La respuesta no menciona con claridad la importancia de la priorización de la calidad del código en TDD.
* No se menciona la importancia de la robustez del software en TDD.
* La respuesta no es clara en cuanto a la eficiencia y mantenibilidad del código en TDD.
* No se menciona la relación entre TDD y la reducción de errores en tiempo de ejecución.
**Conceptos importantes que faltan:**
* La importancia de la escritura de tests exhaustivos y exhaustivos en TDD.
* La relación entre TDD y la mejora de la calidad del código.
* La importancia de la refactorización continua en TDD.
**Calificación: 6/10**
La respuesta presenta algunos conceptos básicos sobre la comparación entre TDD y un enfoque tradicional de testing, pero falta claridad y profundidad en algunos aspectos importantes. La respuesta no es exhaustiva y no aborda todos los conceptos relevantes. Sin embargo, la respuesta muestra un buen esfuerzo por presentar los conceptos básicos de TDD y su comparación con un enfoque tradicional de testing.&lt;|eot_id|&gt;</t>
  </si>
  <si>
    <t>Respuesta: 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</si>
  <si>
    <t>**Evaluación de la respuesta**
La respuesta proporcionada describe algunas buenas prácticas en TDD (Desarrollo Guiado por Pruebas), pero no aborda completamente el tema y contiene algunos errores conceptuales. A continuación, se presentan los conceptos correctamente mencionados, los errores detectados y los conceptos importantes que faltan:
**Conceptos correctamente mencionados:**
* Variación en los tipos de tests: La respuesta menciona la importancia de tener una variedad de tipos de tests, como tests unitarios y end-to-end, lo que es correcto.
* Refactorización de código a partir de tests: La respuesta menciona la importancia de refactorizar el código en función de los tests, lo que es correcto.
* Cobertura general del código: La respuesta menciona la importancia de tener una cobertura general del código por encima del 70%, lo que es correcto.
**Errores detectados:**
* La respuesta no menciona explícitamente la importancia de escribir solo los tests necesarios para que fallen, lo que es una buena práctica clave en TDD.
* No se menciona la importancia de evitar la duplicación de código, lo que es otra buena práctica importante en TDD.
* La respuesta no explica claramente cómo la cobertura general del código por encima del 70% contribuye a la calidad del software.
* La respuesta contiene una afirmación incorrecta: "los tests en verde no aseguran al 100% que no haya bugs". Esto no es cierto, ya que los tests en verde indican que el código funciona correctamente según los tests escritos, pero no garantizan que no haya bugs.
**Conceptos importantes que faltan:**
* La respuesta no menciona la importancia de escribir tests que cubran todos los escenarios y casos de uso posibles.
* No se menciona la importancia de mantener los tests actualizados y refactores en función de cambios en el código.
* La respuesta no proporciona ejemplos concretos de cómo aplicar estas buenas prácticas en TDD.
**Nota:** 6/10
**Justificación:** La respuesta proporciona algunas buenas prácticas en TDD, pero no aborda completamente el tema y contiene algunos errores conceptuales. La respuesta necesita mejorar en la explicación de la importancia de escribir solo los tests necesarios para que fallen, evitar la duplicación de código y la importancia de la cobertura general del código.&lt;|eot_id|&gt;</t>
  </si>
  <si>
    <t>Respuesta: La validación de entradas en el contexto de TDD, es realmente importante ya que cualquier zona del código que permita el input/entrada es potencialmente una brecha de seguridad que debe ser testeada de distintas formas para confirmar que es seguro mantener una entrada allí.
Esto naturalmente conlleva a un software mas robusto y seguro.</t>
  </si>
  <si>
    <t>**Evaluación de la respuesta**
La respuesta proporcionada aborda la importancia de la validación de entradas en el contexto de TDD (Desarrollo Guiado por Pruebas), pero no cubre todos los aspectos de la importancia y la relación con la robustez del software de manera exhaustiva. A continuación, se presentan los conceptos correctamente mencionados, errores detectados y conceptos importantes que faltan:
**Conceptos correctamente mencionados:**
1. La importancia de la validación de entradas en TDD.
2. La relación entre la validación de entradas y la seguridad del software.
3. La necesidad de probar la seguridad de las entradas desde distintas perspectivas.
**Errores detectados:**
1. La respuesta se centra principalmente en la seguridad y no menciona explícitamente la relación con la robustez del software.
2. No se explica claramente cómo la validación de entradas contribuye a la robustez del software.
3. La respuesta no menciona la importancia de la validación de entradas en términos de prevenir errores y comportamientos inesperados en el software.
**Conceptos importantes que faltan:**
1. La relación entre la validación de entradas y la calidad del código.
2. La importancia de la validación de entradas en términos de facilitar el mantenimiento y la comprensión del software.
3. Ejemplos concretos de cómo la validación de entradas puede mejorar la robustez del software.
**Calificación: 6/10**
La respuesta proporcionada muestra una comprensión básica de la importancia de la validación de entradas en TDD, pero no cubre todos los aspectos relacionados con la robustez del software de manera exhaustiva. Se recomienda profundizar en la explicación y proporcionar ejemplos concretos para mejorar la calidad de la respuesta.&lt;|eot_id|&gt;</t>
  </si>
  <si>
    <t>Respuesta: El ciclo TDD (Test Driven Development) es una manera de realizar proyectos de informatica que implican y tienen una parte muy importante de programacion. Su ciclo es:
-red: En este punto se ha hecho un test el cual no pasa las pruebas correspondientes
-green: En este punto se ha hecho el minimo codigo necesario como para que se pase el test 
-refactor: Aquí se implementa de una manera mas profunda y detallada codigo para que pase los diferentes test, ademas de que sea profesional, y este bien organizado y estructurado. 
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</si>
  <si>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**Evaluación de la respuesta**
La respuesta proporcionada describe de manera general el ciclo TDD y su importancia en el desarrollo de software, aunque con algunos errores y omisiones. A continuación, se presentan los conceptos correctamente mencionados, los errores detectados y los conceptos importantes que faltan:
**Conceptos correctamente mencionados:**
* El ciclo TDD se describe como una forma de realizar proyectos de informática que implica programación.
* Se menciona las tres etapas del ciclo TDD: Red, Verde y Refactor.
* Se destaca la importancia de la validación y la corrección del código a través del TDD.
**Errores detectados:**
* La respuesta no es muy precisa en la descripción de cada etapa del ciclo TDD. Por ejemplo, la etapa "Red" se describe como un punto en el que se ha hecho un test que no pasa las pruebas correspondientes, pero no se explica claramente por qué esto sucede.
* La etapa "Verde" se describe como el punto en el que se hace el mínimo código necesario para que se pase el test, pero no se explica claramente qué significa "mínimo código necesario".
* La etapa "Refactor" se describe como el punto en el que se implementa código de manera más profunda y detallada, pero no se explica claramente qué se entiende por "código profesional, bien organizado y estructurado".
* La respuesta no menciona la importancia de que los tests sean escritos antes de escribir el código, lo que es un aspecto clave del TDD.
**Conceptos importantes que faltan:**
* No se explica claramente por qué el TDD es importante en el desarrollo de software.
* No se menciona la importancia de la repetición del ciclo TDD para asegurar la calidad del código.
* No se explica cómo el TDD ayuda a prevenir errores y problemas en el código.
**Calificación: 6/10**
La respuesta proporcionada tiene algunos conceptos correctos, pero también contiene errores y omisiones importantes. La respuesta podría ser mejorada con una descripción más precisa y detallada del ciclo TDD y su importancia en el desarrollo de software.&lt;|eot_id|&gt;</t>
  </si>
  <si>
    <t>Respuesta: TDD nos permite validar y comprobar todas las partes de nuestro codigo, ya que todo lo que vamos haciendo parte de los diferentes tests que se van desarrollando e implementando; y a medida que vamos avanzando se alcanza una mayor cobertura y estabilidad en nuestro codigo. 
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</si>
  <si>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**Evaluación de la respuesta**
La respuesta proporcionada es una descripción general de la diferencia entre TDD (Desarrollo Guiado por Pruebas) y un enfoque tradicional de testing en el desarrollo de software. A continuación, se presentan los conceptos correctamente mencionados, errores detectados y conceptos importantes que faltan en la respuesta:
**Conceptos correctamente mencionados:**
* La idea de que TDD permite validar y probar todas las partes del código a través de tests.
* La diferencia entre TDD y otros enfoques tradicionales de desarrollo, como el desarrollo incremental o XP.
* La importancia de la cobertura y la estabilidad del código en TDD.
**Errores detectados:**
* La respuesta no menciona explícitamente la secuencia de TDD (escribir tests antes del código, desarrollar el código para que pase los tests, refactorizar el código).
* No se explica con claridad cómo se relaciona la validación y comprobación de código en TDD con la robustez del software.
* La respuesta no menciona la importancia de la iteración y la retroalimentación en TDD.
**Conceptos importantes que faltan:**
* Una explicación más detallada de cómo se beneficia la calidad del código y la reducción de errores en TDD.
* Un ejemplo concreto de cómo se aplica TDD en la práctica.
* Una mención a la importancia de la automatización de tests en TDD.
**Calificación: 6/10**
La respuesta proporcionada es una buena introducción a la diferencia entre TDD y un enfoque tradicional de testing, pero requiere más detalle y ejemplos para ser considerada completa y precisa. La respuesta necesita mejorar en la explicación de la secuencia de TDD, la validación y comprobación de código, y la importancia de la iteración y la retroalimentación en TDD.&lt;|eot_id|&gt;</t>
  </si>
  <si>
    <t>Respuesta: 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 
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 
Por ultimo tambien tendriamos la cobertura de los tests, es decir hacer tests verificando que cumplen lo que tienen que hacer y van a ser funcionales; dando la maxima cobertura posible y asegurandonos de que estos esten bien realizados e implementados.</t>
  </si>
  <si>
    <t>**Evaluación de la respuesta**
La respuesta proporcionada describe algunas buenas prácticas en TDD, pero no aborda exhaustivamente el tema. A continuación, se presentan los conceptos correctamente mencionados, los errores detectados y los conceptos importantes que faltan:
**Conceptos correctamente mencionados:**
1. Utilización de diferentes herramientas de testing, como JUnit 5, JaCoCo, MockMvc, Thunder Client y Postman.
2. Importancia de probar el código antes de llevarlo a producción.
3. Aplicación de conceptos básicos de programación, como SOLID y SMART.
**Errores detectados:**
1. La respuesta no menciona explícitamente las tres etapas del ciclo TDD (Rojo, Verde y Refactor).
2. No se menciona la importancia de refactorizar regularmente.
3. La respuesta se centra más en la herramientas y conceptos generales de programación que en las buenas prácticas específicas de TDD.
**Conceptos importantes que faltan:**
1. La importancia de escribir solo los tests necesarios para que fallen.
2. La necesidad de evitar la duplicación de código.
3. La importancia de mantener un alto nivel de cobertura de tests.
**Calificación: 6/10**
La respuesta proporcionada es buena, pero no aborda exhaustivamente el tema de las buenas prácticas en TDD. Se mencionan algunas herramientas y conceptos importantes, pero faltan otros aspectos clave para una evaluación completa.&lt;|eot_id|&gt;</t>
  </si>
  <si>
    <t>Respuesta: 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 
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</si>
  <si>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**Evaluación de la respuesta**
La respuesta proporcionada aborda la importancia de validar entradas en el contexto de TDD y su relación con la robustez del software. A continuación, se presentan los conceptos correctamente mencionados, los errores detectados y los conceptos importantes que faltan:
**Conceptos correctamente mencionados:**
1. La importancia de validar entradas en TDD.
2. La relación entre la validación de entradas y la robustez del software.
3. La necesidad de asegurarse de que las entradas sean correctas para evitar errores en el código que sigue.
4. La importancia de tratar errores y informar al usuario en caso de que los datos de entrada sean incorrectos.
**Errores detectados:**
1. La respuesta no menciona explícitamente el ciclo de TDD y cómo la validación de entradas se integra en él.
2. No se explica con claridad cómo la validación de entradas ayuda a prevenir errores y mejorar la robustez del software.
3. La respuesta utiliza una estructura de oración un poco confusa y no es muy clara en algunos puntos.
**Conceptos importantes que faltan:**
1. Una explicación más detallada de cómo la validación de entradas se integra en el ciclo de TDD.
2. Ejemplos concretos de cómo la validación de entradas ayuda a prevenir errores y mejorar la robustez del software.
3. Una discusión sobre las consecuencias de no validar las entradas y cómo afecta la calidad del software.
**Calificación: 7/10**
La respuesta proporcionada muestra una buena comprensión de la importancia de validar entradas en TDD y su relación con la robustez del software. Sin embargo, necesita mejorar en términos de claridad y estructura de oración, y agregar más detalles y ejemplos concretos para fortalecer la explicación.&lt;|eot_id|&gt;</t>
  </si>
  <si>
    <t>Respuesta: 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 
El ciclo que sigue el desarrollo es Rojo-Verde-Refactor:
* Rojo: Se hace el test y falla (se pone en rojo) ya que no hay código.
* Verde: Una vez hecho el test, se hace el código para que pase el test correctamente (verde).
* Refactro: Manteniendo el verde, se edita el código para hacerlo más legible, sencillo, etc.</t>
  </si>
  <si>
    <t>**Evaluación de la respuesta**
La respuesta proporcionada describe el ciclo TDD de manera general y menciona su importancia en el desarrollo de software. Sin embargo, hay algunos conceptos que no se mencionan con claridad o se presentan de manera incompleta.
**Conceptos correctamente mencionados:**
* El ciclo TDD se refiere a una metodología de desarrollo que implica escribir tests antes del código.
* El ciclo TDD se compone de tres etapas: Rojo, Verde y Refactor.
* La etapa Rojo se refiere a la creación de un test que falla porque no hay código.
* La etapa Verde se refiere a la creación de código para que el test pase.
* La etapa Refactor se refiere a la mejora del código para hacerlo más legible y sencillo.
**Errores detectados:**
* La respuesta no menciona con claridad la importancia de escribir tests que fallan en la etapa Rojo, ya que esto ayuda a identificar qué funcionalidades no están implementadas.
* No se menciona la importancia de que los tests en la etapa Verde sean los mínimos necesarios para que el código pase.
* La respuesta no menciona la importancia de la refactorización en la etapa Refactor, que no solo se limita a hacer el código más legible y sencillo, sino que también implica mejorar la estructura y la complejidad del código.
**Conceptos importantes que faltan:**
* La respuesta no menciona la importancia de que el ciclo TDD promueva un desarrollo proactivo, donde se asegura que el código cumpla con las especificaciones definidas inicialmente por los tests.
* No se menciona la relación entre la validación de entradas y la robustez del software en el contexto de TDD.
**Calificación: 6/10**
La respuesta proporcionada es una buena introducción al ciclo TDD, pero requiere más claridad y detalle en algunos conceptos importantes. La respuesta también carece de algunos conceptos fundamentales relacionados con la importancia y la aplicación práctica del TDD en el desarrollo de software.&lt;|eot_id|&gt;</t>
  </si>
  <si>
    <t>Respuesta: Si comparamos TDD con un enfoque tradicional (EF) de testing podemos ver que:
* En TDD se hacen primero los tests y después el código, y en el EF se hace primero el código y después el test.
* En TDD se usan los test (como prerequisito) para ir desarollando el código y que este los pase, y en el EF se van desarollando los test para lograr que pasen el código.
* TDD es proactivo y el EF es reactivo.</t>
  </si>
  <si>
    <t>**Evaluación de la respuesta**
La respuesta proporcionada aborda la comparación entre TDD (Desarrollo Guiado por Pruebas) y un enfoque tradicional (EF) de testing en el desarrollo de software. A continuación, se presentan los conceptos correctamente mencionados, los errores detectados y los conceptos importantes que faltan:
**Conceptos correctamente mencionados:**
1. La secuencia de TDD: se menciona que en TDD se hacen primero los tests y después el código.
2. La secuencia de un enfoque tradicional de testing: se menciona que en el EF se hace primero el código y después el test.
3. El propósito de los tests en TDD: se menciona que los tests se utilizan como prerequisito para desarrollar el código.
4. La naturaleza proactiva de TDD: se menciona que TDD es proactivo, en comparación con el enfoque tradicional, que es reactivo.
**Errores detectados:**
1. Falta de claridad en la explicación: la respuesta es un poco confusa y no se explica con claridad la diferencia entre TDD y el enfoque tradicional.
2. Faltan ejemplos concretos: no se proporcionan ejemplos concretos para ilustrar la diferencia entre TDD y el enfoque tradicional.
3. No se menciona la importancia de la validación de entradas en TDD: se menciona que los tests se utilizan como prerequisito, pero no se explica cómo esto se relaciona con la validación de entradas.
**Conceptos importantes que faltan:**
1. La importancia de la robustez del software: no se menciona cómo TDD ayuda a crear software más robusto y menos propenso a errores.
2. La reducción de la complejidad del código: no se menciona cómo TDD ayuda a reducir la complejidad del código y mejorar su mantenibilidad.
3. La relación entre TDD y la calidad del software: no se menciona cómo TDD contribuye a la creación de software de alta calidad.
**Nota:** 6/10
La respuesta proporcionada es una buena base para entender la diferencia entre TDD y un enfoque tradicional de testing, pero necesita ser más clara y concreta en su explicación. También es necesario incluir ejemplos y mencionar los conceptos importantes que faltan para mejorar la calidad de la respuesta.&lt;|eot_id|&gt;</t>
  </si>
  <si>
    <t>Respuesta: 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</si>
  <si>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**Evaluación de la respuesta**
La respuesta proporcionada describe algunas buenas prácticas en TDD, pero no cubre exhaustivamente el tema. A continuación, se presentan los conceptos correctamente mencionados, errores detectados y conceptos importantes que faltan:
**Conceptos correctamente mencionados:**
* La importancia de escribir tests antes del desarrollo de código.
* La fase "roja" (escribir un test que falla) y la fase "verde" (desarrollar el mínimo código necesario para que el test pase).
* La fase "refactor" y la importancia de mantener el código en verde.
**Errores detectados:**
* La respuesta sugiere que las buenas prácticas en TDD comienzan con el desarrollo de código una vez que los tests están desarrollados, lo que es incorrecto. En realidad, las buenas prácticas en TDD implican escribir tests antes del desarrollo de código.
* La respuesta no menciona la importancia de evitar la duplicación de código, lo que es una buena práctica en TDD.
**Conceptos importantes que faltan:**
* La importancia de escribir solo los tests necesarios para que fallen, no todos los posibles tests.
* La importancia de refactorizar regularmente para mantener el código limpio y eficiente.
* El impacto en la calidad del software, que es mejorar la robustez, la mantenibilidad y la eficiencia del código.
**Nota:** 6/10
**Justificación:** La respuesta proporcionada describe algunas buenas prácticas en TDD, pero no cubre exhaustivamente el tema. La respuesta necesita mejorar en la descripción de la importancia de escribir tests antes del desarrollo de código, la importancia de evitar la duplicación de código y el impacto en la calidad del software.&lt;|eot_id|&gt;</t>
  </si>
  <si>
    <t>Respuesta: 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</si>
  <si>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**Evaluación de la respuesta**
La respuesta proporcionada muestra una comprensión básica de la importancia de validar entradas en el contexto de TDD, pero hay algunas áreas en las que se pueden mejorar.
**Conceptos correctamente mencionados:**
* La importancia de validar entradas en TDD para evitar errores en los tests.
* La relación entre la validación de entradas y la robustez del software.
**Errores detectados:**
* La respuesta no menciona explícitamente cómo la validación de entradas ayuda a prevenir errores en el software.
* La explicación sobre cómo la validación de entradas afecta la robustez del software es un poco vaga y no proporciona ejemplos concretos.
* La respuesta no menciona la importancia de la validación de entradas en la etapa de diseño del software.
**Conceptos importantes que faltan:**
* La explicación sobre cómo la validación de entradas se integra con la etapa de diseño del software.
* Ejemplos concretos de cómo la validación de entradas puede mejorar la robustez del software.
**Calificación: 6/10**
La respuesta proporcionada es básica y no muestra una comprensión profunda de la importancia de la validación de entradas en el contexto de TDD. Aunque menciona algunos conceptos correctos, falta una explicación más detallada y con ejemplos concretos para respaldar la importancia de la validación de entradas.
**Recomendaciones para mejorar:**
* Incluir ejemplos concretos de cómo la validación de entradas puede mejorar la robustez del software.
* Explicar cómo la validación de entradas se integra con la etapa de diseño del software.
* Mencionar la importancia de la validación de entradas en la etapa de diseño del software.
* Añadir más detalles sobre cómo la validación de entradas ayuda a prevenir errores en el software.&lt;|eot_id|&gt;</t>
  </si>
  <si>
    <t>Respuesta: TDD (Test Driven Development) es una metodología de desarrollo de software según la cual antes de empezar a programar se definen unos test o pruebas mínimas que deben superar. El proceso se divide en 3 fases: rojo, verde y refactor.  
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
La segunda fase (verde) es la implementación del código. En esta se escriben las funciones necesarias para que dichos test pasen las distintas pruebas. No deben ser perfecto, solo pasar el test (de ahí el nombre, el color que da el test aprobado).
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
En general, su importancia surge en productos acotados y de carácter empresarial, pues da una estructura robusta y con una especificación clara. Sin embargo, para productos más abiertos, esta metodología podría no tener sentido.</t>
  </si>
  <si>
    <t>**Evaluación de la respuesta**
La respuesta proporcionada describe de manera general el ciclo TDD (Test Driven Development) y su importancia en el desarrollo de software. A continuación, se presentan los conceptos correctamente mencionados, los errores detectados y los conceptos importantes que faltan:
**Conceptos correctamente mencionados:**
* La definición de TDD como una metodología de desarrollo de software que implica definir tests o pruebas mínimas antes de empezar a programar.
* Las tres fases del ciclo TDD: rojo, verde y refactor.
* La importancia de la fase de refactor para optimizar y mejorar el código.
**Errores detectados:**
* La respuesta no menciona explícitamente la importancia de escribir tests que fallen (rojo) antes de implementar el código.
* No se explica con claridad la razón por la que la fase de refactor se llama "refactor" y su propósito.
* La respuesta no menciona la importancia de la fase de refactor en la mejora continua del código.
**Conceptos importantes que faltan:**
* La importancia de la fase de "verde" en la que se implementa el código para que los tests pasen.
* La relación entre la metodología TDD y la calidad del software.
* Ejemplos concretos de cómo la TDD se aplica en la práctica.
**Calificación: 6/10**
La respuesta proporcionada es básica y no ofrece una comprensión profunda del ciclo TDD y su importancia en el desarrollo de software. Aunque menciona los conceptos básicos, falta claridad y profundidad en la explicación. La respuesta también contiene errores y omisiones importantes que afectan la precisión y la completitud de la información.
**Sugerencias para mejorar la respuesta:**
* Añadir ejemplos concretos de cómo se aplica la TDD en la práctica.
* Explicar con más claridad la importancia de cada fase del ciclo TDD.
* Mencionar la relación entre la TDD y la calidad del software.
* Añadir más detalles sobre la importancia de la fase de refactor en la mejora continua del código.&lt;|eot_id|&gt;</t>
  </si>
  <si>
    <t>Respuesta: 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
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</si>
  <si>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**Evaluación de la respuesta**
La respuesta proporcionada es una comparación entre TDD (Desarrollo Guiado por Pruebas) y el enfoque tradicional de testing en el desarrollo de software. A continuación, se presentan los conceptos correctamente mencionados, los errores detectados y los conceptos importantes que faltan en la respuesta:
**Conceptos correctamente mencionados:**
1. La descripción de la secuencia de TDD (pruebas antes del código) y el enfoque tradicional (código primero y luego pruebas).
2. La importancia de la estabilidad y robustez en TDD.
3. La flexibilidad limitada en TDD en comparación con el enfoque tradicional.
**Errores detectados:**
1. La respuesta no menciona explícitamente la importancia de la reflexión y refactorización en TDD, lo que es un aspecto crucial en la metodología.
2. No se menciona la ventaja de que TDD ayuda a prevenir errores desde el inicio y reduce la complejidad del código.
3. La respuesta no es clara en cuanto a cómo se relaciona la flexibilidad limitada en TDD con la estabilidad y robustez.
**Conceptos importantes que faltan:**
1. La importancia de la escritura de pruebas unitarias y la cobertura de código en TDD.
2. La relación entre TDD y la calidad del software, como la reducción de errores y la mejora de la mantenibilidad.
3. Un ejemplo concreto de cómo TDD se aplica en la práctica.
**Nota:** 6/10
La respuesta proporcionada es una buena base para comparar TDD con el enfoque tradicional de testing, pero necesita más detalles y claridad en algunos puntos. La respuesta muestra una buena comprensión de la secuencia y la importancia de TDD, pero falta profundidad en otros aspectos clave.&lt;|eot_id|&gt;</t>
  </si>
  <si>
    <t>Respuesta: 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</si>
  <si>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**Evaluación de la respuesta**
La respuesta proporcionada intenta describir las buenas prácticas en TDD, pero presenta algunos errores y conceptos incompletos. A continuación, se presentan los conceptos correctamente mencionados, los errores detectados y los conceptos importantes que faltan:
**Conceptos correctamente mencionados:**
* La respuesta menciona el proceso de red-green-refactor, que es un paso fundamental en TDD.
* Reconoce la importancia de completar una fase antes de pasar a la siguiente.
**Errores detectados:**
* La respuesta utiliza el término "raja tabla", que no es un concepto válido en TDD. Es probable que se refiera a "refactorizar" o "refactor", pero el término no es correcto.
* La afirmación de que el peso del desarrollo recae principalmente en el desarrollo de los tests es incorrecta. En TDD, el enfoque se centra en escribir tests para guiar el desarrollo del código, pero el peso del desarrollo sigue siendo en la implementación del código en sí.
* La afirmación de que se deben programar todas las características antes de implementarlas es incorrecta. En TDD, se escribe un test que falla, luego se implementa el código mínimo necesario para que el test pase, y finalmente se refactorea el código. No se programa todas las características de una vez.
**Conceptos importantes que faltan:**
* La respuesta no menciona la importancia de escribir solo los tests necesarios para que fallen, lo que ayuda a mantener el desarrollo enfocado y eficiente.
* No se menciona la importancia de evitar la duplicación de código y refactorizar regularmente para mantener la calidad del código.
**Nota: 4/10**
La respuesta muestra una comprensión básica de TDD, pero presenta errores y conceptos incompletos. Es necesario mejorar la precisión y completitud de la respuesta para reflejar adecuadamente las buenas prácticas en TDD y su impacto en la calidad del software.&lt;|eot_id|&gt;</t>
  </si>
  <si>
    <t>Respuesta: 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</si>
  <si>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**Evaluación de la respuesta**
La respuesta proporcionada aborda parcialmente la importancia de validar entradas en el contexto de TDD y su relación con la robustez del software. A continuación, se presentan los conceptos correctamente mencionados, los errores detectados y los conceptos importantes que faltan:
**Conceptos correctamente mencionados:**
* La validación de entradas es una parte importante de TDD.
* La validación ayuda a asegurar que el código reciba solo los tipos de datos correctos.
* La validación inicial del dato puede otorgar robustez al código.
**Errores detectados:**
* La respuesta no menciona explícitamente la importancia de validar entradas en TDD para prevenir errores y comportamientos inesperados en el software.
* No se destaca la relación entre la validación de entradas y la mejora de la calidad del código y su mantenibilidad.
**Conceptos importantes que faltan:**
* La respuesta no menciona la importancia de escribir tests para validar las entradas antes de implementar la lógica del negocio.
* No se explora cómo la validación de entradas en TDD puede ayudar a identificar y resolver errores en tiempo de ejecución.
* No se proporciona un ejemplo concreto de cómo la validación de entradas puede mejorar la robustez del software.
**Calificación: 6/10**
La respuesta proporcionada muestra una comprensión básica de la importancia de validar entradas en TDD, pero falta profundidad y claridad en la explicación. Se recomienda agregar más detalles y ejemplos para mejorar la respuesta.&lt;|eot_id|&gt;</t>
  </si>
  <si>
    <t>Respuesta: 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</si>
  <si>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**Evaluación de la respuesta**
La respuesta proporcionada describe el ciclo TDD (Desarrollo Dirigido por Pruebas) de manera general, pero hay algunos conceptos que no están completamente claros o están mal explicados. A continuación, se presentan los conceptos correctamente mencionados, los errores detectados y los conceptos importantes que faltan:
**Conceptos correctamente mencionados:**
* El ciclo TDD se inicia con una fase "roja" donde el test está en rojo debido a que el código aún no está desarrollado.
* La segunda fase es la "verde" donde se implementa el mínimo código necesario para que el test pase.
* La tercera fase es el "refactor" donde se optimiza el código.
* El ejemplo de refactorización mencionado es cambiar el nombre de las variables a nombres más descriptivos.
**Errores detectados:**
* La respuesta no menciona explícitamente las tres etapas del ciclo TDD como se describe en la respuesta ideal: "se escribe un test que falla", "se desarrolla el mínimo código necesario para que el test pase" y "se mejora el código manteniendo todos los tests en verde".
* No se menciona la importancia de que el ciclo TDD promueva un desarrollo proactivo y asegure que el código cumpla con las especificaciones definidas inicialmente por los tests.
**Conceptos importantes que faltan:**
* No se menciona la importancia de que el ciclo TDD sea iterativo, es decir, que se repita varias veces durante el desarrollo del software.
* No se menciona la importancia de que el ciclo TDD promueva la calidad del código y la reducción de errores.
**Nota:** 6/10
**Justificación:**
La respuesta proporcionada describe el ciclo TDD de manera general, pero no es completa ni precisa. La respuesta no menciona algunos conceptos importantes y no explica de manera clara y concisa los beneficios del ciclo TDD. Sin embargo, la respuesta es comprensible y proporciona un ejemplo de refactorización, lo que muestra que el autor tiene una comprensión básica del concepto.&lt;|eot_id|&gt;</t>
  </si>
  <si>
    <t>Respuesta: 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</si>
  <si>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**Evaluación de la respuesta**
La respuesta proporcionada describe con claridad la diferencia entre el enfoque tradicional de testing y el enfoque de TDD (Testing-Driven Development). Sin embargo, hay algunas oportunidades para mejorar la precisión y completitud de la respuesta.
**Conceptos correctamente mencionados:**
* La diferencia en la secuencia entre el enfoque tradicional y TDD (escribir código primero vs. escribir tests primero)
* La importancia de los tests en TDD
* La posibilidad de que los tests en el enfoque tradicional sean prescindibles
**Errores detectados:**
* La respuesta no menciona explícitamente la importancia de la secuencia en TDD, es decir, que los tests se escriben antes del código y que esto implica que el código debe ser escrito para que los tests pasen.
* No se menciona la ventaja de que los tests en TDD sean obligatorios y ayuden a prevenir errores desde el inicio.
**Conceptos importantes que faltan:**
* La ventaja de que los tests en TDD sean escritos antes del código, lo que permite una verificación proactiva y no reactiva.
* La importancia de la refactorización en TDD para mantener el código limpio y fácil de mantener.
* La relación entre TDD y la calidad del software, es decir, cómo TDD ayuda a crear software más robusto y de alta calidad.
**Calificación:** 6/10
**Recomendaciones para mejorar:**
* Añadir más detalles sobre la importancia de la secuencia en TDD y cómo esto implica que el código debe ser escrito para que los tests pasen.
* Mencionar la ventaja de que los tests en TDD sean obligatorios y ayuden a prevenir errores desde el inicio.
* Agregar información sobre la refactorización y la calidad del software en TDD.&lt;|eot_id|&gt;</t>
  </si>
  <si>
    <t>Respuesta: 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</si>
  <si>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**Evaluación de la respuesta**
La respuesta proporcionada describe dos buenas prácticas en TDD: el uso de la estructura AAA (Arrange-Act-Assert) y la escritura de nombres descriptivos para clases, variables y métodos. A continuación, se evalúa la precisión conceptual, la completitud de la respuesta, el uso correcto de la terminología y la claridad de la explicación.
**Conceptos correctamente mencionados:**
* Uso de la estructura AAA (Arrange-Act-Assert) en TDD
* Importancia de escribir nombres descriptivos para clases, variables y métodos
**Errores detectados:**
* La respuesta no menciona la importancia de escribir solo los tests necesarios para que fallen, evitar la duplicación de código y refactorizar regularmente, que son buenas prácticas mencionadas en la respuesta ideal.
* La explicación sobre la estructura AAA es muy breve y no proporciona ejemplos adicionales para ilustrar su aplicación práctica.
* No se menciona el impacto de estas buenas prácticas en la calidad del software.
**Conceptos importantes que faltan:**
* La importancia de la refactorización regular para mantener el código limpio y eficiente.
* La importancia de evitar la duplicación de código y su impacto en la mantenibilidad del software.
* El impacto de estas buenas prácticas en la calidad del software, como la mejora de la eficiencia, la reducción de errores y la mejor comprensión del código.
**Nota:** 6/10
La respuesta proporcionada describe dos buenas prácticas en TDD, pero no cubre todos los conceptos importantes y no proporciona ejemplos adicionales para ilustrar su aplicación práctica. La respuesta necesita ser más completa y detallada para reflejar la respuesta ideal.&lt;|eot_id|&gt;</t>
  </si>
  <si>
    <t>Respuesta: 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</si>
  <si>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**Evaluación de la respuesta**
La respuesta proporcionada aborda la importancia de validar entradas en el contexto de TDD y su relación con la robustez del software. A continuación, se presentan los conceptos correctamente mencionados, errores detectados y conceptos importantes que faltan, así como una calificación numérica entre 0 y 10.
**Conceptos correctamente mencionados:**
1. La importancia de evitar excepciones en el software, como la división por cero.
2. La necesidad de validar entradas en el enfoque TDD para asegurar que el software sea robusto.
3. La relación entre la validación de entradas y la robustez del software.
**Errores detectados:**
1. La respuesta no menciona explícitamente el ciclo TDD (Red, Green, Refactor) y su relación con la validación de entradas.
2. No se explica claramente cómo la validación de entradas en el enfoque TDD ayuda a prevenir errores en el software.
3. La respuesta utiliza el patrón AAA (Arrange, Act, Assert) de forma incompleta, no explicando cómo se relaciona con la validación de entradas.
**Conceptos importantes que faltan:**
1. Una explicación más detallada de cómo la validación de entradas en el enfoque TDD ayuda a prevenir errores en el software.
2. Un ejemplo concreto de cómo se aplica la validación de entradas en un contexto específico.
3. Una discusión sobre la importancia de la validación de entradas en relación con la seguridad y la escalabilidad del software.
**Calificación: 7/10**
La respuesta proporcionada es clara y concisa, y aborda la importancia de validar entradas en el contexto de TDD. Sin embargo, faltan algunos detalles importantes y no se explica con suficiente profundidad cómo la validación de entradas ayuda a prevenir errores en el software.&lt;|eot_id|&gt;</t>
  </si>
  <si>
    <t>Respuesta: 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
Es importante ya que nos ayuda a reducir la cantidad de debugs y a la simplificación de código.</t>
  </si>
  <si>
    <t>**Evaluación de la respuesta**
La respuesta proporcionada describe el ciclo TDD, pero con algunas inexactitudes y omisiones. A continuación, se presentan los conceptos correctamente mencionados, los errores detectados y los conceptos importantes que faltan:
**Conceptos correctamente mencionados:**
* El ciclo TDD se describe como RED, VERDE y REFACTOR.
* Se menciona la importancia de reducir la cantidad de debugs y simplificar el código.
**Errores detectados:**
* La respuesta no describe con precisión el significado de cada etapa del ciclo TDD. La etapa RED se refiere a escribir un test que falla, no simplemente a "probamos que los tests fallan".
* La etapa VERDE se describe como "Probamos que los tests funcionen con el código más simple posible", lo que no es exacto. En realidad, se trata de escribir el código mínimo necesario para que el test pase.
* La etapa REFACTOR se describe como "En el cual mejoramos la calidad de los tests una vez ya funcionan", lo que no es exacto. En realidad, se trata de refactorizar el código manteniendo todos los tests en verde.
**Conceptos importantes que faltan:**
* No se menciona que el ciclo TDD es un ciclo iterativo, que se repite varias veces durante el desarrollo del software.
* No se menciona la importancia de que el test falla inicialmente y que el código se escribe para que el test pase.
* No se menciona la importancia de que el código se refactore para mantener su calidad y mantener todos los tests en verde.
**Nota: 6/10**
La respuesta proporcionada es una buena intentona, pero requiere más precisión y detalle para reflejar con exactitud el ciclo TDD y su importancia en el desarrollo de software.&lt;|eot_id|&gt;</t>
  </si>
  <si>
    <t>Respuesta: Enfoque tradicional:
* Primero realiza el código y luego los tests.
* Usa los tests a modo de verificación.
* Es reactivo.
* Los tests no son obligatorios, son opcionales.
TDD:
* Primero realiza los tests y a continuación el código.
* Usa los tests a modo de especificación.
* Es proactivo.
* Los tests son obligatorios.</t>
  </si>
  <si>
    <t>**Evaluación de la respuesta**
La respuesta proporcionada describe con claridad la diferencia entre el enfoque tradicional de testing en el desarrollo de software y el enfoque de TDD (Testing-Driven Development). A continuación, se presentan los conceptos correctamente mencionados, errores detectados y conceptos importantes que faltan, así como una calificación numérica entre 0 y 10.
**Conceptos correctamente mencionados:**
* La secuencia de eventos en el enfoque tradicional (código primero, luego tests) y en TDD (tests primero, luego código).
* La función de los tests en cada enfoque (verificación en el enfoque tradicional, especificación en TDD).
* La actitud proactiva o reactiva de cada enfoque (TDD es proactivo, el enfoque tradicional es reactivo).
* La obligatoriedad de los tests en TDD y su condición de opcionalidad en el enfoque tradicional.
**Errores detectados:**
* La respuesta no menciona la importancia de la iteración y la mejora continua en TDD, que es un aspecto clave de este enfoque.
* No se destaca la ventaja de que los tests en TDD ayudan a prevenir errores desde el inicio, lo que reduce el tiempo y el esfuerzo necesarios para encontrar y corregir errores más adelante en el desarrollo.
* La respuesta no menciona la relación entre la complejidad del código y la calidad del software, que es un beneficio clave de utilizar TDD.
**Conceptos importantes que faltan:**
* La importancia de la iteración y la mejora continua en TDD.
* La ventaja de que los tests en TDD ayudan a prevenir errores desde el inicio.
* La relación entre la complejidad del código y la calidad del software.
**Calificación numérica: 7/10**
La respuesta proporcionada es clara y concisa, y describe con precisión la diferencia entre el enfoque tradicional y TDD. Sin embargo, no aborda algunos aspectos importantes de TDD, como la iteración y la mejora continua, y la ventaja de prevenir errores desde el inicio.&lt;|eot_id|&gt;</t>
  </si>
  <si>
    <t>Respuesta: Para llevar a cabo unas buenas prácticas en el TDD debemos hacer uso de la metodología FIRST la cual consta con cinco puntos clave:
* Fast (F): Los tests funcionan con rapidez.
* Independency (I): Los tests deben de ser independientes entre si.
* Repeteable (R): Los tests deben realizar el mismo funcionamiento y de igual manera en cualquier entorno.
* Self-Validation (S): Tienen una validación propia para saber si funcionan o no.
* Timely (T): 
Su mpacto de calidad en el software es la mejora de código, la reducción de debugging, documentación viva, etc.</t>
  </si>
  <si>
    <t>**Evaluación de la respuesta**
La respuesta proporcionada describe las buenas prácticas en TDD mediante la metodología FIRST, que consta de cinco puntos clave: Fast, Independency, Repeteable, Self-Validation y Timely. A continuación, se evalúa la respuesta y se proporciona una calificación numérica y una justificación detallada.
**Conceptos correctamente mencionados:**
* La metodología FIRST como una guía para las buenas prácticas en TDD.
* Los cinco puntos clave de la metodología FIRST: Fast, Independency, Repeteable, Self-Validation y Timely.
**Errores detectados:**
* La respuesta no menciona explícitamente el impacto de la metodología FIRST en la calidad del software, lo que se mencionaba en la pregunta.
* La respuesta no proporciona ejemplos o explicaciones más detalladas de cómo cada uno de los puntos de la metodología FIRST contribuye a la calidad del software.
**Conceptos importantes que faltan:**
* La importancia de escribir tests solo cuando sea necesario.
* La necesidad de refactorizar el código regularmente.
* El papel de los tests en la documentación viva del código.
**Calificación: 7/10**
La respuesta proporciona una buena descripción de la metodología FIRST y sus cinco puntos clave, pero faltan explicaciones más detalladas y ejemplos de cómo cada uno de estos puntos contribuye a la calidad del software. Además, no se menciona explícitamente el impacto de la metodología FIRST en la calidad del software, lo que se considera un concepto importante que faltaba en la respuesta.&lt;|eot_id|&gt;</t>
  </si>
  <si>
    <t>Respuesta: La validación de entradas es clave para tener un código consistente y que no de marguen a errores imprevisto o respuestas no esperadas, de esta manera impedimos que el sistema reciba algo para lo cual no está entrenado dando un mal servicio.</t>
  </si>
  <si>
    <t>**Evaluación de la respuesta**
La respuesta proporcionada es parcialmente correcta y muestra una comprensión básica de la importancia de la validación de entradas en el contexto de TDD. Sin embargo, falta profundidad y claridad en la explicación.
**Conceptos correctos mencionados:**
* La validación de entradas es importante para prevenir errores imprevistos o respuestas no esperadas.
* La validación ayuda a mantener un código consistente.
**Errores detectados:**
* La respuesta no menciona explícitamente la relación con TDD y cómo la validación de entradas se relaciona con la robustez del software en este contexto.
* La explicación es un poco vaga y no proporciona ejemplos concretos o casos de uso para ilustrar la importancia de la validación de entradas en TDD.
**Conceptos importantes que faltan:**
* La explicación no menciona cómo la validación de entradas ayuda a prevenir errores en tiempo de ejecución y cómo esto se traduce en un software más robusto.
* No se menciona la importancia de la validación de entradas en la fase de diseño y planificación del software.
**Nota: 6/10**
La respuesta proporcionada es aceptable, pero podría ser mejorada con más detalles y ejemplos concretos para ilustrar la importancia de la validación de entradas en TDD y su relación con la robustez del software.&lt;|eot_id|&gt;</t>
  </si>
  <si>
    <t>Respuesta: El ciclo TDD (Test Driven Development) describe el ciclo tomado por la metodología de desarrollo de software conocida como TDD. Este ciclo tiene tres pasos principales: Red, Green, Refactor.
El primer paso, Red, consiste en escribir un test que fallé (ya que el código fuente no esta implementado).
Luego, en el paso Green, se escribe el código mínimo para superar el test.
Por último, en el paso Refactor, se mejora el código de la fase previa manteniendo los tests verdes. 
Es decir, el ciclo TDD tiene la siguiente secuencia: Red --&gt; Green --&gt; Refactor.
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</si>
  <si>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**Evaluación de la respuesta**
La respuesta proporcionada describe de manera general el ciclo TDD y su importancia en el desarrollo de software. A continuación, se presentan los conceptos correctamente mencionados, los errores detectados y los conceptos importantes que faltan:
**Conceptos correctamente mencionados:**
* El ciclo TDD se describe como una metodología de desarrollo de software.
* El ciclo TDD tiene tres pasos principales: Red, Green y Refactor.
* El primer paso (Red) consiste en escribir un test que falla.
* El segundo paso (Green) consiste en escribir el código mínimo para superar el test.
* El tercer paso (Refactor) consiste en mejorar el código de la fase previa manteniendo los tests verdes.
* El ciclo TDD se relaciona con el desarrollo de software y se utiliza para trabajar con un enfoque "test first" en el desarrollo de proyectos.
**Errores detectados:**
* La respuesta no menciona explícitamente la importancia de escribir tests antes de implementar la funcionalidad, lo que es un aspecto clave de la metodología TDD.
* No se explica claramente cómo el ciclo TDD ayuda a detectar bugs y mejorar el diseño del código.
* La respuesta utiliza una secuencia incorrecta para describir el ciclo TDD (Red --&gt; Green --&gt; Refactor), cuando en realidad el orden correcto es: Red (escribir un test que falla), Green (escribir el código mínimo para superar el test) y luego Refactor (mejorar el código de la fase previa manteniendo los tests verdes).
**Conceptos importantes que faltan:**
* No se menciona la importancia de validar entradas en el contexto de TDD y cómo se relaciona con la robustez del software.
* No se explica cómo el ciclo TDD promueve un desarrollo proactivo y asegura que el código producido cumple con las especificaciones definidas inicialmente por los tests.
**Calificación: 6/10**
La respuesta proporcionada describe de manera general el ciclo TDD y su importancia en el desarrollo de software, pero falta en algunos aspectos clave, como la importancia de escribir tests antes de implementar la funcionalidad y la importancia de validar entradas en el contexto de TDD.&lt;|eot_id|&gt;</t>
  </si>
  <si>
    <t>Respuesta: 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
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</si>
  <si>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**Evaluación de la respuesta**
La respuesta proporcionada presenta una buena comprensión del concepto de TDD (Test Driven Development) y su comparación con un enfoque tradicional de testing en el desarrollo de software. A continuación, se presentan los conceptos correctamente mencionados, los errores detectados y los conceptos importantes que faltan, junto con una calificación numérica entre 0 y 10.
**Conceptos correctamente mencionados:**
* La definición de TDD como un enfoque de desarrollo guiado por tests.
* La importancia de los tests en TDD como especificación y guía para el desarrollo.
* La secuencia de TDD: escribir tests primero, luego el código fuente.
* La diferencia entre TDD y un enfoque tradicional de testing en el desarrollo de software.
**Errores detectados:**
* La respuesta no menciona explícitamente la importancia de que los tests en TDD sean obligatorios, lo que es un aspecto clave de la metodología.
* La respuesta no destaca la ventaja de que los tests en TDD sirven como especificación, lo que permite un desarrollo más proactivo y preventivo.
* La respuesta utiliza la expresión "enfoque traidicional" en lugar de "enfoque tradicional", lo que puede ser considerado un error gramatical.
**Conceptos importantes que faltan:**
* La importancia de la validación de entradas en TDD y su relación con la robustez del software.
* Las buenas prácticas en TDD, como escribir solo los tests necesarios, evitar la duplicación de código y refactorizar regularmente.
* El impacto de TDD en la calidad del software, como la mejora de la mantenibilidad y la reducción de la complejidad del código.
**Calificación: 6/10**
La respuesta proporcionada muestra una buena comprensión del concepto de TDD y su comparación con un enfoque tradicional de testing en el desarrollo de software. Sin embargo, faltan algunos conceptos importantes y contiene errores gramaticales y conceptuales.&lt;|eot_id|&gt;</t>
  </si>
  <si>
    <t>Respuesta: Existen varias buenas prácticas en TDD. Entre estas se encuentran:
* La nomenclatura de los tests que deben ser descriptivos en cuanto a que se esta testeando y que resultado se espera
* Cada test debe ser independiente. Es decir, se considera buena práctica hacer más tests que verifican funcionalidades individuales y no agrupar varias verificaciones en un mismo test.
* En el paso Green, escribir el código mínimo que cumpla un test.
* En el paso Refactor, mejorar el código de la fase previa sin alterar su funcionalidad. Esto podría ser mejorar la estructura del proyecto (separación de carpetas, etc.), optimizar algortimos, añadir validaciones, etc.
En relación con la calidad del software, seguir estas y otras buenas prácticas dentro de la metodología TDD garantizan un código mas modular, legible y fiable durante su desarrollo.</t>
  </si>
  <si>
    <t>**Evaluación de la respuesta**
La respuesta proporcionada describe varias buenas prácticas en TDD (Desarrollo Dirigido por Pruebas) y su impacto en la calidad del software. A continuación, se evalúa la respuesta y se proporciona una justificación de la nota asignada.
**Conceptos correctamente mencionados:**
* La importancia de la nomenclatura descriptiva de los tests.
* La independencia de cada test.
* La escritura de código mínimo en la fase "Green".
* La mejora del código en la fase "Refactor" sin alterar su funcionalidad.
**Errores detectados:**
* La respuesta no menciona la importancia de escribir tests que fallen en la fase "Rojo" para guiar el desarrollo.
* No se menciona la importancia de la validación de entradas en TDD.
* La respuesta no es tan completa como la respuesta ideal, ya que no menciona la reducción de la complejidad del código y la mejora de su mantenibilidad.
**Conceptos importantes que faltan:**
* La importancia de la priorización de tests y la escritura de tests que cubran el 100% de la funcionalidad.
* La importancia de la automatización de los tests.
* La relación entre TDD y la calidad del código, como la mejora de la legibilidad y la fiabilidad.
**Nota: 7/10**
La respuesta proporcionada es buena, pero no es tan completa como la respuesta ideal. La respuesta describe varias buenas prácticas en TDD, pero no menciona algunos conceptos importantes, como la importancia de la validación de entradas y la automatización de los tests. Sin embargo, la respuesta es clara y concisa, y describe de manera correcta las buenas prácticas en TDD y su impacto en la calidad del software.&lt;|eot_id|&gt;</t>
  </si>
  <si>
    <t>Respuesta: En el contexto de TDD (Test Driven Development), la validación de entradas es crucial para el desarrollo y la robustez del software.
La validación de entradas minimiza la aparición de errores, excepciones a base de casos edge y optimiza la seguridad, fiabilidad y robustez del software.</t>
  </si>
  <si>
    <t>**Evaluación de la respuesta**
La respuesta proporcionada es parcialmente correcta y muestra un buen enfoque hacia la importancia de la validación de entradas en el contexto de TDD. Sin embargo, hay algunos conceptos importantes que faltan o no están claramente explicados.
**Conceptos correctamente mencionados:**
* La importancia de la validación de entradas en TDD
* La minimización de errores y excepciones a base de casos edge
* La optimización de la seguridad, fiabilidad y robustez del software
**Errores detectados:**
* La respuesta no menciona explícitamente cómo la validación de entradas se relaciona con la robustez del software.
* No se proporciona ejemplos o explicaciones más detalladas sobre cómo la validación de entradas ayuda a prevenir errores y mejorar la seguridad y fiabilidad del software.
**Conceptos importantes que faltan:**
* No se menciona la importancia de escribir tests para validar las entradas antes de implementar la lógica del negocio.
* No se explica cómo la validación de entradas se integra en el ciclo TDD (Rojo, Verde, Refactor).
* No se proporciona información sobre cómo la validación de entradas ayuda a mantener el código más simple y fácil de mantener.
**Calificación: 7/10**
La respuesta es buena, pero podría ser mejor si se proporcionaran ejemplos y explicaciones más detalladas sobre la importancia de la validación de entradas en TDD y cómo se relaciona con la robustez del software.&lt;|eot_id|&gt;</t>
  </si>
  <si>
    <t>Respuesta: TDD tiene estas fases:
-Rojo: hacer un test que falle.
-Verde: hacer que el test salga verde (que no de errores) con la minima implementacion de codigo.
-Refactor: mejorar los test manteniendo el verde en los test.
Tiene bastante importancia en el desarrollo de software ya que de esta forma nos vamos enterando al instante de los errores en los test.</t>
  </si>
  <si>
    <t>**Evaluación de la respuesta**
La respuesta proporcionada describe el ciclo TDD (Test-Driven Development) de manera básica, pero falta claridad y profundidad en la explicación. A continuación, se presentan los conceptos correctamente mencionados, los errores detectados y los conceptos importantes que faltan:
**Conceptos correctamente mencionados:**
* El ciclo TDD se compone de tres etapas: Rojo, Verde y Refactor.
* La etapa Rojo implica escribir un test que falle.
* La etapa Verde implica hacer que el test salga verde (sin errores) con la implementación mínima de código.
* La etapa Refactor implica mejorar los tests manteniendo el verde en los tests.
**Errores detectados:**
* La respuesta no explica con claridad el propósito de cada etapa del ciclo TDD.
* No se menciona la importancia de que el test fallido en la etapa Rojo sea debido a la falta de implementación de la funcionalidad.
* No se explica cómo la etapa Refactor se relaciona con la mejora del código y la mantenibilidad.
* La respuesta no menciona la importancia de que el ciclo TDD se repita iterativamente para garantizar la calidad del software.
**Conceptos importantes que faltan:**
* La importancia de que el test fallido en la etapa Rojo sea debido a la falta de implementación de la funcionalidad.
* La relación entre la etapa Refactor y la mejora del código y la mantenibilidad.
* La importancia de repetir el ciclo TDD iterativamente para garantizar la calidad del software.
* La conexión entre el ciclo TDD y el desarrollo proactivo de software.
**Calificación: 6/10**
La respuesta proporcionada es básica y no muestra una comprensión profunda del ciclo TDD y su importancia en el desarrollo de software. Sin embargo, reconoce las tres etapas del ciclo y su secuencia. Para mejorar, se recomienda agregar más detalles y claridad en la explicación, así como mencionar los conceptos importantes que faltan.&lt;|eot_id|&gt;</t>
  </si>
  <si>
    <t>Respuesta: Diferencias:
-TDD empieza haciendo los test y después el código y el tradicional empieza por el código y después hace los test.
-TDD tiene un código preventivo y el tradicional proactivo.
-TDD utiliza menos código.</t>
  </si>
  <si>
    <t>**Evaluación de la respuesta**
La respuesta proporcionada intenta comparar TDD (Testing Driven Development) con un enfoque tradicional de testing en el desarrollo de software. A continuación, se presentan los conceptos correctamente mencionados, errores detectados y conceptos importantes que faltan en la respuesta:
**Conceptos correctamente mencionados:**
* La respuesta menciona la secuencia de TDD, que comienza con la escritura de tests y luego el desarrollo del código.
* Se destaca la diferencia en el enfoque entre TDD y el enfoque tradicional, enfatizando la importancia de la prevención en TDD.
**Errores detectados:**
* La respuesta utiliza términos incorrectos, como "código preventivo" y "proactivo", que no son los términos correctos para describir la diferencia entre TDD y el enfoque tradicional. En realidad, TDD es un enfoque proactivo, ya que se enfoca en escribir tests antes del código para asegurar la calidad del software. El enfoque tradicional, por otro lado, es reactivivo, ya que se enfoca en escribir código y luego realizar pruebas.
* La respuesta afirma que TDD utiliza menos código, lo que no es necesariamente cierto. TDD puede requerir más código de testeo, pero también puede llevar a una reducción del código en la implementación final, ya que se enfoca en escribir el código más simple y eficiente posible que satisfaga las especificaciones de los tests.
**Conceptos importantes que faltan:**
* La respuesta no menciona la importancia de la iteración y la refactoring en TDD, que son fundamentales para mantener la calidad del código y asegurar que se mantenga coherente con los tests.
* No se menciona la importancia de la cobertura de tests y la complejidad de los tests en TDD, que son aspectos críticos para asegurar la calidad del software.
**Nota: 4/10**
La respuesta proporcionada tiene algunos conceptos básicos correctos, pero también contiene errores y omisiones importantes. Se requiere una mayor claridad y precisión en la descripción de TDD y su comparación con el enfoque tradicional.&lt;|eot_id|&gt;</t>
  </si>
  <si>
    <t>Respuesta: -Empezar haciendo un test que salga rojo(error).
-Modificar el test rojo con la menor implementación de codigo para que salga verde(funciona).
-Refactor: mejorar la calidad del test verde.
Esto tiene bastante impacto en la calidad del software ya que todo el código está de manera eficiente y nos permite darnos cuenta de los errores al momento.</t>
  </si>
  <si>
    <t>**Evaluación de la respuesta**
La respuesta proporcionada describe algunas de las buenas prácticas en TDD (Desarrollo Dirigido por Pruebas), pero no cubre completamente el tema. A continuación, se presentan los conceptos correctamente mencionados, los errores detectados y los conceptos importantes que faltan:
**Conceptos correctamente mencionados:**
* La respuesta menciona las tres etapas del ciclo TDD: "test rojo", "test verde" y "refactor".
* Describe la secuencia de las etapas: empezar con un test que salga rojo, modificar el test para que salga verde y luego refactorizar el código.
**Errores detectados:**
* La respuesta no menciona la importancia de escribir solo los tests necesarios para que fallen, lo que es una buena práctica clave en TDD.
* No se menciona la necesidad de evitar la duplicación de código, lo que es otra buena práctica importante en TDD.
* La respuesta no explica cómo el ciclo TDD impacta en la calidad del software de manera detallada, solo menciona que "todo el código está de manera eficiente".
**Conceptos importantes que faltan:**
* La respuesta no menciona la importancia de la claridad y concisión en los tests, lo que es fundamental para garantizar que los tests sean efectivos.
* No se menciona la necesidad de mantener los tests actualizados y refactoreados a medida que el código cambia, lo que es crucial para mantener la calidad del software.
**Calificación: 6/10**
La respuesta proporcionada es una buena base, pero necesita mejorar en la exhaustividad y la precisión en la descripción de las buenas prácticas en TDD y su impacto en la calidad del software.&lt;|eot_id|&gt;</t>
  </si>
  <si>
    <t>Respuesta: La validación de entradas sirve para comprobar duplicaciones o errores, manteniendo la robustez del software.
Por ejemplo si hay un error de entrada o una duplicación eso dará error, perjudicando la robustez del software.</t>
  </si>
  <si>
    <t>**Evaluación de la respuesta**
La respuesta proporcionada intenta explicar la importancia de validar entradas en el contexto de TDD y su relación con la robustez del software. A continuación, se presentan los conceptos correctamente mencionados, errores detectados y conceptos importantes que faltan:
**Conceptos correctamente mencionados:**
* La validación de entradas es importante en TDD.
* La validación ayuda a comprobar duplicaciones o errores.
* La robustez del software es un aspecto importante a considerar.
**Errores detectados:**
* La respuesta es muy breve y no proporciona una explicación detallada de por qué la validación de entradas es importante en TDD.
* No se menciona cómo la validación de entradas ayuda a prevenir errores y comportamientos inesperados en el software.
* No se proporciona un ejemplo concreto de cómo la validación de entradas puede afectar la robustez del software.
**Conceptos importantes que faltan:**
* No se menciona que la validación de entradas ayuda a prevenir errores y comportamientos inesperados en el software.
* No se explica cómo la validación de entradas se relaciona con la seguridad del software.
* No se proporciona una conexión clara entre la validación de entradas y la mejora de la calidad del software.
**Calificación: 4/10**
La respuesta proporcionada es breve y no ofrece una explicación detallada de la importancia de la validación de entradas en TDD. Aunque menciona algunos conceptos correctos, no proporciona suficiente información para entender claramente cómo la validación de entradas afecta la robustez del software.
**Sugerencias de mejora:**
* Proporcionar una explicación detallada de por qué la validación de entradas es importante en TDD.
* Incluir ejemplos concretos de cómo la validación de entradas puede afectar la robustez del software.
* Mencionar cómo la validación de entradas ayuda a prevenir errores y comportamientos inesperados en el software.
* Enfatizar la importancia de la validación de entradas para mejorar la seguridad y la calidad del software.&lt;|eot_id|&gt;</t>
  </si>
  <si>
    <t>Respuesta: El ciclo TDD es una manejar de probar el código a base de tests, primero se ejecutan los tests y luego el código, para ello se hace uso de 3 fases:
-Test rojo: Se ejecutan los test para que falle
-Test verde: Se añade el código mínimo para que los test pasen
-Refactor: Mejoras el código del test, este debe seguir pasando.
Es importante para el desarrollo ya que al corregir primero los test cuando  han fallado con lo mínimo, cuando haces el refactor mejoras esto y minimizas riesgos de error.</t>
  </si>
  <si>
    <t>**Evaluación de la respuesta**
La respuesta proporcionada describe el ciclo TDD (Desarrollo Dirigido por Pruebas) de manera básica, pero con algunos errores y omisiones. A continuación, se presentan los conceptos correctamente mencionados, los errores detectados y los conceptos importantes que faltan:
**Conceptos correctamente mencionados:**
* El ciclo TDD se describe como una forma de probar el código a través de tests.
* Se mencionan las tres fases del ciclo TDD: Test rojo, Test verde y Refactor.
* Se destaca la importancia de minimizar el código en la fase de Test verde.
**Errores detectados:**
* La secuencia de las fases del ciclo TDD está invertida. En realidad, primero se escribe el test, luego se ejecuta y se obtiene el resultado "rojo", luego se desarrolla el código mínimo para que el test pase y finalmente se refactorea el código.
* La descripción de la fase de Refactor es incompleta y no menciona la importancia de mantener todos los tests en verde.
**Conceptos importantes que faltan:**
* No se menciona la importancia de escribir tests que fallan (Test rojo) antes de desarrollar el código.
* No se destaca la importancia de que el test verde sea el mínimo código necesario para que el test pase.
* No se menciona la importancia de mantener la simplicidad y claridad del código a través del refactoring.
**Nota: 6/10**
La respuesta proporcionada tiene una base correcta, pero requiere más detalle y precisión en la descripción del ciclo TDD y sus fases. La falta de claridad en la secuencia de las fases y la importancia de mantener los tests en verde reducen la puntuación.&lt;|eot_id|&gt;</t>
  </si>
  <si>
    <t>Respuesta: * TDD primero reliza los test y luego el código, mientras que el tradicional, lo realiza al reves, primero el código y luego los tests.
* TDD contiene menor código</t>
  </si>
  <si>
    <t>**Evaluación de la respuesta**
La respuesta proporcionada no aborda de manera completa y precisa la comparación entre TDD (Desarrollo Dirigido por Pruebas) y el enfoque tradicional de testing en el desarrollo de software. A continuación, se presentan los conceptos correctos, errores detectados y conceptos importantes que faltan en la respuesta:
**Conceptos correctos:**
* La respuesta menciona la secuencia de TDD, que consiste en escribir tests antes del código, lo cual es correcto.
* También se menciona que el enfoque tradicional de testing suele realizar las pruebas después del código, lo cual es correcto.
**Errores detectados:**
* La respuesta no menciona la importancia de que los tests en TDD sean obligatorios y ayuden a prevenir errores desde el inicio, lo cual es un aspecto clave de la metodología.
* No se menciona la diferencia en la calidad del código generado por cada enfoque. En TDD, el código es más robusto y mantenible debido a la presencia de tests que lo validan y lo mejoran continuamente.
* La respuesta no es clara y concisa, y se centra en dos puntos sin profundizar en ellos.
**Conceptos importantes que faltan:**
* La respuesta no menciona la importancia de la refactoring en TDD, que es la mejora continua del código para mantener su calidad y eficiencia.
* No se menciona la relación entre TDD y la reducción de errores en tiempo de ejecución, lo cual es un beneficio clave de esta metodología.
* No se proporciona un ejemplo o caso de estudio para ilustrar la diferencia entre TDD y el enfoque tradicional de testing.
**Nota:** 4/10
**Sugerencias para mejorar la respuesta:**
* Añadir más detalles sobre la importancia de los tests obligatorios en TDD y su impacto en la calidad del código.
* Incluir la diferencia en la calidad del código generado por cada enfoque.
* Mencionar la refactoring como parte importante de TDD.
* Proporcionar un ejemplo o caso de estudio para ilustrar la diferencia entre TDD y el enfoque tradicional de testing.&lt;|eot_id|&gt;</t>
  </si>
  <si>
    <t>Respuesta: * En la fase de test verde, escribir la menor cantidad de código posible
* En la fase de test rojo no pasar los tests
* En la fase de refactor, mejorar el código del verde para mejorar su rendimiento
Estas buenas prácticas, son las que suponen el correcto funcionamiento de este método, y si se realizan correctamente esto supone un código más eficiente y claro ya que al ir mejorando poco a poco vas a saber posibles errores.
Un ejemplo que demuestra esto es, al pasar de la fase verde a refactor, si un test te da error al mejorarlo, sabes que el problema es en el test, no en el código</t>
  </si>
  <si>
    <t>**Evaluación de la respuesta**
La respuesta proporcionada describe algunas buenas prácticas en TDD, pero no cubre completamente las prácticas recomendadas. A continuación, se presentan los conceptos correctamente mencionados, los errores detectados y los conceptos importantes que faltan:
**Conceptos correctamente mencionados:**
* La importancia de escribir la menor cantidad de código posible en la fase de test verde.
* La importancia de no pasar los tests en la fase de test rojo.
* La importancia de mejorar el código en la fase de refactor.
**Errores detectados:**
* La respuesta no menciona la importancia de escribir tests antes de escribir el código, lo que es una de las prácticas fundamentales en TDD.
* No se menciona la importancia de evitar la duplicación de código.
* No se menciona la importancia de refactorizar regularmente para mantener el código limpio y eficiente.
**Conceptos importantes que faltan:**
* La importancia de escribir tests que cubran todos los escenarios posibles.
* La importancia de utilizar una herramienta de testing adecuada para automatizar los tests.
* La importancia de integrar TDD en el proceso de desarrollo de software para mejorar la calidad del código.
**Calificación:** 6/10
La respuesta proporcionada muestra una comprensión básica de las buenas prácticas en TDD, pero no cubre completamente las prácticas recomendadas. La respuesta necesita mejorar en la descripción de la importancia de escribir tests antes de escribir el código y en la mención de la importancia de evitar la duplicación de código y refactorizar regularmente.
**Recomendaciones para mejorar la respuesta:**
* Incluir la importancia de escribir tests antes de escribir el código.
* Mencionar la importancia de evitar la duplicación de código.
* Mencionar la importancia de refactorizar regularmente.
* Agregar ejemplos concretos de cómo implementar estas prácticas en un proyecto de desarrollo de software.&lt;|eot_id|&gt;</t>
  </si>
  <si>
    <t>Respuesta: 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</si>
  <si>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**Evaluación de la respuesta**
La respuesta proporcionada muestra una comprensión básica de la importancia de validar entradas en el contexto de TDD (Desarrollo Dirigido por Pruebas), pero hay algunos conceptos que no están claramente definidos o son incorrectos. A continuación, se presentan los conceptos correctamente mencionados, los errores detectados y los conceptos importantes que faltan:
**Conceptos correctamente mencionados:**
* La importancia de validar entradas en TDD.
* La relación entre la validación de entradas y la robustez del software.
**Errores detectados:**
* La respuesta sugiere que los tests TDD no pueden estar duplicados o tener errores, lo que no es cierto. En TDD, es común escribir tests duplicados o que no sean exhaustivos, ya que se enfoca en cubrir los casos de uso más críticos.
* La respuesta también sugiere que si un test falla, es porque el propio test es erróneo, lo que no es necesariamente cierto. Un test puede fallar debido a un error en el código que se está probando, no solo debido a un error en el test.
* La respuesta no menciona que la validación de entradas también ayuda a prevenir errores y comportamientos inesperados en el software, lo que es un beneficio adicional de la validación de entradas en TDD.
**Conceptos importantes que faltan:**
* La explicación de cómo la validación de entradas se relaciona con la seguridad del software.
* La importancia de validar entradas en relación con la complejidad del código y su mantenibilidad.
* La forma en que la validación de entradas se integra con otras prácticas de TDD, como el refactoring y la escritura de tests exhaustivos.
**Calificación: 6/10**
La respuesta proporcionada muestra una comprensión básica de la importancia de validar entradas en TDD, pero hay errores y conceptos importantes que faltan. Para mejorar, se recomienda enfocarse en clarificar los conceptos erróneos y agregar información adicional sobre la importancia de la validación de entradas en relación con la robustez, seguridad y complejidad del software.&lt;|eot_id|&gt;</t>
  </si>
  <si>
    <t>Respuesta: 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
Su importancia se basa en que reducir el codigo de produccion, solo se escribe lo necesario.</t>
  </si>
  <si>
    <t>**Nota: 8/10**
La respuesta proporcionada muestra una buena comprensión del concepto de Test-Driven Development (TDD) y su ciclo de trabajo. A continuación, se presentan los conceptos correctamente mencionados, los errores detectados y los conceptos importantes que faltan:
**Conceptos correctamente mencionados:**
* La definición de TDD como una metodología de desarrollo basada en pruebas.
* El ciclo de trabajo TDD (red-&gt;green-&gt;refactor).
* La importancia de desarrollar pruebas antes que el código de producción.
* La reducción del código de producción como beneficio del TDD.
**Errores detectados:**
* La respuesta no menciona explícitamente las tres etapas del ciclo TDD: "rojo" (test que falla), "verde" (tests que pasan) y "refactor" (mejora del código).
* La descripción de la etapa "rojo" es incompleta, ya que no se menciona que el test falla porque la funcionalidad aún no ha sido implementada.
* La respuesta no menciona la importancia de la iteración y la repetición del ciclo TDD para asegurar la calidad del código.
**Conceptos importantes que faltan:**
* La importancia de la iteración y la repetición del ciclo TDD para asegurar la calidad del código.
* La relación entre TDD y la robustez del software.
* La importancia de la claridad y la concisión en la escritura de tests.
**Sugerencias de mejora:**
* Añadir una descripción más detallada de cada etapa del ciclo TDD.
* Mencionar la importancia de la iteración y la repetición del ciclo TDD.
* Agregar ejemplos concretos para ilustrar la aplicación del TDD en un proyecto de software.
En general, la respuesta proporcionada muestra una buena comprensión del concepto de TDD, pero requiere más detalle y claridad en la descripción del ciclo de trabajo y la importancia de la iteración y la repetición del ciclo.&lt;|eot_id|&gt;</t>
  </si>
  <si>
    <t>Respuesta: Tradicional: Las Clases test son creadas despues de produccion, test reactivos, tests basados en el código de producción.
TDD: Las clases test son creadas antes que código de procuccion, tests proactivos, código de producción guiado por tests.</t>
  </si>
  <si>
    <t>**Evaluación de la respuesta**
La respuesta proporcionada describe de manera general la diferencia entre el enfoque tradicional de testing y TDD (Desarrollo Guiado por Pruebas), pero no es tan completa como la respuesta ideal. A continuación, se presentan los conceptos correctamente mencionados, los errores detectados y los conceptos importantes que faltan:
**Conceptos correctamente mencionados:**
* La diferencia en la secuencia de creación de las clases de test entre el enfoque tradicional y TDD.
* La diferencia en la naturaleza de los tests (reactivos vs. proactivos).
* La idea de que el código de producción en TDD está guiado por tests.
**Errores detectados:**
* La respuesta no menciona explícitamente la importancia de escribir tests antes del código de producción en TDD, que es un aspecto clave de esta práctica.
* La respuesta utiliza términos como "procuccion" en lugar de "producción", lo que puede generar confusión.
* La respuesta no menciona la importancia de refactorizar el código en TDD, que es una parte fundamental de esta práctica.
**Conceptos importantes que faltan:**
* La importancia de la iteración y la repetición en TDD, donde se escribe un test, se implementa el código y luego se refactoring.
* La idea de que los tests en TDD deben ser independientes y no depender del código de producción.
* La importancia de la automatización de los tests en TDD.
**Nota:** 6/10
**Justificación:** La respuesta proporcionada es básica y no aborda completamente la diferencia entre TDD y el enfoque tradicional de testing. Aunque menciona algunos conceptos importantes, falta claridad y profundidad en la explicación.&lt;|eot_id|&gt;</t>
  </si>
  <si>
    <t>Respuesta: FIRST
Fast: Tests rápidos.
Independency: Los tests deben ser independientes.
Repeteable: Los tests deben funcionar en cualquier entorno.
Self-verified: Los tests muestran claramente si pasan o no.
Timely: Tests escritos en el momento preciso.
La calidad del software se ve afectada debido a que esto es lo necesario para que las pruebas sean eficientes(Fast), que los tests no impacten unos con otros (independency), poder trasladar las pruebas a otros entornos(Repeteable), evitar confusiones (Self-verified)</t>
  </si>
  <si>
    <t>**Evaluación de la respuesta**
La respuesta proporcionada describe las buenas prácticas en TDD (Desarrollo Guiado por Pruebas) y su impacto en la calidad del software. A continuación, se evaluará la respuesta según los criterios de precisión conceptual, completitud, uso correcto de la terminología y claridad de la explicación.
**Conceptos correctamente mencionados:**
*   Las buenas prácticas en TDD se refieren a principios que guían el desarrollo de pruebas para asegurar la calidad del software.
*   Las prácticas mencionadas son FAST, que se refiere a las características que deben tener las pruebas para ser efectivas.
**Errores detectados:**
*   La respuesta no menciona explícitamente las fases del ciclo TDD, que son: Rojo (escribir un test que falla), Verde (desarrollar el mínimo código necesario para que el test pase) y Refactor (mejorar el código manteniendo todos los tests en verde).
*   La respuesta no explica cómo estas prácticas influyen en la calidad del software de manera más profunda, como la mejora de la robustez, la reducción de errores y la mejora de la mantenibilidad.
**Conceptos importantes que faltan:**
*   La respuesta no menciona la importancia de la refactoring en TDD, que es fundamental para mantener el código limpio y fácil de entender.
*   No se explica cómo las prácticas FAST influyen en la reducción de la complejidad del código y la mejora de la comprensión del mismo.
**Calificación: 6/10**
La respuesta proporcionada es una buena descripción de las buenas prácticas en TDD, pero faltan algunos conceptos importantes y no profundiza lo suficiente en la explicación de cómo estas prácticas influyen en la calidad del software.&lt;|eot_id|&gt;</t>
  </si>
  <si>
    <t>Respuesta: 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</si>
  <si>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**Evaluación de la respuesta**
La respuesta proporcionada aborda la importancia de validar entradas en el contexto de TDD, pero no explora completamente el tema. A continuación, se presentan los conceptos correctamente mencionados, los errores detectados y los conceptos importantes que faltan:
**Conceptos correctamente mencionados:**
* La importancia de validar entradas en TDD.
* La necesidad de rechazar ciertos tipos de datos (como valores negativos o cadenas) que no sean admitidos por el sistema.
* La relación entre la validación de entradas y la robustez del software.
**Errores detectados:**
* La respuesta no menciona explícitamente cómo la validación de entradas ayuda a prevenir errores y comportamientos inesperados en el software.
* No se explica cómo la validación de entradas mejora la calidad y mantenibilidad del código.
* La respuesta se centra principalmente en la idea de rechazar ciertos tipos de datos, pero no aborda la importancia de validar los datos correctos.
**Conceptos importantes que faltan:**
* La importancia de validar los datos correctos, no solo rechazar los incorrectos.
* La relación entre la validación de entradas y la seguridad del software.
* Ejemplos concretos de cómo la validación de entradas puede prevenir errores y mejorar la robustez del software.
**Calificación:** 6/10
La respuesta proporcionada es una buena base para entender la importancia de validar entradas en TDD, pero necesita ser desarrollada y ampliada para abordar los conceptos importantes que faltan. Con algunos ajustes y adiciones, la respuesta podría mejorar significativamente su claridad y completitud.&lt;|eot_id|&gt;</t>
  </si>
  <si>
    <t>Respuesta: El ciclo TDD consiste en la elaboración de los tests antes del código en sí. Para ello, se pasa por 3 fases distintas:
1. Rojo: Elaboración inicial del test. En este paso salen errores, ya que el método aún no ha sido creado.
2. Verde: Se escribe el código que comprobarán los tests, de manera que estos ya funcionan.
3. Refactor: En esta fase se mejoran detalles de los tests, haciendo así que estos estén más completos, como dar nombres más precisos a las variables.
Gracias al método TDD, se obtienen códigos más completos y con un funcionamiento garantizado, ya que se deben contemplar la mayor cantidad de posibilidades a la hora de realizar los tests, asegurándose el programador de que no queden casos sin cubrir.</t>
  </si>
  <si>
    <t>**Evaluación de la respuesta**
La respuesta proporcionada describe con precisión las tres fases del ciclo TDD (Test-Driven Development): Rojo, Verde y Refactor. Sin embargo, hay algunos detalles que se pueden mejorar para una evaluación más completa.
**Conceptos correctamente mencionados:**
* La existencia de tres fases en el ciclo TDD: Rojo, Verde y Refactor.
* La importancia de escribir tests antes del código.
* La necesidad de refactorear el código para mejorar su calidad.
**Errores detectados:**
* La descripción de la fase "Rojo" es un poco vaga y no menciona explícitamente que el test falla porque la funcionalidad aún no ha sido implementada.
* La fase "Verde" se describe de manera muy superficial, no se menciona que se debe escribir el código mínimo necesario para que el test pase.
* La fase "Refactor" se describe como una mejora de los tests, pero no se menciona que se debe mejorar el código en sí mismo.
**Conceptos importantes que faltan:**
* La importancia de que el test sea específico y cubra todos los escenarios posibles.
* La necesidad de que el código sea lo más simple posible para que el test pase.
* La importancia de que el refactoring se realice de manera que no se afecte la funcionalidad del código.
**Nota: 7/10**
La respuesta proporcionada es buena, pero podría ser mejorada con más detalles y precisión en la descripción de cada fase del ciclo TDD. Además, falta mencionar algunos conceptos importantes que son fundamentales para entender el ciclo TDD.&lt;|eot_id|&gt;</t>
  </si>
  <si>
    <t>Respuesta: 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</si>
  <si>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**Evaluación de la respuesta**
La respuesta proporcionada muestra una comprensión básica de la diferencia entre TDD (Desarrollo Dirigido por Pruebas) y el enfoque tradicional de testing en el desarrollo de software. Sin embargo, hay algunos conceptos incorrectos y omisiones importantes en la respuesta.
**Conceptos correctos mencionados:**
* La diferencia en el momento de elaboración de los tests: La respuesta menciona correctamente que en el enfoque tradicional se escribe el código primero y luego se realizan pruebas, mientras que en TDD se escriben los tests antes del código.
* La presencia de tests de integración en TDD: La respuesta menciona correctamente que en TDD se realizan tests de integración, lo que es una característica importante de este enfoque.
**Conceptos incorrectos o incompletos:**
* La afirmación de que en el TDD se realizan tests de integración y en el enfoque tradicional se realizan tests unitarios es parcialmente correcta. En realidad, tanto en TDD como en el enfoque tradicional se pueden realizar tests unitarios y tests de integración, aunque el enfoque tradicional puede enfocarse más en tests unitarios.
* La afirmación de que en TDD hay 3 fases y en el enfoque tradicional hay 1 fase es incorrecta. En TDD, el ciclo de desarrollo se compone de tres etapas: rojo (escribir un test que falla), verde (desarrollar el mínimo código necesario para que el test pase) y refactor (mejorar el código manteniendo todos los tests en verde). En el enfoque tradicional, no hay una sola fase definida, pero se enfoca en la verificación de la funcionalidad del software después de su implementación.
**Conceptos importantes que faltan:**
* La importancia de los tests en TDD: La respuesta no menciona la importancia de los tests en TDD en cuanto a la prevención de errores y la mejora de la calidad del software.
* La secuencia de TDD: La respuesta no menciona la secuencia correcta de TDD, que implica escribir un test que falla, desarrollar el mínimo código necesario para que el test pase y luego refactorizar el código.
* La relación entre TDD y la robustez del software: La respuesta no menciona cómo TDD contribuye a la creación de software más robusto y de alta calidad.
**Calificación: 6/10**
La respuesta muestra una comprensión básica de la diferencia entre TDD y el enfoque tradicional de testing, pero hay conceptos incorrectos y omisiones importantes. La respuesta podría mejorar con más detalles y precisiones sobre la secuencia de TDD, la importancia de los tests y la relación entre TDD y la robustez del software.&lt;|eot_id|&gt;</t>
  </si>
  <si>
    <t>Respuesta: El TDD tiene un gran impacto en la calidad el software, puesto que cuanto más se cubra con los test, menos posibilidad de error habrá. En cuanto a sus buenas prácticas,</t>
  </si>
  <si>
    <t>**Evaluación de la respuesta**
La respuesta proporcionada no aborda completamente la pregunta y no proporciona una descripción detallada de las buenas prácticas en TDD. A continuación, se presentan los conceptos correctamente mencionados, los errores detectados y los conceptos importantes que faltan:
**Conceptos correctamente mencionados:**
* El impacto positivo del TDD en la calidad del software.
* La importancia de cubrir con tests para reducir la posibilidad de errores.
**Errores detectados:**
* La respuesta no proporciona una descripción clara y detallada de las buenas prácticas en TDD.
* No se mencionan las prácticas específicas que se deben seguir en TDD, como escribir solo los tests necesarios, evitar la duplicación de código y refactorizar regularmente.
**Conceptos importantes que faltan:**
* La importancia de escribir tests antes del código.
* La necesidad de refactorizar regularmente para mantener el código limpio y eficiente.
* La importancia de evitar la duplicación de código y mantener la cohesión en el código.
**Nota:** 4/10
**Justificación:**
La respuesta proporcionada no aborda completamente la pregunta y no proporciona una descripción detallada de las buenas prácticas en TDD. Aunque menciona el impacto positivo del TDD en la calidad del software y la importancia de cubrir con tests, no se proporcionan prácticas específicas que se deben seguir en TDD. Para mejorar, la respuesta debe proporcionar una descripción clara y detallada de las buenas prácticas en TDD y mencionar las prácticas específicas que se deben seguir.&lt;|eot_id|&gt;</t>
  </si>
  <si>
    <t>Respuesta: 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</si>
  <si>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**Evaluación de la respuesta**
La respuesta proporcionada es clara y concisa, y aborda la importancia de la validación de entradas en el contexto de TDD. A continuación, se presentan los conceptos correctamente mencionados, los errores detectados y los conceptos importantes que faltan:
**Conceptos correctamente mencionados:**
* La importancia de la validación de entradas en TDD
* El ejemplo de validación de entradas en una operación de multiplicación
* La relación con la robustez del software
**Errores detectados:**
* La respuesta no menciona explícitamente la importancia de escribir tests de validación de entradas antes de implementar la lógica del negocio, como se menciona en la respuesta ideal.
* No se explora la idea de que la validación de entradas no solo ayuda a prevenir errores, sino que también facilita la comprensión y el mantenimiento del código.
**Conceptos importantes que faltan:**
* La idea de que la validación de entradas es una parte crítica del desarrollo de software y no solo una consideración secundaria.
* La importancia de que la validación de entradas sea exhaustiva y cubra todos los posibles escenarios de entrada.
**Calificación: 7/10**
La respuesta proporcionada es buena, pero podría mejorar en términos de profundidad y detalle. La respuesta ideal proporciona una visión más completa y matizada de la importancia de la validación de entradas en TDD y su relación con la robustez del software.&lt;|eot_id|&gt;</t>
  </si>
  <si>
    <t>Respuesta: El Test Driven Development es un ciclo de desarrollo de software donde se realizan las pruebas antes que el código, es decir, se utiliza un enfoque proactivo y preventivo, en vez del reactivo de los test normales. Estos test tienen tres tipos de resultados: 
* Rojo: El test da error ya que no está la parte del código sobre la que se realiza el test desarrollada
* Verde: Se ha realizado el mínimo de código para que pase el test
* Refactorización: Se mejora el código.</t>
  </si>
  <si>
    <t>**Evaluación de la respuesta**
La respuesta proporcionada describe correctamente el ciclo TDD (Test Driven Development) y sus etapas. Sin embargo, hay algunos aspectos que pueden ser mejorados para obtener una respuesta más completa y precisa.
**Conceptos correctamente mencionados:**
* El ciclo TDD se basa en realizar pruebas antes que el código.
* El enfoque es proactivo y preventivo.
* Los test pueden tener tres resultados: Rojo, Verde y Refactorización.
**Errores detectados:**
* La respuesta no menciona explícitamente las tres etapas del ciclo TDD: escribir un test que falla, desarrollar el mínimo código necesario para que el test pase y refactoring.
* La explicación de la etapa de refactoring es breve y no proporciona detalles sobre qué se entiende por refactoring.
**Conceptos importantes que faltan:**
* La importancia del ciclo TDD en el desarrollo de software.
* La relación entre el ciclo TDD y la calidad del software.
* Ejemplos concretos de cómo se aplica el ciclo TDD en la práctica.
**Calificación:** 6/10
**Recomendaciones para mejorar la respuesta:**
* Añadir más detalles sobre las tres etapas del ciclo TDD.
* Explicar la importancia del ciclo TDD en el desarrollo de software y su relación con la calidad del software.
* Proporcionar ejemplos concretos de cómo se aplica el ciclo TDD en la práctica.
* Utilizar un lenguaje más claro y conciso para explicar los conceptos.&lt;|eot_id|&gt;</t>
  </si>
  <si>
    <t>Respuesta: El TDD es proactivo y preventivo, es decir, el código se basa en el test, al contrario que el enfoque tradicional donde tenemos reactivdad y el test basándose en el código.</t>
  </si>
  <si>
    <t>**Evaluación de la respuesta**
La respuesta proporcionada es parcialmente correcta, ya que reconoce la diferencia entre el enfoque proactivo de TDD y el enfoque reactivo del testing tradicional. Sin embargo, la respuesta no es completa ni precisa en algunos aspectos.
**Conceptos correctamente mencionados:**
* La diferencia entre el enfoque proactivo de TDD y el enfoque reactivo del testing tradicional.
* La idea de que en TDD el código se basa en el test, mientras que en el enfoque tradicional el test se basa en el código.
**Errores detectados:**
* La respuesta no menciona explícitamente la secuencia de eventos en TDD (escribir tests, implementar código, refactorear), lo que puede llevar a una comprensión incompleta del proceso.
* La respuesta no destaca la importancia de los tests obligatorios en TDD, que es una característica clave que diferencia a TDD del enfoque tradicional.
* La respuesta utiliza un lenguaje vago y no precisa, lo que puede llevar a confusiones.
**Conceptos importantes que faltan:**
* La explicación sobre cómo la secuencia de eventos en TDD (escribir tests, implementar código, refactorear) afecta la calidad del software.
* La importancia de los tests obligatorios en TDD y cómo esto contrasta con el enfoque tradicional.
* Ejemplos concretos para ilustrar la diferencia entre TDD y el enfoque tradicional.
**Calificación: 6/10**
La respuesta proporcionada es una buena base para empezar, pero requiere más precisión y detalle para ser considerada completa y correcta.&lt;|eot_id|&gt;</t>
  </si>
  <si>
    <t>Respuesta: Estructura dividida en tres pasos: preparacción, desarrollo y comparación.
Nomenclatura:  ()_parte afectado_resultado esperado</t>
  </si>
  <si>
    <t>Respuesta evaluada: 6/10
Conceptos correctamente mencionados:
* La respuesta menciona la estructura dividida en tres pasos, que es una característica importante del TDD (preparación, desarrollo y comparación).
* La respuesta también menciona la nomenclatura utilizada en TDD, aunque de manera incompleta.
Errores detectados:
* La respuesta no menciona explícitamente los nombres de los pasos: "preparación", "desarrollo" y "comparación" son incorrectos. Los pasos correctos son: "Escribir un test que falla", "Escribir el código para que el test pase" y "Refactorizar el código".
* La nomenclatura mencionada es incompleta. La nomenclatura correcta en TDD es "(input)_test_resultado esperado", no "()_parte afectado_resultado esperado".
Conceptos importantes que faltan:
* La respuesta no menciona la importancia de escribir solo los tests necesarios, evitar la duplicación de código y refactorizar regularmente, que son buenas prácticas clave en TDD.
* No se menciona el impacto de estas buenas prácticas en la calidad del software, como la mejora de la robustez, la reducción de la complejidad y la mejora de la mantenibilidad.
Calificación: 6/10
Justificación: La respuesta muestra una comprensión básica del concepto de TDD y su estructura, pero falta claridad y precisión en la descripción de los pasos y la nomenclatura. Además, no se abordan los conceptos importantes de buenas prácticas y su impacto en la calidad del software.&lt;|eot_id|&gt;</t>
  </si>
  <si>
    <t>Respuesta: 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
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</si>
  <si>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**Evaluación de la respuesta**
La respuesta proporcionada describe con cierta precisión el ciclo TDD (Desarrollo Guiado por Pruebas), pero también contiene algunos errores y omisiones importantes. A continuación, se presentan los conceptos correctamente mencionados, los errores detectados y los conceptos importantes que faltan:
**Conceptos correctamente mencionados:**
* La definición general del ciclo TDD: se describe como una metodología de desarrollo de software que implica escribir tests antes de implementar el código.
* Las tres etapas del ciclo TDD: red (fase de error), verde (fase de implementación) y refactorización (fase de mejora).
* La importancia de los tests como autodocumentación del código.
* Las limitaciones del desarrollo guiado por pruebas, como la lentitud del proceso y la necesidad de un cambio de mentalidad.
**Errores detectados:**
* La descripción de la fase de error (red) es incorrecta: en lugar de "dar error", se debe decir "fallecer" o "fallar", ya que el objetivo es que el test falle porque la funcionalidad aún no ha sido implementada.
* La descripción de la fase de implementación (verde) es incompleta: se debe mencionar que se desarrolla el mínimo código necesario para que el test pase, no solo que se dejen de dar error.
* La importancia del ciclo TDD se limita a la organización y la independencia entre módulos, sin mencionar otros aspectos importantes como la prevención de errores y la mejora de la calidad del software.
**Conceptos importantes que faltan:**
* La importancia de la fase de refactorización en la mejora del código.
* La relación entre el ciclo TDD y la mejora de la calidad del software.
* La importancia de la escritura de tests que fallen para definir la especificación del código.
**Calificación:** 6/10
La respuesta proporcionada muestra una buena comprensión del ciclo TDD, pero requiere una mayor precisión y completitud en la descripción de las etapas y la importancia del proceso. La respuesta también podría beneficiarse de la inclusión de conceptos adicionales para proporcionar una visión más completa de la metodología.&lt;|eot_id|&gt;</t>
  </si>
  <si>
    <t>Respuesta: En el TDD lo primero que se hacen son los tests de los métodos que se van a desarrollar y más adelante estos son desarrollados para eliminar el error que nos indique el test para finalmente perfeccionar el código.
En el enfoque tradicional lo normal es desarrollar primero el código para una vez terminado hacer los tests.</t>
  </si>
  <si>
    <t>**Evaluación de la respuesta**
La respuesta proporcionada describe la diferencia entre TDD (Desarrollo Dirigido por Pruebas) y un enfoque tradicional de testing en el desarrollo de software. A continuación, se presentan los conceptos correctamente mencionados, los errores detectados y los conceptos importantes que faltan:
**Conceptos correctamente mencionados:**
* La secuencia de TDD, donde primero se escriben los tests y luego se desarrolla el código para eliminar los errores.
* La importancia de eliminar errores en el código a través de la creación de tests.
**Errores detectados:**
* La respuesta no menciona claramente la diferencia en el propósito de los tests en TDD y enfoque tradicional. En TDD, los tests son una guía para el desarrollo, mientras que en el enfoque tradicional, los tests son una verificación posterior.
* La respuesta no menciona la importancia de la iteración y el refactoring en TDD.
* La respuesta no es muy clara en cuanto a la secuencia de TDD, ya que no menciona explícitamente las tres etapas de TDD (rojo, verde y refactor).
**Conceptos importantes que faltan:**
* La importancia de la iteración y el refactoring en TDD.
* La diferencia en la secuencia y propósito de los tests en TDD y enfoque tradicional.
* La importancia de la creación de tests para validar la funcionalidad del código.
**Calificación: 6/10**
La respuesta proporcionada es una buena intento de describir la diferencia entre TDD y un enfoque tradicional de testing, pero requiere más claridad y detalles para ser considerada completa y precisa.&lt;|eot_id|&gt;</t>
  </si>
  <si>
    <t>Respuesta: Las buenas prácticas más importantes son:
* El desarrollo primero de los tests.
* La independencia de los módulos entre sí.
* El determinismo de los tests (siempre se sepa que salida se espera).</t>
  </si>
  <si>
    <t>**Evaluación de la respuesta**
La respuesta proporcionada identifica algunas buenas prácticas en TDD, pero no cubre completamente el tema. A continuación, se presentan los conceptos correctamente mencionados, los errores detectados y los conceptos importantes que faltan:
**Conceptos correctamente mencionados:**
* El desarrollo primero de los tests (TDD) es una buena práctica en la que se escriben los tests antes de implementar el código.
* La independencia de los módulos entre sí es importante para evitar depender de otros módulos que no están completamente desarrollados o que pueden cambiar en el futuro.
* El determinismo de los tests es crucial para asegurarse de que siempre se sabe qué salida se espera de un test, lo que facilita la depuración y el mantenimiento del código.
**Errores detectados:**
* La respuesta no menciona la importancia de escribir solo los tests necesarios para que fallen, lo que ayuda a evitar la sobrecarga de tests innecesarios y a enfocarse en los casos más críticos.
* No se menciona la necesidad de refactorizar regularmente para mantener el código limpio y eficiente.
* No se menciona la importancia de evitar la duplicación de código, que puede llevar a errores y aumentar la complejidad del código.
**Conceptos importantes que faltan:**
* La importancia de mantener un alto cubrimiento de cobertura de código, es decir, asegurarse de que la mayoría de las líneas de código estén cubiertas por tests.
* La necesidad de utilizar un lenguaje de programación y una herramienta de testing adecuados para facilitar la escritura y ejecución de tests.
* La importancia de integrar la retroalimentación de los tests en el proceso de desarrollo, para que los desarrolladores puedan ajustar y mejorar el código en función de los resultados de los tests.
**Calificación: 6/10**
La respuesta proporcionada es una buena base, pero necesita ser ampliada para cubrir todos los aspectos importantes de las buenas prácticas en TDD. La respuesta ideal debería incluir los conceptos mencionados en el punto anterior y proporcionar ejemplos y casos de uso para ilustrar cada práctica.&lt;|eot_id|&gt;</t>
  </si>
  <si>
    <t>Respuesta: 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</si>
  <si>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**Evaluación de la respuesta**
La respuesta proporcionada muestra una comprensión básica de la importancia de validar entradas en el contexto de TDD y su relación con la robustez del software. A continuación, se presentan los conceptos correctamente mencionados, los errores detectados y los conceptos importantes que faltan:
**Conceptos correctamente mencionados:**
1. La importancia de validar entradas en TDD.
2. La necesidad de considerar excepciones y posibles errores en el desarrollo.
3. La importancia de escribir tests para garantizar que el código se comporte correctamente.
**Errores detectados:**
1. La respuesta no proporciona una explicación clara y concisa sobre cómo se relaciona la validación de entradas con la robustez del software.
2. No se menciona explícitamente la importancia de escribir tests antes de desarrollar el código, lo que es un aspecto clave de TDD.
3. La respuesta se centra más en la importancia de considerar excepciones que en la validación de entradas en sí misma.
**Conceptos importantes que faltan:**
1. Una explicación más detallada sobre cómo la validación de entradas ayuda a prevenir errores y comportamientos inesperados en el software.
2. Un ejemplo concreto de cómo la validación de entradas se relaciona con la robustez del software.
3. Una mención a la importancia de refactorizar el código para mantenerlo limpio y fácil de mantener.
**Nota: 6/10**
La respuesta proporcionada muestra una comprensión básica de la importancia de validar entradas en TDD, pero faltan detalles y claridad en la explicación. La respuesta podría ser mejorada con ejemplos concretos y una explicación más detallada sobre cómo la validación de entradas se relaciona con la robustez del software.&lt;|eot_id|&gt;</t>
  </si>
  <si>
    <t>Respuesta: El ciclo TDD (test-driven-developmen) es una metodología de software consiste en una secuencia de tres fases que se utliliza para hacer pruebas unitarias.
La primera fase se llama la fase roja, donde el se escribe la prueba unitaria, pero no la clase que la ejecuta. Ejemplo: Queremos probar si 2+2 = 4 utlilizando la funcion sumar. En el test se escribirá la prueba, pero la función sumar no existirá. 
La segunda fase, es la fase verde, donde se implementa esa función o clase necesaria para que el test salga en verde. Continuando el ejemplo anterior, se implementaría la función sumar con dos argumentos.
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</si>
  <si>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**Evaluación de la respuesta**
La respuesta proporcionada describe de manera general el ciclo TDD (Test-Driven Development), pero hay algunos errores y omisiones que debemos considerar.
**Conceptos correctamente mencionados:**
* El ciclo TDD se compone de tres fases: roja, verde y refactor.
* La primera fase (roja) implica escribir una prueba unitaria que falla porque la funcionalidad aún no ha sido implementada.
* La segunda fase (verde) se enfoca en implementar la funcionalidad necesaria para que la prueba pase.
* La tercera fase (refactor) se centra en mejorar la clase o función existente y agregar más cobertura de tests.
**Errores detectados:**
* La respuesta no menciona explícitamente la importancia del ciclo TDD en el desarrollo de software.
* La descripción de la fase roja es incompleta, ya que no se menciona que la prueba debe fallar porque la funcionalidad aún no existe.
* La respuesta no proporciona ejemplos claros y concisos para ilustrar cada fase del ciclo TDD.
* No se menciona la importancia de la fase de refactor en cuanto a la mejora continua y la eliminación de código innecesario.
**Conceptos importantes que faltan:**
* La importancia de escribir tests antes de implementar la funcionalidad (principio de TDD).
* La relación entre TDD y la calidad del software (robustez, mantenibilidad, etc.).
* La diferencia entre TDD y otros enfoques de testing en el desarrollo de software.
**Calificación: 6/10**
La respuesta proporcionada es básica y no profundiza en la importancia y los beneficios del ciclo TDD en el desarrollo de software. Aunque describe las fases del ciclo TDD, hay errores y omisiones importantes que debemos considerar. Para mejorar, se recomienda proporcionar ejemplos claros y concisos, mencionar la importancia del ciclo TDD y enfatizar la importancia de la fase de refactor.&lt;|eot_id|&gt;</t>
  </si>
  <si>
    <t>Respuesta: TDD:
* Primero se realiza el test y luego la clase o función
* Test obligatorios
* Se basa en tres fases
* Test unitarios
Enfoque tracicional:
* Se realiza primero la clase y luego se ejecuta el test
* Test opcionales
*  Una sola fase
* Test unitarios o de componentes</t>
  </si>
  <si>
    <t>**Evaluación de la respuesta**
La respuesta proporcionada ofrece una visión general de la comparación entre TDD (Testing-Driven Development) y el enfoque tradicional de testing en el desarrollo de software. A continuación, se presentan los conceptos correctamente mencionados, los errores detectados y los conceptos importantes que faltan:
**Conceptos correctamente mencionados:**
* La secuencia de TDD (test primero, luego la clase o función)
* La obligatoriedad de los tests en TDD
* Las tres fases de TDD (no se describe explícitamente, pero se menciona que existen)
* La naturaleza unitaria de los tests en TDD
* La secuencia del enfoque tradicional (clase primero, luego test)
* La naturaleza opcional de los tests en el enfoque tradicional
* La naturaleza unitaria o de componentes de los tests en el enfoque tradicional
**Errores detectados:**
* La descripción de las tres fases de TDD es muy breve y no proporciona una visión clara de cada una de ellas.
* No se menciona la importancia de la refactoring en TDD.
* No se explica por qué TDD es más efectivo que el enfoque tradicional.
* La descripción del enfoque tradicional es muy superficial y no proporciona detalles sobre las ventajas y desventajas de este enfoque.
**Conceptos importantes que faltan:**
* La importancia de la iteración en TDD y cómo se relaciona con la mejora continua del software.
* La importancia de la automatización de los tests en TDD.
* La relación entre TDD y la calidad del software.
* La ventaja de que los tests sean obligatorios en TDD en comparación con la opcionalidad de los tests en el enfoque tradicional.
**Calificación: 6/10**
La respuesta proporcionada ofrece una visión general de la comparación entre TDD y el enfoque tradicional de testing, pero falta profundidad y claridad en algunos aspectos. Se necesitan más detalles y ejemplos para respaldar las afirmaciones y proporcionar una comprensión más completa de cada enfoque.&lt;|eot_id|&gt;</t>
  </si>
  <si>
    <t>Respuesta: 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</si>
  <si>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**Evaluación de la respuesta**
La respuesta proporcionada muestra algunos conceptos básicos de las buenas prácticas en TDD, pero no aborda exhaustivamente el tema. A continuación, se presentan los conceptos correctamente mencionados, errores detectados y conceptos importantes que faltan:
**Conceptos correctamente mencionados:**
* Los tests son obligatorios en TDD.
* La separación en capas es una buena práctica en TDD.
* La intuición es importante en TDD.
**Errores detectados:**
* La respuesta no menciona explícitamente la importancia de escribir solo los tests necesarios para que fallen, lo que es una buena práctica clave en TDD.
* No se menciona la necesidad de evitar la duplicación de código, que es otra buena práctica importante en TDD.
* La respuesta no aborda la importancia del refactoring regular en TDD, que es esencial para mantener el código limpio y mantenible.
* No se menciona el impacto en la calidad del software, que es un aspecto crucial en TDD.
**Conceptos importantes que faltan:**
* La importancia de la separación de preocupaciones (Separation of Concerns) en TDD.
* La necesidad de mantener el código limpio y conciso.
* La importancia de la retroalimentación en TDD, que permite identificar y corregir errores temprano.
**Calificación: 6/10**
La respuesta proporcionada muestra algunos conceptos básicos de las buenas prácticas en TDD, pero no aborda exhaustivamente el tema. La respuesta necesita ser más detallada y precisa para reflejar la complejidad y profundidad de la metodología TDD.&lt;|eot_id|&gt;</t>
  </si>
  <si>
    <t>Respuesta: Validar entradas es un aspecto muy importante del TDD ya que la robsutez del software depende mayoritariamente de estas</t>
  </si>
  <si>
    <t>**Evaluación de la respuesta**
La respuesta proporcionada no aborda completamente la importancia de validar entradas en el contexto de TDD y su relación con la robustez del software. A continuación, se presentan los conceptos correctamente mencionados, los errores detectados y los conceptos importantes que faltan:
**Conceptos correctamente mencionados:**
* La respuesta reconoce la importancia de validar entradas en el contexto de TDD.
* Se menciona que la robustez del software depende de la validación de entradas.
**Errores detectados:**
* La respuesta es muy breve y no proporciona explicaciones detalladas sobre por qué la validación de entradas es importante en TDD.
* No se menciona cómo la validación de entradas ayuda a prevenir errores y comportamientos inesperados en el software.
* No se relaciona explícitamente la validación de entradas con la mejora de la calidad y mantenibilidad del software.
**Conceptos importantes que faltan:**
* No se explica cómo la validación de entradas se integra en el ciclo de TDD (Rojo, Verde, Refactor).
* No se menciona la importancia de escribir tests para validar las entradas antes de implementar la lógica del negocio.
* No se proporciona ejemplos o casos de uso para ilustrar la importancia de la validación de entradas en TDD.
**Nota: 6/10**
La respuesta proporcionada es una buena base, pero necesita más detalle y explicación para abordar completamente la importancia de la validación de entradas en el contexto de TDD y su relación con la robustez del software.&lt;|eot_id|&gt;</t>
  </si>
  <si>
    <t>Respuesta: El ciclo TDD (test-driven development) se basa en: 
* Rojo: un codigo que falle (queremos que falle)
* Verde: codigo minimo que pase
* Refactor: mejorar el codigo manteniendo el codigo verde para que pase. Esa mejora puede ser: mejora de nombres de variables y métodos, eliminar duplicación, reorganizar estructura...
El TDD es valioso ya que es mucho más especifico que el testing tradicional. En el TDD primero va el test y luego el codigo, es proactivo, especifico.</t>
  </si>
  <si>
    <t>**Evaluación de la respuesta**
La respuesta proporcionada describe de manera general el ciclo TDD (test-driven development) y su importancia en el desarrollo de software. A continuación, se presentan los conceptos correctamente mencionados, los errores detectados y los conceptos importantes que faltan, junto con una calificación numérica entre 0 y 10.
**Conceptos correctamente mencionados:**
* El ciclo TDD se basa en tres etapas: Rojo, Verde y Refactor.
* La etapa Rojo implica escribir un código que falle.
* La etapa Verde implica desarrollar el mínimo código necesario para que el test pase.
* La etapa Refactor implica mejorar el código manteniendo todos los tests en verde.
* El TDD es más específico que el testing tradicional.
**Errores detectados:**
* La respuesta no menciona explícitamente que la etapa Rojo se debe a que la funcionalidad aún no ha sido implementada.
* No se menciona la importancia de que los tests sean obligatorios en TDD.
* La respuesta no es tan clara y concisa como la respuesta ideal proporcionada.
**Conceptos importantes que faltan:**
* La importancia de que el TDD promueva un desarrollo proactivo.
* La relación entre la validación de entradas y la robustez del software.
* Las buenas prácticas en TDD, como evitar la duplicación de código y refactorizar regularmente.
**Calificación: 6/10**
La respuesta proporcionada es una buena introducción al ciclo TDD, pero necesita mejorar en términos de claridad y concisión. También falta la mención de algunos conceptos importantes relacionados con la importancia y las buenas prácticas en TDD.&lt;|eot_id|&gt;</t>
  </si>
  <si>
    <t>Respuesta: Tradiconal
TDD
Primero codigo, luego test
Primero test, luego codigo
Activo
proactivo
Se basa en la referencia
Se basa en la especificacion
Puede ser opcional
Es obligatorio</t>
  </si>
  <si>
    <t>**Evaluación de la respuesta**
La respuesta proporcionada intenta comparar TDD (Testing-Driven Development) con un enfoque tradicional de testing en el desarrollo de software. A continuación, se evalúa la respuesta y se proporciona una justificación de los conceptos correctamente mencionados, los errores detectados y los conceptos importantes que faltan.
**Conceptos correctamente mencionados:**
* La respuesta menciona la secuencia de TDD como "Primero test, luego código", lo que es correcto.
* También menciona que TDD es "proactivo", lo que se refiere a que los tests se escriben antes del código para guiar el desarrollo.
* La respuesta también menciona que TDD se basa en la "especificación", lo que se refiere a que los tests definen qué debe hacer el código.
**Errores detectados:**
* La respuesta menciona que el enfoque tradicional de testing es "Activo", lo que es incorrecto. En realidad, el enfoque tradicional de testing es "reactivo", ya que se realizan las pruebas después de que se ha desarrollado el código.
* La respuesta también menciona que el enfoque tradicional de testing se basa en la "referencia", lo que no es correcto. En realidad, el enfoque tradicional de testing se basa en la verificación de que el código funciona correctamente, no en una referencia previa.
* La respuesta menciona que el enfoque tradicional de testing puede ser "opcional", lo que no es correcto. En realidad, el enfoque tradicional de testing puede ser obligatorio o opcional, pero no es una característica exclusiva de este enfoque.
* La respuesta no menciona la importancia de la refactorización en TDD, que es una de las características clave de este enfoque.
**Conceptos importantes que faltan:**
* La respuesta no menciona la importancia de la robustez del software en TDD, que es una de las ventajas clave de este enfoque.
* No se menciona la reducción de la complejidad del código y la mejora de su mantenibilidad en TDD.
* No se menciona la importancia de la claridad y la concisión en los tests en TDD.
**Calificación: 6/10**
La respuesta proporcionada tiene algunos conceptos correctos, pero también contiene errores y omisiones importantes. La respuesta no muestra una comprensión completa del enfoque de TDD y sus características clave.&lt;|eot_id|&gt;</t>
  </si>
  <si>
    <t>Respuesta: * Seguir el ciclo: rojo, verde, refactor
* Definir primero el text y luego el código
* Tener una estructura organizada</t>
  </si>
  <si>
    <t>**Evaluación de la respuesta**
La respuesta proporcionada describe algunas buenas prácticas en TDD, pero no cubre exhaustivamente el tema. A continuación, se presentan los conceptos correctamente mencionados, los errores detectados y los conceptos importantes que faltan:
**Conceptos correctamente mencionados:**
* El ciclo TDD (rojo, verde, refactor) es mencionado correctamente.
* La importancia de definir primero el test y luego el código es mencionada.
* La estructura organizada es mencionada como una buena práctica.
**Errores detectados:**
* La respuesta no menciona la importancia de escribir solo los tests necesarios para que fallen, lo que puede llevar a una sobrecarga de código innecesario.
* No se menciona la importancia de evitar la duplicación de código, lo que puede afectar la mantenibilidad del software.
* No se menciona la necesidad de refactorizar regularmente para mejorar la calidad del código.
**Conceptos importantes que faltan:**
* No se menciona la importancia de escribir tests que cubran todos los casos de uso y escenarios posibles.
* No se menciona la importancia de utilizar un lenguaje de programación específico para escribir tests (por ejemplo, JUnit, PyUnit, etc.).
* No se menciona la importancia de integrar los tests con el entorno de desarrollo (IDE) para automatizar la ejecución de los tests.
**Calificación:** 6/10
La respuesta proporcionada es una buena base, pero necesita ser completada con más detalles y conceptos importantes para reflejar una comprensión más profunda de las buenas prácticas en TDD y su impacto en la calidad del software.&lt;|eot_id|&gt;</t>
  </si>
  <si>
    <t>Respuesta: 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</si>
  <si>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**Evaluación de la respuesta**
La respuesta proporcionada aborda la importancia de validar entradas en el contexto de TDD, pero no explora completamente la relación con la robustez del software. A continuación, se presentan los conceptos correctamente mencionados, los errores detectados y los conceptos importantes que faltan:
**Conceptos correctamente mencionados:**
* La importancia de validar entradas en el contexto de TDD.
* La necesidad de verificar que las entradas estén parametrizadas para evitar fallos en el sistema.
* La variabilidad de los valores de entrada según las condiciones específicas.
**Errores detectados:**
* La respuesta no explica claramente cómo la validación de entradas contribuye a la robustez del software.
* No se menciona la importancia de anticipar y prevenir errores en tiempo de ejecución mediante la validación de entradas.
* La respuesta se enfoca en la parametrización de entradas, pero no aborda la importancia de validar los patrones y casos de uso específicos.
**Conceptos importantes que faltan:**
* La relación entre la validación de entradas y la reducción de errores en tiempo de ejecución.
* La importancia de la validación de entradas en la mejora de la calidad y mantenibilidad del software.
* Ejemplos concretos de cómo la validación de entradas puede prevenir errores comunes en el software.
**Nota:** 6/10
**Justificación:**
La respuesta proporcionada demuestra una comprensión básica de la importancia de validar entradas en TDD, pero no explora completamente la relación con la robustez del software. La respuesta necesita mejorar en la explicación clara y concisa de cómo la validación de entradas contribuye a la robustez del software, y en la inclusión de ejemplos concretos y casos de uso específicos.&lt;|eot_id|&gt;</t>
  </si>
  <si>
    <t>Respuesta: 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</si>
  <si>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**Evaluación de la respuesta**
La respuesta proporcionada describe de manera general el concepto de Test-Driven Development (TDD) y su importancia en el desarrollo de software. A continuación, se presentan los conceptos correctamente mencionados, errores detectados y conceptos importantes que faltan:
**Conceptos correctamente mencionados:**
* El TDD es un tipo de desarrollo que implica diseñar tests antes de escribir el código.
* Los tests están basados en los requisitos del programa.
* El objetivo principal del TDD es evitar errores y cubrir todos los requisitos del programa.
**Errores detectados:**
* La respuesta no menciona las tres etapas del ciclo TDD (Rojo, Verde y Refactor).
* No se explica de manera clara cómo el TDD promueve un desarrollo proactivo y asegura que el código cumple con las especificaciones definidas inicialmente por los tests.
* La respuesta sugiere que el TDD es más adecuado para aplicaciones grandes y equipos experimentados, lo que no es necesariamente cierto.
**Conceptos importantes que faltan:**
* La explicación del ciclo TDD no es completa, ya que no se menciona la importancia de la refactorización en la etapa de Refactor.
* No se menciona cómo el TDD puede ser beneficioso para equipos pequeños o con experiencia limitada.
* No se proporciona ejemplos o ilustraciones para ayudar a entender mejor el concepto de TDD.
**Calificación:** 6/10
La respuesta proporcionada es básica y no ofrece una comprensión profunda del concepto de TDD. Aunque menciona algunos aspectos importantes, faltan detalles y ejemplos para hacerla más completa y clara.&lt;|eot_id|&gt;</t>
  </si>
  <si>
    <t>Respuesta: El TDD enfoca a diseñar el codigo en torno a los tests en vez de hacer el codigo y luego testearlo. Permite asi un desarrollo con unos objetivos claros y evitar codigo inutil. Permite un codigo mas claro, al final evitando testeos internos.</t>
  </si>
  <si>
    <t>**Evaluación de la respuesta**
La respuesta proporcionada es parcialmente correcta y muestra una buena comprensión del concepto de TDD (Test-Driven Development). A continuación, se presentan los conceptos correctamente mencionados, errores detectados y conceptos importantes que faltan:
**Conceptos correctamente mencionados:**
* TDD enfoca a diseñar el código en torno a los tests.
* El enfoque de TDD permite un desarrollo con objetivos claros.
* TDD permite evitar código inútil.
* TDD permite un código más claro.
**Errores detectados:**
* La respuesta no menciona explícitamente la secuencia de TDD (escribir tests antes del código, desarrollar el mínimo código necesario para que el test pase y refactorizar).
* No se menciona la importancia de la iteración y la mejora continua en TDD.
* La respuesta no es clara en cuanto a la relación entre TDD y la reducción de tests internos.
**Conceptos importantes que faltan:**
* La importancia de escribir tests antes del código en TDD.
* La importancia de la iteración y la mejora continua en TDD.
* La relación entre TDD y la reducción de tests internos.
**Calificación:** 6/10
La respuesta proporcionada es buena, pero necesita mejorar en cuanto a la claridad y la precisión en algunos puntos. Se recomienda agregar más detalles y ejemplos para respaldar las afirmaciones hechas.&lt;|eot_id|&gt;</t>
  </si>
  <si>
    <t>Respuesta: Es importante en el TDD:
- No hacer tests repetidos
* Comprobar la mayor parte del codigo con los tests para comprobar todos los posibles errores(evitando el over testing)
* Que los tests sean coherentes con respecto a los requisitos del codigo y el entorno
* Tener una buena estructura en los tests, poniendoles nombres y mensajes de error claros, personalizados y evitando las variables magicas(variables con nombres no descriptivos
* Hacer tests independientes unos de otros de manera que se puedan validar las funciones de manera independientes</t>
  </si>
  <si>
    <t>**Evaluación de la respuesta**
La respuesta proporcionada describe algunas buenas prácticas en TDD (Desarrollo Guiado por Pruebas) y su impacto en la calidad del software. A continuación, se evalúa la respuesta en función de los conceptos correctos mencionados, errores detectados y conceptos importantes que faltan:
**Conceptos correctos mencionados:**
1. La importancia de evitar tests repetidos.
2. La necesidad de comprobar la mayoría del código con tests para evitar el over testing.
3. La importancia de que los tests sean coherentes con los requisitos del código y el entorno.
4. La importancia de tener una buena estructura en los tests, con nombres y mensajes de error claros.
5. La necesidad de hacer tests independientes unos de otros.
**Errores detectados:**
1. La respuesta no menciona la importancia de refactorizar regularmente, lo que es una buena práctica clave en TDD.
2. No se menciona la importancia de escribir solo los tests necesarios para que fallen, lo que ayuda a mantener el desarrollo enfocado y eficiente.
3. La respuesta no destaca la importancia de validar entradas y salidas en los tests, lo que es crucial para prevenir errores y comportamientos inesperados en el software.
4. No se menciona la importancia de utilizar un lenguaje de programación y una herramienta de testing adecuados para realizar los tests.
**Conceptos importantes que faltan:**
1. La importancia de utilizar un enfoque de testing automatizado y repetible.
2. La necesidad de integrar los tests en el flujo de trabajo del desarrollo, lo que permite una verificación continua y proactiva.
3. La importancia de medir y analizar los resultados de los tests para identificar áreas de mejora y optimizar el desarrollo.
**Calificación: 7/10**
La respuesta proporcionada describe algunas buenas prácticas en TDD, pero no cubre todos los aspectos importantes de esta metodología. La falta de mención a la refactorización regular, la validación de entradas y salidas, y la importancia de utilizar un enfoque de testing automatizado y repetible reducen la calificación. Sin embargo, la respuesta muestra un buen entendimiento de la importancia de evitar tests repetidos, comprobar la mayoría del código con tests, y tener una buena estructura en los tests.&lt;|eot_id|&gt;</t>
  </si>
  <si>
    <t>Respuesta: 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</si>
  <si>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**Evaluación de la respuesta**
La respuesta proporcionada es una buena aproximación a la importancia de validar entradas en el contexto de TDD, pero no cubre completamente el concepto. A continuación, se presentan los conceptos correctamente mencionados, los errores detectados y los conceptos importantes que faltan:
**Conceptos correctamente mencionados:**
* La validación de entradas es importante en TDD.
* La validación de entradas ayuda a prevenir errores y comportamientos inesperados en el sistema.
* Se suelen desarrollar tests específicos para la validación de entradas.
**Errores detectados:**
* La respuesta no menciona explícitamente cómo la validación de entradas contribuye a la robustez del software.
* La respuesta no destaca la importancia de la validación de entradas en términos de prevenir errores en tiempo de ejecución.
* La respuesta no menciona la relación entre la validación de entradas y la reducción de la complejidad del código.
**Conceptos importantes que faltan:**
* La respuesta no menciona la importancia de la validación de entradas en términos de asegurar que el software cumpla con las especificaciones definidas.
* La respuesta no destaca la importancia de la validación de entradas en términos de mejorar la calidad del código y facilitar su mantenimiento.
**Calificación: 7/10**
La respuesta proporcionada es clara y concisa, pero no cubre completamente el concepto de la importancia de la validación de entradas en TDD. La respuesta necesita más detalles y ejemplos para demostrar cómo la validación de entradas contribuye a la robustez del software y mejora la calidad del código.
**Sugerencias para mejorar la respuesta:**
* Añadir ejemplos de casos de uso en los que la validación de entradas es crucial.
* Destacar la importancia de la validación de entradas en términos de prevenir errores en tiempo de ejecución y mejorar la calidad del código.
* Mencionar la relación entre la validación de entradas y la reducción de la complejidad del código.&lt;|eot_id|&gt;</t>
  </si>
  <si>
    <t>Respuesta: 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</si>
  <si>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**Evaluación de la respuesta**
La respuesta proporcionada describe de manera general el ciclo TDD (Test-Driven Development), pero no aborda completamente la importancia de este enfoque en el desarrollo de software.
**Conceptos correctamente mencionados:**
* El ciclo TDD se enfoca en pruebas unitarias.
* El ciclo TDD se divide en tres etapas: test rojo, test verde y refactor.
* El objetivo de cada etapa es mejorar el código y asegurar que las pruebas pasen.
**Errores detectados:**
* La respuesta no menciona explícitamente que el objetivo del ciclo TDD es escribir código de alta calidad y mantenerlo de manera sostenible.
* No se destaca la importancia de la iteración y la retroalimentación en el ciclo TDD.
* La respuesta utiliza términos como "test en rojo" y "test verde" de manera informal, lo que puede generar confusión.
**Conceptos importantes que faltan:**
* La importancia de escribir tests antes de implementar el código.
* La importancia de la especificación y la guía que proporcionan los tests en el ciclo TDD.
* La relación entre el ciclo TDD y la mejora continua del software.
**Nota:** 6/10
La respuesta proporcionada es básica y no aborda completamente la importancia del ciclo TDD en el desarrollo de software. Aunque menciona los conceptos básicos del ciclo TDD, no proporciona una comprensión profunda de su importancia y beneficios.&lt;|eot_id|&gt;</t>
  </si>
  <si>
    <t>Respuesta: TDD primero te dice que tests quiere que tu programa pase y luego seguir desarrollando pasando esos mismos tests. Mientras que en el testing tradicional se realizan los tests una vez desarrollado el codigo que se va a someter a los tests.</t>
  </si>
  <si>
    <t>**Evaluación de la respuesta**
La respuesta proporcionada no capta con precisión la diferencia fundamental entre TDD (Desarrollo Dirigido por Pruebas) y el enfoque tradicional de testing en el desarrollo de software.
**Conceptos correctamente mencionados:**
* La respuesta menciona que TDD implica que los tests deben pasar antes de seguir desarrollando el código.
* También menciona que en el testing tradicional, los tests se realizan una vez que el código ya está desarrollado.
**Errores detectados:**
* La respuesta no describe con precisión la secuencia de eventos en TDD. En realidad, en TDD, se escriben tests que fallan, luego se desarrolla el código necesario para que los tests pase, y finalmente se refactorea el código para mantener los tests en verde.
* La respuesta no menciona la importancia de la iteración y la refactorización en TDD.
* No se menciona la diferencia en el propósito de los tests en TDD y en el enfoque tradicional.
**Conceptos importantes que faltan:**
* La respuesta no menciona la importancia de la validación de entradas en TDD.
* No se menciona la importancia de la robustez del software y cómo TDD contribuye a ella.
* No se menciona la diferencia en la complejidad y mantenibilidad del código en TDD y en el enfoque tradicional.
**Calificación: 4/10**
La respuesta proporcionada no demuestra una comprensión clara de los conceptos fundamentales de TDD y su diferencia con el enfoque tradicional de testing. Se requiere más profundidad y precisión en la descripción de la secuencia de eventos en TDD y la importancia de la iteración, refactorización y validación de entradas.&lt;|eot_id|&gt;</t>
  </si>
  <si>
    <t>Respuesta: 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</si>
  <si>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**Evaluación de la respuesta**
La respuesta proporcionada describe una buena práctica en TDD, pero no aborda completamente el concepto de buenas prácticas en TDD y su impacto en la calidad del software.
**Conceptos correctamente mencionados:**
* El uso de Gitflow como herramienta para gestionar el desarrollo y mantener la estabilidad del código.
* La creación de ramas apartadas del master/main para trabajar en diferentes características o versiones.
* La importancia de tener una versión verificada y estable para poder regresar a ella en caso de errores.
**Errores detectados:**
* La respuesta no menciona explícitamente las buenas prácticas en TDD, como escribir solo los tests necesarios para que fallen, evitar la duplicación de código y refactorizar regularmente.
* No se menciona la importancia de escribir tests antes del código en TDD.
* La respuesta se centra en el uso de Gitflow, que es una herramienta para gestionar el desarrollo, pero no es una buena práctica en sí misma en el contexto de TDD.
**Conceptos importantes que faltan:**
* La importancia de escribir tests automatizados y repetibles.
* La necesidad de refactorizar regularmente para mantener la simplicidad y la legibilidad del código.
* La importancia de enfocarse en la funcionalidad y la estabilidad del software.
**Nota: 6/10**
La respuesta proporcionada tiene algunos conceptos correctos, pero no aborda completamente el tema de buenas prácticas en TDD y su impacto en la calidad del software. La respuesta podría mejorar si se enfocara en las buenas prácticas específicas de TDD y su impacto en la calidad del software.&lt;|eot_id|&gt;</t>
  </si>
  <si>
    <t>Respuesta: Al validar entradas te aseguras que la fluidez del sistema sea correcta y puedes evitar fallos con mas facilidad. Esto genera un software mas robusto ya que tienes mas cuidado y tienes mas en cuenta ciertas cosas a la hora de desarrollarlo.</t>
  </si>
  <si>
    <t>**Evaluación de la respuesta**
La respuesta proporcionada por el estudiante aborda la importancia de validar entradas en el contexto de TDD, aunque no es completamente precisa ni completa. A continuación, se presentan los conceptos correctamente mencionados, los errores detectados y los conceptos importantes que faltan:
**Conceptos correctamente mencionados:**
* La importancia de validar entradas en el contexto de TDD.
* La relación entre la validación de entradas y la robustez del software.
**Errores detectados:**
* La respuesta no menciona explícitamente cómo se relaciona la validación de entradas con la robustez del software. Solo se menciona que genera un software más robusto, pero no se explica cómo se logra esto.
* La respuesta no menciona el concepto de errores inesperados o comportamientos inesperados que se pueden producir si no se validan las entradas, como se menciona en la respuesta ideal.
**Conceptos importantes que faltan:**
* La importancia de escribir tests para validar las entradas antes de implementar la lógica del negocio.
* La necesidad de minimizar los casos de errores en tiempo de ejecución mediante la validación de entradas.
**Calificación: 6/10**
La respuesta proporcionada es básica y no muestra una comprensión profunda del concepto de validación de entradas en el contexto de TDD. Aunque menciona la importancia de validar entradas y su relación con la robustez del software, no proporciona una explicación detallada ni menciona conceptos importantes como la escritura de tests para validar entradas y la minimización de errores en tiempo de ejecución.&lt;|eot_id|&gt;</t>
  </si>
  <si>
    <t>Respuesta: El ciclo TDD se descompone en tres fases, la fase roja, la fase verde y la fase refactor.
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
Este ciclo es importante a la hora del desarrollo de software porque haces el código necesario y paso a paso.</t>
  </si>
  <si>
    <t>**Evaluación de la respuesta**
La respuesta proporcionada describe el ciclo TDD (Desarrollo Guiado por Pruebas) de manera general, pero no es completamente precisa y completa. A continuación, se presentan los conceptos correctamente mencionados, los errores detectados y los conceptos importantes que faltan:
**Conceptos correctamente mencionados:**
* El ciclo TDD se descompone en tres fases: fase roja, fase verde y fase refactor.
* La fase roja implica escribir tests básicos sin tener el código hecho.
* La fase verde implica agregar el código necesario para que los tests pasen.
* La fase refactor implica mejorar el código mientras se mantiene la condición de que los tests sigan siendo verdes.
**Errores detectados:**
* La respuesta no menciona explícitamente que la fase roja se caracteriza por que los tests fallan porque la funcionalidad aún no ha sido implementada.
* La respuesta no destaca la importancia de que la fase verde se centre en implementar el mínimo código necesario para que los tests pasen.
* La respuesta no menciona la importancia de que la fase refactor se centre en mejorar el código sin cambiar su comportamiento.
**Conceptos importantes que faltan:**
* La respuesta no explica por qué el ciclo TDD es crucial en el desarrollo de software.
* No se menciona cómo el ciclo TDD promueve un desarrollo proactivo y asegura que el código cumpla con las especificaciones definidas inicialmente por los tests.
* No se menciona la importancia de que los tests sean escritos antes del código y se utilicen como especificación y guía para el desarrollo.
**Calificación:** 6/10
La respuesta proporcionada es una buena base para entender el ciclo TDD, pero necesita ser más precisa y completa para reflejar la importancia y los detalles de este enfoque de desarrollo.&lt;|eot_id|&gt;</t>
  </si>
  <si>
    <t>Respuesta: 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</si>
  <si>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**Evaluación de la respuesta**
La respuesta proporcionada intenta comparar el enfoque de TDD (Testing-Driven Development) con el enfoque tradicional de testing en el desarrollo de software. A continuación, se evaluará la respuesta en términos de conceptos correctos, errores detectados y conceptos importantes que faltan.
**Conceptos correctos:**
* La respuesta menciona que en el TDD se hacen los tests antes que el código, lo que es correcto.
* También menciona que en el enfoque tradicional de testing, se hace el código antes que los tests, lo que también es correcto.
**Errores detectados:**
* La respuesta sugiere que el TDD asegura una mayor eficiencia en el código y un código más completo porque el código se adapta a los tests. Esto no es del todo exacto. El TDD no garantiza necesariamente un código más eficiente o completo, sino que más bien garantiza que el código cumpla con las especificaciones definidas en los tests.
* La respuesta también sugiere que los tests tradicionales son los que adaptan los tests al código, lo que no es cierto. En el enfoque tradicional de testing, los tests se realizan después de que se ha desarrollado el código, lo que significa que los tests no se adaptan al código, sino que se utilizan para verificar si el código cumple con las especificaciones.
**Conceptos importantes que faltan:**
* La respuesta no menciona la importancia de la iteración y la refactorización en el TDD, que son fundamentales para garantizar la calidad del código.
* No se menciona la diferencia en la secuencia de desarrollo entre TDD y enfoque tradicional de testing, que es un aspecto clave para entender la diferencia entre ambos enfoques.
**Calificación: 6/10**
La respuesta proporcionada tiene algunos conceptos correctos, pero también contiene errores y omisiones importantes. La respuesta podría mejorar si se enfocara en la diferencia en la secuencia de desarrollo, la importancia de la iteración y la refactorización en el TDD, y la diferencia en la calidad del código entre ambos enfoques.&lt;|eot_id|&gt;</t>
  </si>
  <si>
    <t>Respuesta: Las buenas prácticas en el TDD son empezar por los tests, luego por un código muy simple, para luego mejorarlo en la última fase. El TDD tiene un impacto notable en la calidad del software ya que proporciona un código mucho más completo.</t>
  </si>
  <si>
    <t>**Evaluación de la respuesta**
La respuesta proporcionada describe algunas buenas prácticas en TDD, pero no las aborda de manera exhaustiva. A continuación, se presentan los conceptos correctamente mencionados, los errores detectados y los conceptos importantes que faltan:
**Conceptos correctamente mencionados:**
* La importancia de empezar con tests (aunque no se especifica explícitamente que deben ser tests unitarios y automatizados)
* La idea de mejorar el código en la última fase (etapa de refactorización)
**Errores detectados:**
* La respuesta no menciona la importancia de escribir solo los tests necesarios para que fallen, lo que es una buena práctica clave en TDD.
* No se menciona la necesidad de evitar la duplicación de código, lo que es otro aspecto importante en TDD.
* La respuesta no destaca la importancia de la refactorización continua y la mejora continua del código.
**Conceptos importantes que faltan:**
* No se menciona la importancia de la claridad y concisión en la escritura de tests.
* No se destaca la necesidad de mantener un alto nivel de cobertura de código (tests que cubren la mayoría de las funcionalidades del software).
* No se menciona la importancia de integrar TDD con otras prácticas de desarrollo de software, como la arquitectura de software y la gestión de versiones.
**Calificación: 6/10**
La respuesta proporcionada muestra una comprensión básica de las buenas prácticas en TDD, pero no aborda de manera exhaustiva los conceptos clave. La respuesta podría ser mejorada con más detalles y ejemplos concretos para ilustrar las buenas prácticas en TDD y su impacto en la calidad del software.&lt;|eot_id|&gt;</t>
  </si>
  <si>
    <t>Respuesta: Es importante comprobar las variables de entrada para no perder tiempo de ejecución ya que si son incompatibles o erróneas, el programa no debe funcionar. Por lo que la validación de datos hace que el software sea más robusto.</t>
  </si>
  <si>
    <t>**Nota:** 7/10
**Conceptos correctamente mencionados:** La importancia de validar entradas en TDD y su relación con la robustez del software.
**Errores detectados:**
* La respuesta no menciona explícitamente el ciclo TDD y su relación con la validación de entradas.
* La explicación sobre la importancia de la validación de entradas se centra en la eficiencia en términos de tiempo de ejecución, en lugar de enfocarse en la calidad y robustez del software.
* La respuesta no menciona cómo la validación de entradas ayuda a prevenir errores y comportamientos inesperados en el software.
**Conceptos importantes que faltan:**
* La explicación sobre cómo la validación de entradas se integra en el ciclo TDD (es decir, antes de implementar la lógica del negocio).
* La mención a la importancia de escribir tests para validar las entradas antes de implementar la lógica del negocio.
* La conexión entre la validación de entradas y la mejora de la calidad y mantenibilidad del software.
**Recomendación:** La respuesta proporciona una idea básica de la importancia de la validación de entradas en TDD, pero podría mejorar con una explicación más detallada y enfocada en la relación con la robustez del software.&lt;|eot_id|&gt;</t>
  </si>
  <si>
    <t>Respuesta: El ciclo TDD es una metodología que se utiliza en el desarrollo de software que consiste en tres fases: rojo, verde y refactor.
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</si>
  <si>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**Evaluación de la respuesta**
La respuesta proporcionada describe el ciclo TDD (Desarrollo Guiado por Pruebas) de manera general, pero con algunos errores y omisiones. A continuación, se presentan los conceptos correctamente mencionados, los errores detectados y los conceptos importantes que faltan:
**Conceptos correctamente mencionados:**
* El ciclo TDD se compone de tres fases: rojo, verde y refactor.
* La fase rojo implica componer un test que falla debido a la falta de código de producción.
* La fase verde implica crear el código mínimo necesario para que el test pase.
* La fase de refactor se refiere a la optimización del código con el test en verde.
**Errores detectados:**
* La respuesta no menciona explícitamente que la fase roja se caracteriza por la creación de un test que falla porque la funcionalidad aún no ha sido implementada, lo que es un aspecto crucial del ciclo TDD.
* No se menciona la importancia del ciclo TDD en el desarrollo de software, como su capacidad para promover un desarrollo proactivo y asegurar que el código cumpla con las especificaciones definidas inicialmente por los tests.
**Conceptos importantes que faltan:**
* La respuesta no proporciona una explicación clara y detallada de cada fase del ciclo TDD.
* No se menciona la importancia de la fase de refactor en términos de mejorar la calidad y mantenibilidad del código.
* No se proporciona ejemplos o ilustraciones para ayudar a entender mejor el ciclo TDD.
**Calificación: 6/10**
La respuesta proporcionada es una buena base para entender el ciclo TDD, pero requiere más detalle y claridad en la explicación de cada fase y la importancia del ciclo en el desarrollo de software.&lt;|eot_id|&gt;</t>
  </si>
  <si>
    <t>Respuesta: 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</si>
  <si>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**Evaluación de la respuesta**
La respuesta proporcionada muestra una buena comprensión del concepto de TDD (Desarrollo Guiado por Pruebas) y su diferencia con el enfoque tradicional de testing en el desarrollo de software. A continuación, se presentan los conceptos correctamente mencionados, los errores detectados y los conceptos importantes que faltan:
**Conceptos correctamente mencionados:**
* La secuencia de TDD, que consiste en escribir primero los tests y luego el código de producción.
* La importancia de los tests en TDD, que son obligatorios y proactivos.
* La diferencia con el enfoque tradicional, que consiste en escribir primero el código de producción y luego los tests.
**Errores detectados:**
* La respuesta no menciona la importancia de que los tests en TDD sean escritos antes del código de producción, sino que se enfoca en la secuencia de TDD como "hacer primero el test y luego el código de producción".
* La respuesta no menciona la importancia de la iteración y la refactorización en TDD, que es un aspecto clave de este enfoque.
**Conceptos importantes que faltan:**
* La importancia de que los tests en TDD sean independientes y no dependan del código de producción.
* La importancia de la automatización de los tests en TDD.
* La relación entre TDD y la calidad del software, como la mejora de la robustez y la reducción de errores.
**Calificación:** 6/10
La respuesta muestra una buena comprensión del concepto de TDD y su diferencia con el enfoque tradicional, pero faltan algunos detalles importantes y no se mencionan algunos conceptos clave. Con algunos ajustes, la respuesta podría ser más completa y precisa.&lt;|eot_id|&gt;</t>
  </si>
  <si>
    <t>Respuesta: 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</si>
  <si>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**Evaluación de la respuesta**
La respuesta proporcionada describe algunas buenas prácticas en TDD, pero no aborda exhaustivamente el tema y no menciona algunos aspectos importantes. A continuación, se presentan los conceptos correctamente mencionados, los errores detectados y los conceptos importantes que faltan:
**Conceptos correctamente mencionados:**
1. Importancia de poner nombres descriptivos en assertions, clases, métodos y ramas.
2. Utilización de la arquitectura A-A-A (Arrange-Act-Assert) en los tests.
3. Eliminación de códigos duplicados en los tests.
4. Limitación de un test a una sola comprobación o afirmación.
**Errores detectados:**
1. La respuesta no menciona la importancia de escribir solo los tests necesarios para que fallen, lo que es una práctica clave en TDD.
2. No se menciona la necesidad de refactorizar regularmente para mantener el código limpio y eficiente.
3. La respuesta no aborda la importancia de la complejidad del código y cómo TDD ayuda a reducirla.
4. No se menciona la relación entre TDD y la calidad del software en términos de robustez y mantenibilidad.
**Conceptos importantes que faltan:**
1. Importancia de escribir tests automatizados y ejecutarlos regularmente.
2. Utilización de frameworks de testing adecuados para facilitar la escritura y ejecución de tests.
3. Consideración de casos de uso y escenarios de error en la escritura de tests.
4. Importancia de la documentación de los tests y la facilidad de mantenimiento del código.
**Nota: 6/10**
La respuesta proporcionada muestra una comprensión básica de algunas buenas prácticas en TDD, pero no aborda exhaustivamente el tema. Para mejorar, se deben incluir más conceptos y consideraciones importantes para reflejar una comprensión más profunda de la práctica de TDD y su impacto en la calidad del software.&lt;|eot_id|&gt;</t>
  </si>
  <si>
    <t>Respuesta: Las entradas se pueden validar de diferentes formas ya sea con test unitarios normales o con test parametrizados que sería lo óptimo ya que esto le daría mas versatilidad y robustez al test al estar amparando el mismo código con diferentes entradas.</t>
  </si>
  <si>
    <t>**Evaluación de la respuesta**
La respuesta proporcionada aborda parcialmente la importancia de validar entradas en el contexto de TDD y su relación con la robustez del software. A continuación, se presentan los conceptos correctamente mencionados, los errores detectados y los conceptos importantes que faltan:
**Conceptos correctamente mencionados:**
* La importancia de validar entradas en TDD.
* La posibilidad de validar entradas de diferentes formas, incluyendo tests unitarios normales y tests parametrizados.
**Errores detectados:**
* La respuesta no menciona explícitamente cómo la validación de entradas contribuye a la robustez del software.
* No se explica con claridad por qué los tests parametrizados serían lo óptimo para validar entradas.
**Conceptos importantes que faltan:**
* No se menciona el objetivo de la validación de entradas en TDD, que es prevenir errores y comportamientos inesperados en el software.
* No se explica cómo la validación de entradas ayuda a mejorar la calidad del código y facilitar su mantenimiento.
**Calificación: 6/10**
La respuesta proporcionada es una buena base, pero requiere más desarrollo y claridad en algunos aspectos. Para mejorar, se podría profundizar en la importancia de la validación de entradas en TDD y cómo contribuye a la robustez del software, y proporcionar ejemplos concretos de cómo los tests parametrizados pueden ser más efectivos que los tests unitarios normales.&lt;|eot_id|&gt;</t>
  </si>
  <si>
    <t>Respuesta: 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</si>
  <si>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**Evaluación de la respuesta**
La respuesta proporcionada es incompleta y no captura con precisión el concepto del ciclo TDD (Desarrollo Dirigido por Pruebas). A continuación, se presentan los conceptos correctamente mencionados, los errores detectados y los conceptos importantes que faltan:
**Conceptos correctamente mencionados:**
* La respuesta menciona que el ciclo TDD se basa en realizar pruebas unitarias dentro del código.
* Se menciona que el objetivo de estas pruebas es verificar de manera individual las distintas secciones del programa.
**Errores detectados:**
* La respuesta no menciona las tres etapas del ciclo TDD: Rojo (escribir un test que falla), Verde (desarrollar el mínimo código necesario para que el test pase) y Refactor (mejorar el código manteniendo todos los tests en verde).
* La analogía con el equipo de fútbol no es precisa y no ilustra con claridad el concepto del ciclo TDD.
**Conceptos importantes que faltan:**
* La importancia del ciclo TDD en el desarrollo de software.
* La secuencia en la que se realizan las pruebas y el código.
* La relación entre las pruebas y la calidad del software.
**Calificación:** 2/10
**Justificación:** La respuesta no captura con precisión el concepto del ciclo TDD y no proporciona una visión clara de su importancia en el desarrollo de software. Es necesario mejorar la respuesta para reflejar la complejidad y profundidad del tema.&lt;|eot_id|&gt;</t>
  </si>
  <si>
    <t>Respuesta: 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</si>
  <si>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**Evaluación de la respuesta**
La respuesta proporcionada no aborda completamente la pregunta planteada, que solicita una comparación detallada entre TDD (Test-Driven Development) y el enfoque tradicional de testing en el desarrollo de software. A continuación, se presentan los conceptos correctamente mencionados, los errores detectados y los conceptos importantes que faltan en la respuesta:
**Conceptos correctamente mencionados:**
* La respuesta menciona la diferencia entre TDD y el enfoque tradicional de testing en cuanto a la capacidad para aislar errores.
* Se menciona un ejemplo práctico de cómo la primera práctica de testing se enfocó de manera tradicional, lo que sugiere una comprensión básica del tema.
**Errores detectados:**
* La respuesta no proporciona una descripción detallada de la diferencia entre TDD y el enfoque tradicional de testing, limitándose a mencionar una ventaja de TDD sin explicar cómo se logra.
* No se menciona la secuencia de eventos en TDD (escribir tests, desarrollar código, refactorear) y cómo se contrasta con el enfoque tradicional (desarrollar código, luego probar).
* La respuesta no aborda la importancia de la validación de entradas en TDD ni su relación con la robustez del software.
**Conceptos importantes que faltan:**
* Una descripción detallada de la secuencia de eventos en TDD y su diferencia con el enfoque tradicional.
* La importancia de la validación de entradas en TDD y su relación con la robustez del software.
* Ejemplos adicionales para ilustrar la ventaja de TDD en la detección y resolución de errores.
**Calificación: 4/10**
La respuesta proporcionada es básica y no aborda completamente la pregunta planteada. Aunque menciona una ventaja de TDD, no proporciona una descripción detallada de la diferencia entre TDD y el enfoque tradicional de testing, ni aborda conceptos importantes como la validación de entradas y la robustez del software.&lt;|eot_id|&gt;</t>
  </si>
  <si>
    <t>Respuesta: 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</si>
  <si>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**Evaluación de la respuesta**
La respuesta proporcionada no aborda completamente las buenas prácticas en TDD y su impacto en la calidad del software. A continuación, se presentan los conceptos correctamente mencionados, los errores detectados y los conceptos importantes que faltan:
**Conceptos correctamente mencionados:**
* Se menciona el uso de GitFlow, que es una herramienta útil para gestionar el desarrollo de software de manera eficiente.
* Se enfatiza la importancia de realizar pruebas después de hacer cambios en el código para verificar su impacto en el programa principal.
**Errores detectados:**
* La respuesta se centra en el uso de GitFlow como una buena práctica en TDD, lo que no es estrictamente cierto. El GitFlow es una herramienta de gestión de versiones, no una práctica en sí misma.
* No se mencionan otras buenas prácticas en TDD, como escribir tests solo para lo necesario, evitar la duplicación de código y refactorizar regularmente.
* La respuesta no explica con claridad cómo el uso de GitFlow y las pruebas después de hacer cambios en el código impactan positivamente en la calidad del software.
**Conceptos importantes que faltan:**
* No se menciona la importancia de escribir tests antes del código, que es una de las características clave de TDD.
* No se explica cómo la automatización de pruebas y la integración continua pueden mejorar la calidad del software.
* No se menciona la importancia de la refactorización y la mejora continua del código.
**Calificación:** 4/10
**Justificación:** La respuesta proporcionada no aborda completamente las buenas prácticas en TDD y su impacto en la calidad del software. Aunque se mencionan algunos conceptos correctos, la respuesta no es completa y no proporciona una visión clara de las mejores prácticas en TDD.&lt;|eot_id|&gt;</t>
  </si>
  <si>
    <t>Respuesta: 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</si>
  <si>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**Evaluación de la respuesta**
La respuesta proporcionada aborda la importancia de validar entradas en el contexto de TDD (Desarrollo Guiado por Pruebas) y su relación con la robustez del software. A continuación, se presentan los conceptos correctamente mencionados, los errores detectados y los conceptos importantes que faltan:
**Conceptos correctamente mencionados:**
1. La importancia de validar entradas en TDD.
2. La relación entre la validación de entradas y la robustez del software.
**Errores detectados:**
1. La respuesta no es muy clara y concisa. Se repiten algunas ideas y no se presenta una explicación detallada.
2. No se menciona explícitamente cómo la validación de entradas ayuda a prevenir errores en el software.
3. La analogía con la prueba unitaria es interesante, pero no se desarrolla de manera efectiva.
**Conceptos importantes que faltan:**
1. Una explicación más detallada de cómo la validación de entradas en TDD ayuda a prevenir errores en el software.
2. Un ejemplo concreto de cómo la validación de entradas mejora la robustez del software.
3. Una discusión sobre las consecuencias de no validar entradas en el contexto de TDD.
**Nota: 6/10**
La respuesta proporcionada muestra una comprensión básica de la importancia de validar entradas en TDD y su relación con la robustez del software. Sin embargo, falta claridad y concisión en la explicación, y no se presentan ejemplos concretos para ilustrar los conceptos. Con un poco más de desarrollo y ejemplos, la respuesta podría ser más efectiva.&lt;|eot_id|&gt;</t>
  </si>
  <si>
    <t>Respuesta: El ciclo TDD (Test Driven Development) es una forma de desarrollar software, es un planteamiento alternativo en el que se sigue un proceso muy concreto, y se itera en ciclos TDD para desarrollar el código del programa.
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
Fases del ciclo TDD:
* Red: se escribe un test con lo qué debe de hacer el código que se desarrollará más tarde. Este test debe pasar en rojo (devolviendo un error o test no realizado con éxito)
* Green: se escribe en el programa el código mínimo necesario para que el test anteriormente creado pase en verde.
* Refactor: en esta fase se mejora el código anterior (código mínimo necesario) manteniendo el test en verde.
Se itera sobre este ciclo para el desarrollo de nuevas funcionalidades del programa.</t>
  </si>
  <si>
    <t>**Evaluación de la respuesta**
La respuesta proporcionada describe el ciclo TDD (Test Driven Development) y su importancia en el desarrollo de software de manera generalmente correcta. A continuación, se presentan los conceptos correctamente mencionados, los errores detectados y los conceptos importantes que faltan:
**Conceptos correctamente mencionados:**
1. El ciclo TDD se basa en escribir tests antes del código del programa.
2. El ciclo TDD se compone de tres fases: Red, Green y Refactor.
3. La fase Red implica escribir un test que falla (rojo).
4. La fase Green implica escribir el código mínimo necesario para que el test pase (verde).
5. La fase Refactor implica mejorar el código manteniendo el test en verde.
6. El ciclo TDD se itera para desarrollar nuevas funcionalidades del programa.
**Errores detectados:**
1. La respuesta no menciona explícitamente la importancia de que el test en la fase Red deba fallar (rojo) porque la funcionalidad aún no ha sido implementada.
2. La respuesta no destaca con claridad la importancia de que el código en la fase Green sea el mínimo necesario para que el test pase.
3. La respuesta no menciona la importancia de que el test en la fase Green deba ser específico y cubrir todos los casos posibles.
**Conceptos importantes que faltan:**
1. La respuesta no menciona la importancia de que el ciclo TDD promueva un desarrollo proactivo y que el código producido cumpla con las especificaciones definidas inicialmente por los tests.
2. No se menciona la importancia de que el ciclo TDD permita que el programa se escale de forma consistente ante errores.
3. No se destaca la importancia de que el ciclo TDD sea un enfoque preventivo en lugar del enfoque reactivo.
**Calificación:** 7/10
La respuesta proporcionada es buena, pero podría ser mejorada con más detalles y claridad en algunos conceptos. La respuesta muestra una buena comprensión del ciclo TDD, pero no destaca con claridad la importancia de algunos aspectos clave del enfoque.&lt;|eot_id|&gt;</t>
  </si>
  <si>
    <t>Respuesta: 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
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</si>
  <si>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**Evaluación de la respuesta**
La respuesta proporcionada es buena, pero no alcanza la excelencia en términos de claridad, completitud y precisión conceptual. A continuación, se presentan los conceptos correctamente mencionados, errores detectados y conceptos importantes que faltan:
**Conceptos correctamente mencionados:**
* El enfoque de testing en TDD es preventivo, es decir, se crean los tests antes que el código del programa.
* Los tests en TDD sirven como especificación del funcionamiento del programa desarrollado.
* El enfoque tradicional de testing es reactivo, es decir, se desarrolla el código del programa primero y luego se escriben los tests.
* La cobertura de código es importante para cubrir todas las posibilidades de error del programa.
**Errores detectados:**
* La respuesta no menciona explícitamente la importancia de la iteración y la refacción en el ciclo TDD, lo que es un aspecto clave de este enfoque.
* No se destaca la ventaja de que los tests en TDD ayudan a prevenir errores desde el inicio, en lugar de esperar a que se produzcan errores y luego tratar de corregirlos.
* La respuesta no menciona la diferencia en términos de escalabilidad y mantenibilidad entre el enfoque TDD y el tradicional.
**Conceptos importantes que faltan:**
* La importancia de la automatización de los tests en TDD.
* La relación entre la complejidad del código y la efectividad de los tests en el enfoque tradicional.
* La ventaja de que los tests en TDD permiten la detección de errores en un estado temprano, lo que reduce el costo de corrección.
**Calificación: 7/10**
La respuesta proporcionada es buena, pero requiere una mayor profundidad y claridad en la explicación de los conceptos. La inclusión de ejemplos y casos de uso concretos podría ayudar a ilustrar mejor las ventajas y desventajas de cada enfoque.&lt;|eot_id|&gt;</t>
  </si>
  <si>
    <t>Respuesta: Buenas prácticas TDD son :
1. Escribir tests con nombres que sigan una misma estructura y que nos permita seguir un patrón que pueda indicar fácilmente leyendo el nombre qué hace el test o a dónde pertenece, por ejemplo: método_entorno -&gt; addDiscount_validOriginalPrice()
2. Realizar pequeños tests que comprueben características específicas del código. Evitar a toda costa agrupar muchos casos en un solo test.
3. Cumplir a raja tabla con el orden de las fases del ciclo TDD y mantener una buena estrcutura de commits con palabras clave como: test, red, green, refactor. Para indicar en qué punto del ciclo TDD te encuentras. Ej. test(red) nuevo test addDiscount_validOriginalPrice()
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</si>
  <si>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**Evaluación de la respuesta**
La respuesta proporcionada describe algunas buenas prácticas en TDD (Desarrollo Dirigido por Pruebas) y su impacto en la calidad del software. A continuación, se evalúa la precisión conceptual, la completitud de la respuesta, el uso correcto de la terminología y la claridad de la explicación.
**Conceptos correctamente mencionados:**
1. La importancia de escribir tests con nombres que sigan una estructura y patrón para facilitar la comprensión.
2. La necesidad de realizar tests pequeños y específicos para comprobar características concretas del código.
3. La importancia de seguir el orden de las fases del ciclo TDD (red, verde, refactor) y mantener una buena estructura de commits.
**Errores detectados:**
1. La respuesta no menciona explícitamente la importancia de escribir tests antes del código, lo que es una característica fundamental del TDD.
2. No se menciona la necesidad de refactorizar regularmente para mantener la simplicidad y la legibilidad del código.
3. La respuesta no proporciona ejemplos concretos de cómo aplicar estas buenas prácticas en un contexto de desarrollo de software.
**Conceptos importantes que faltan:**
1. La importancia de la automatización de los tests y la integración continua.
2. La necesidad de utilizar un framework de testing adecuado para escribir y ejecutar tests.
3. La importancia de la retroalimentación y la iteración en el proceso de desarrollo con TDD.
**Calificación: 7/10**
La respuesta proporciona algunas buenas prácticas en TDD, pero no cubre todos los conceptos importantes y no proporciona ejemplos concretos. La claridad de la explicación es buena, pero se podría mejorar con la inclusión de más detalles y ejemplos.&lt;|eot_id|&gt;</t>
  </si>
  <si>
    <t>Respuesta: 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</si>
  <si>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**Evaluación de la respuesta**
La respuesta proporcionada aborda la importancia de validar entradas en el contexto de TDD y su relación con la robustez del software. A continuación, se presentan los conceptos correctamente mencionados, errores detectados y conceptos importantes que faltan, junto con una calificación numérica entre 0 y 10.
**Conceptos correctamente mencionados:**
1. La importancia de validar entradas en TDD.
2. La relación entre la validación de entradas y la robustez del software.
3. La idea de "filtrar al inicio" para evitar problemas de tipos de entradas y formato en el código.
**Errores detectados:**
1. La respuesta no menciona explícitamente el beneficio de escribir tests para validar entradas antes de implementar la lógica del negocio.
2. No se explica con claridad cómo la validación de entradas mejora la robustez del software "exponencialmente".
3. La respuesta no menciona la importancia de evitar errores y comportamientos inesperados en el software.
**Conceptos importantes que faltan:**
1. La explicación de cómo la validación de entradas ayuda a prevenir errores y comportamientos inesperados en el software.
2. La importancia de la validación de entradas en la mejora de la calidad del código y su mantenibilidad.
**Calificación: 7/10**
La respuesta proporcionada muestra una buena comprensión de la importancia de validar entradas en TDD y su relación con la robustez del software. Sin embargo, falta una mayor profundidad y claridad en la explicación, y no se mencionan algunos conceptos importantes relacionados con la validación de entradas. Con un poco más de desarrollo y claridad, la respuesta podría ser más completa y convincente.&lt;|eot_id|&gt;</t>
  </si>
  <si>
    <t>Respuesta: 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
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
Al segmentar claramente los tests y las funcionalidades es más fácil trabajar colaborativamente.</t>
  </si>
  <si>
    <t>**Nota:** 8/10
**Conceptos correctamente mencionados:** 
* El TDD es una metodología de trabajo para proyectos de software.
* Se crean tests o pruebas antes de codificar las funcionalidades.
* El objetivo es segmentar cada requisito en el código para evitar errores.
**Errores detectados:**
* La respuesta no menciona explícitamente las tres etapas del ciclo TDD (Rojo, Verde y Refactor).
* No se destaca la importancia de la iteración y la mejora continua en el ciclo TDD.
* La respuesta se centra más en la estructura del ciclo que en su importancia y beneficios.
**Conceptos importantes que faltan:**
* La importancia de escribir tests que fallan (Rojo) antes de implementar la funcionalidad.
* La importancia de refactorizar el código para mantenerlo limpio y eficiente.
* La relación entre el ciclo TDD y la creación de software de alta calidad y robusto.
**Justificación:** La respuesta proporcionada es clara y concisa, pero no aborda completamente la complejidad y la importancia del ciclo TDD. La respuesta ideal proporcionada anteriormente ofrece una visión más completa y detallada del ciclo TDD y su importancia en el desarrollo de software.&lt;|eot_id|&gt;</t>
  </si>
  <si>
    <t>Respuesta: 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
Entonces es más difícil luego ver de donde vienen los errores al realizar los tests. Con TDD es mucho más fácil segmentar cada funcionalidad porque se crean tests para cada funcionalidad y se va probando el test a medida que se van implementando funcionalidades.
También en TDD normalmente se implementa cada feature en una rama diferente lo que permite leer el código mejor y entender mejor dónde está cada funcionalidad implementada en el código.</t>
  </si>
  <si>
    <t>**Evaluación de la respuesta**
La respuesta proporcionada ofrece una comparativa entre TDD (Desarrollo Guiado por Pruebas) y un enfoque tradicional de testing en el desarrollo de software. A continuación, se evaluará la respuesta en función de los criterios establecidos:
**Conceptos correctamente mencionados:**
* La respuesta menciona correctamente el enfoque tradicional de testing, donde se van añadiendo funcionalidades y se deja constancia en el repositorio mediante Git.
* También menciona los problemas de este enfoque, como la falta de segmentación de funcionalidades y la dificultad para entender el código.
* La respuesta también menciona los beneficios de TDD, como la segmentación de funcionalidades y la facilidad para entender el código.
**Errores detectados:**
* La respuesta no menciona explícitamente la diferencia en la secuencia de TDD, donde los tests se escriben antes del código.
* No se menciona la importancia de la validación de entradas en TDD.
* La respuesta no es tan clara y concisa como la respuesta ideal.
**Conceptos importantes que faltan:**
* No se menciona la importancia de la refactorización en TDD.
* No se menciona la relación entre TDD y la robustez del software.
**Nota: 7/10**
La respuesta proporcionada ofrece una visión general de la diferencia entre TDD y el enfoque tradicional de testing, pero no es tan completa ni clara como la respuesta ideal. La respuesta necesita mejorar en la claridad y concisión, y también debe mencionar conceptos importantes como la refactorización y la robustez del software.&lt;|eot_id|&gt;</t>
  </si>
  <si>
    <t>Respuesta: Las buenas prácticas del TDD son las siguientes:
-Define claramente los requisitos del proyecto de software y los criterios con los que se puede verificar objetivamente que se ha cumplido con el requisito.
-Crea el test con los criterios que debe cumplir el requisito. Se hace para todos los requisitos que son las funcionalidades.
-Verifica que los tests compilan correctamente sin haber implementando las funcionalidades.
-Implementa una funcionalidad o pocas funcionalidades relacionadas entre sí y luego verifica con los tests que el programa compila correctamente.
-Separa las funcionalidades relacionadas entre sí en features diferentes.
-Repite el proceso con todas las funcionalidades.</t>
  </si>
  <si>
    <t>**Evaluación de la respuesta**
La respuesta proporcionada describe algunas buenas prácticas en TDD (Desarrollo Dirigido por Pruebas), pero no aborda completamente el tema y no menciona algunos conceptos importantes. A continuación, se presentan los conceptos correctamente mencionados, los errores detectados y los conceptos importantes que faltan:
**Conceptos correctamente mencionados:**
* La importancia de definir claramente los requisitos del proyecto de software y los criterios para verificar que se han cumplido.
* La creación de tests para cada requisito o funcionalidad.
* La verificación de que los tests compilan correctamente antes de implementar las funcionalidades.
* La separación de las funcionalidades relacionadas entre sí en features diferentes.
**Errores detectados:**
* La respuesta no menciona la importancia de escribir solo los tests necesarios para que fallen, lo que ayuda a enfocar el desarrollo y evitar la sobrecarga de tests innecesarios.
* No se menciona la importancia de refactorizar regularmente para mantener el código limpio y eficiente.
* La respuesta no destaca la importancia de escribir tests de integración y tests de regresión para asegurarse de que las funcionalidades se integran correctamente y no se rompen en futuras actualizaciones.
**Conceptos importantes que faltan:**
* La importancia de escribir tests de unidad y tests de integración para asegurarse de que cada componente del sistema se comporta correctamente.
* La importancia de utilizar un lenguaje de programación y un framework de testing adecuados para escribir tests eficientes.
* La importancia de mantener un registro de los tests y las versiones del código para poder reproducir y verificar los resultados.
**Calificación: 7/10**
La respuesta proporcionada es buena, pero no aborda completamente el tema de las buenas prácticas en TDD. La respuesta necesita ser más detallada y precisa para reflejar las mejores prácticas y conceptos importantes en el desarrollo dirigido por pruebas.&lt;|eot_id|&gt;</t>
  </si>
  <si>
    <t>Respuesta: TDD signifca test driven development, es una forma de desarrollar software en la que antes de escribir el codigo se escriben los test para probar si funciona el desarrollo.
de manera que se puede pobrar en cualquier momento si el codigo funciona y no se cae en el engaño de escribir test que sabes que se van a pasar a pesar de que tu codigo tenga bugs</t>
  </si>
  <si>
    <t>**Evaluación de la respuesta**
La respuesta proporcionada describe el concepto de TDD (Test-Driven Development), pero no es completamente precisa y omite algunos aspectos importantes. A continuación, se presentan los conceptos correctamente mencionados, errores detectados y conceptos importantes que faltan:
**Conceptos correctamente mencionados:**
* La respuesta menciona que TDD se refiere a Test-Driven Development.
* Se explica que se trata de una forma de desarrollar software en la que se escriben tests antes de escribir el código.
**Errores detectados:**
* La respuesta no menciona las tres etapas del ciclo TDD: Rojo, Verde y Refactor.
* No se explica la importancia de TDD en el desarrollo de software.
* La respuesta contiene un error de ortografía en "pobrar" en lugar de "probar".
* La respuesta sugiere que TDD se utiliza para evitar escribir tests que sabemos que se van a pasar, lo que no es el objetivo principal de TDD.
**Conceptos importantes que faltan:**
* La respuesta no menciona la importancia de que los tests fallen (etapa Rojo) para indicar que la funcionalidad aún no ha sido implementada.
* No se explica la importancia de refactorizar el código (etapa Refactor) para mantener la calidad y la simplicidad del código.
**Nota:** 6/10
**Justificación:**
La respuesta proporcionada es básica y no aborda los conceptos más importantes de TDD. La respuesta no menciona las etapas del ciclo TDD y no explica la importancia de TDD en el desarrollo de software. Aunque menciona que se trata de una forma de desarrollar software en la que se escriben tests antes de escribir el código, la respuesta no es precisa y omite conceptos importantes.&lt;|eot_id|&gt;</t>
  </si>
  <si>
    <t>Respuesta: en el tdd los tests se escriben antes de escribir el codigo. en el enfoque tradicional los test se escriben el acabar de desarrollar el codigo y se usan para validar que se cumplen las funciones. 
en cambio en el tdd, se escriben los tests que deberia de pasar el codigo cuando esté implementado y despues de desarrolla el codigo pensando en pasar los tests . 
en un enfoque los tests son un mero tramite mientras que en el otro son el centro sobre el que gira todo.</t>
  </si>
  <si>
    <t>**Evaluación de la respuesta**
La respuesta proporcionada muestra una buena comprensión del concepto de TDD (Desarrollo Guiado por Pruebas) y su comparación con un enfoque tradicional de testing en el desarrollo de software. A continuación, se presentan los conceptos correctamente mencionados, los errores detectados y los conceptos importantes que faltan, así como una calificación numérica entre 0 y 10.
**Conceptos correctamente mencionados:**
* La diferencia en la secuencia de escritura de tests entre TDD y el enfoque tradicional.
* La importancia de los tests en TDD como guía para el desarrollo del código.
* La diferencia en la actitud hacia los tests entre TDD y el enfoque tradicional (centro del desarrollo en TDD, mero trámite en el enfoque tradicional).
**Errores detectados:**
* La respuesta no menciona explícitamente la importancia de la secuencia de escritura de tests en TDD (escribir tests antes del código).
* La respuesta no destaca la ventaja de TDD en cuanto a la prevención de errores desde el inicio.
* La respuesta no menciona la importancia de refactorizar el código en TDD.
**Conceptos importantes que faltan:**
* La explicación de por qué TDD es más efectivo que el enfoque tradicional en términos de calidad del software.
* La mención de ejemplos concretos de cómo TDD puede mejorar la calidad del software.
**Calificación: 7/10**
La respuesta proporcionada muestra una buena comprensión del concepto de TDD y su comparación con un enfoque tradicional de testing, pero falta una mayor profundidad y claridad en algunos puntos. La respuesta podría mejorar con la inclusión de ejemplos concretos y una mayor explicación de la importancia de TDD en términos de calidad del software.&lt;|eot_id|&gt;</t>
  </si>
  <si>
    <t>Respuesta: escribir test para probar los escenarios tradicionales y los escenarios más extremos.
cambiar la concepcion de ver el desarrollo frente a la metodologia tradicional.
escribir los tests, desarrollar el codigo para que los pasen. una vez que los pasen, refactorizar, optimizar el codigo . verificar que se pasan los tests, refactorizar si es necesario , etc</t>
  </si>
  <si>
    <t>**Evaluación de la respuesta**
La respuesta proporcionada describe algunas buenas prácticas en TDD, pero no es exhaustiva ni completamente precisa. A continuación, se presentan los conceptos correctamente mencionados, los errores detectados y los conceptos importantes que faltan:
**Conceptos correctamente mencionados:**
* La importancia de escribir tests para probar escenarios tradicionales y extremos.
* La necesidad de cambiar la concepción del desarrollo en relación con la metodología tradicional.
* El ciclo de escritura de tests, desarrollo de código, refactorización y verificación de tests.
**Errores detectados:**
* La respuesta no menciona explícitamente la importancia de escribir solo los tests necesarios para que fallen, lo que es una buena práctica clave en TDD.
* No se menciona la necesidad de evitar la duplicación de código, que es otra buena práctica importante en TDD.
* La respuesta no es clara en cuanto a la frecuencia y el proceso de refactorización, lo que puede llevar a malentendidos sobre la importancia de este paso en TDD.
**Conceptos importantes que faltan:**
* La importancia de escribir tests antes de desarrollar el código, lo que es una característica fundamental de TDD.
* La necesidad de mantener un alto nivel de cubrición de código con tests, lo que garantiza que el software sea robusto y de alta calidad.
* La importancia de utilizar un lenguaje de programación y herramientas adecuados para escribir y ejecutar tests.
**Calificación: 6/10**
La respuesta proporcionada muestra una comprensión básica de las buenas prácticas en TDD, pero no es exhaustiva ni precisa. La respuesta podría mejorar con la inclusión de conceptos clave como la importancia de escribir tests antes del código, la necesidad de evitar la duplicación de código y la frecuencia y proceso de refactorización.&lt;|eot_id|&gt;</t>
  </si>
  <si>
    <t>Respuesta: hay que validar las entradas en nuestro software ya que sino podria generar errores que no espamos ni tenemos contemplado en nuestros tests. un software robusto soporta fallos y tipo de ataques maliciosos</t>
  </si>
  <si>
    <t>**Evaluación de la respuesta**
La respuesta proporcionada aborda la importancia de validar entradas en el contexto de TDD, pero no alcanza la profundidad y claridad necesarias para obtener una calificación alta. A continuación, se presentan los conceptos correctamente mencionados, los errores detectados y los conceptos importantes que faltan:
**Conceptos correctamente mencionados:**
* La importancia de validar entradas en el software.
* La relación entre la validación de entradas y la robustez del software.
**Errores detectados:**
* La respuesta es un poco vaga y no proporciona ejemplos concretos de errores que podrían ocurrir si no se validan las entradas.
* No se menciona explícitamente cómo la validación de entradas se relaciona con la secuencia de TDD (escribir tests antes del código).
* La respuesta no es muy clara en cuanto a cómo la validación de entradas ayuda a prevenir errores y ataques maliciosos.
**Conceptos importantes que faltan:**
* Una explicación más detallada sobre cómo la validación de entradas ayuda a prevenir errores y ataques maliciosos.
* Un ejemplo concreto de cómo la validación de entradas se integra en la secuencia de TDD.
* Una mención a la importancia de la validación de entradas en la mejora de la calidad y mantenibilidad del software.
**Calificación: 6/10**
La respuesta proporcionada es una buena base, pero requiere más profundidad y claridad para alcanzar una calificación alta. Se recomienda agregar ejemplos concretos, explicar con más detalle la relación entre la validación de entradas y la robustez del software, y mencionar explícitamente cómo la validación de entradas se integra en la secuencia de TDD.&lt;|eot_id|&gt;</t>
  </si>
  <si>
    <t>Respuesta: El clico TDD (Test-driven development) se basa en red-green-refactor.
En la primera parte red, se tiene que escribir un test que falle.
En la segunda parte green, se tiene que escribir el códgigo mínimo necesario para que pase el test.
Y en la tercera parte refactor, se refactoriza el código manteniendo los test en verde.
Esta metodología de desarrollo es muy importante porque ayuda a la mantenibilidad del código y a encontrar bugs, ya que nunca se escribe código de producción sin antes tener un test que falle.</t>
  </si>
  <si>
    <t>**Evaluación de la respuesta**
La respuesta proporcionada describe de manera básica el ciclo TDD, pero falta claridad y detalle en algunas partes. A continuación, se presentan los conceptos correctamente mencionados, los errores detectados y los conceptos importantes que faltan:
**Conceptos correctamente mencionados:**
* El ciclo TDD se basa en las etapas "red-green-refactor".
* La primera etapa ("red") implica escribir un test que falle.
* La segunda etapa ("green") implica escribir el código mínimo necesario para que el test pase.
* La tercera etapa ("refactor") implica refactorizar el código manteniendo los tests en verde.
* La importancia del TDD en la mantenibilidad del código y la detección de bugs.
**Errores detectados:**
* La respuesta utiliza términos incorrectos ("códgigo" en lugar de "código") y "red" (que se refiere a la etapa inicial, pero no se explica claramente).
* La respuesta no proporciona una explicación detallada de cada etapa del ciclo TDD.
* No se menciona la importancia de que el test falle en la primera etapa para garantizar que el código cumpla con las especificaciones.
* No se explica cómo el TDD ayuda a encontrar bugs de manera efectiva.
**Conceptos importantes que faltan:**
* La importancia de que el test sea específico y claro en la primera etapa.
* La importancia de que el código sea lo más simple posible en la segunda etapa.
* La importancia de que los tests sean escritos antes del código en la primera etapa.
* La importancia de que el código sea refactorizado para mantener su calidad y legibilidad en la tercera etapa.
**Nota: 7/10**
La respuesta proporcionada es básica y no muestra una comprensión profunda del ciclo TDD y su importancia en el desarrollo de software. Aunque menciona los conceptos básicos, falta claridad y detalle en algunas partes, y no se mencionan conceptos importantes como la importancia de la especificidad de los tests y la refactorización del código.&lt;|eot_id|&gt;</t>
  </si>
  <si>
    <t>Respuesta: 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</si>
  <si>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**Evaluación de la respuesta**
La respuesta proporcionada ofrece una visión general de las diferencias entre el enfoque tradicional de testing y el TDD (Desarrollo Dirigido por Pruebas), pero hay algunos conceptos importantes que faltan y algunos errores en la explicación.
**Conceptos correctamente mencionados:**
* El enfoque de TDD implica pensar en el diseño antes que en la implementación.
* El TDD ayuda a minimizar el código innecesario.
**Errores detectados:**
* La respuesta no menciona la secuencia correcta de TDD, que implica escribir un test que falla, desarrollar el mínimo código necesario para que el test pase y luego refactorizar el código.
* La respuesta no menciona la importancia de la refactorización en TDD.
* La respuesta no explica cómo el TDD ayuda a prevenir errores desde el inicio y a mejorar la calidad del código.
**Conceptos importantes que faltan:**
* La respuesta no menciona la importancia de escribir tests antes del código en TDD.
* No se explica cómo el TDD ayuda a mejorar la robustez del software.
* No se menciona la importancia de la automatización de tests en TDD.
**Calificación: 6/10**
La respuesta proporcionada ofrece una visión general de las diferencias entre el enfoque tradicional de testing y el TDD, pero hay algunos conceptos importantes que faltan y algunos errores en la explicación. Para mejorar, la respuesta debería incluir la secuencia correcta de TDD, la importancia de la refactorización y la automatización de tests, y explicar cómo el TDD ayuda a prevenir errores desde el inicio y a mejorar la calidad del código.&lt;|eot_id|&gt;</t>
  </si>
  <si>
    <t>Respuesta: Las buenas prácticas del TDD son:
No escribir código de producción sin antes tener un tests que falle.
Escribir tests que fallen en el apartado red, luego el código mínimo necesario para que pasen en la fase green y por último refactorizar, es decir, mejorar el código, en la fase refactor.
Al emplear buenas prácticas, se consigue un código consistente, con menor probabilidades de bug. Además el buen uso de estas práctica hace que el ciclo de trabajo este mejor estructurado, dividiendo el trabajo en fases.</t>
  </si>
  <si>
    <t>**Evaluación de la respuesta**
La respuesta proporcionada describe algunas buenas prácticas en TDD (Desarrollo Dirigido por Pruebas), pero no las describe con la precisión y completitud necesarias. A continuación, se presentan los conceptos correctamente mencionados, los errores detectados y los conceptos importantes que faltan:
**Conceptos correctamente mencionados:**
1. La importancia de escribir tests antes de escribir código de producción.
2. La secuencia de TDD: red, verde y refactor.
3. La importancia de refactorizar el código para mejorar su calidad.
**Errores detectados:**
1. La respuesta no menciona la importancia de escribir solo los tests necesarios para que fallen, lo que puede llevar a una sobrecarga de tests innecesarios.
2. No se menciona la importancia de evitar la duplicación de código en la fase de refactor.
3. La respuesta no destaca la importancia de mantener el código consistente y con menor probabilidad de errores.
4. No se menciona la relación entre el uso de buenas prácticas en TDD y la mejora de la calidad del software.
**Conceptos importantes que faltan:**
1. La importancia de escribir tests que sean independientes y no dependan de la implementación del código.
2. La importancia de utilizar un lenguaje de programación y herramientas adecuados para escribir tests.
3. La importancia de integrar la revisión de código y la refactorización en el ciclo de trabajo.
**Nota:** 6/10
La respuesta proporcionada tiene algunos conceptos básicos correctos, pero no cubre la totalidad de las buenas prácticas en TDD. Para mejorar, es importante agregar más detalles y conceptos importantes para que la respuesta sea más completa y precisa.&lt;|eot_id|&gt;</t>
  </si>
  <si>
    <t>Respuesta: 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</si>
  <si>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**Evaluación de la respuesta**
La respuesta proporcionada aborda parcialmente la importancia de validar entradas en el contexto de TDD y su relación con la robustez del software. A continuación, se presentan los conceptos correctamente mencionados, los errores detectados y los conceptos importantes que faltan:
**Conceptos correctamente mencionados:**
1. La importancia de validar entradas en TDD para evitar errores en los tests.
2. La posibilidad de que un error en una entrada haga que el resto del test falle.
3. La necesidad de validar diferentes tipos de entradas no válidas, como números decimales.
**Errores detectados:**
1. La respuesta no menciona explícitamente la importancia de la validación de entradas para prevenir errores en el software en general, no solo en el contexto de los tests.
2. No se explica claramente cómo la validación de entradas contribuye a la robustez del software.
3. La respuesta se centra en la suma de números naturales como ejemplo, lo que no aborda la generalidad de la importancia de la validación de entradas en TDD.
**Conceptos importantes que faltan:**
1. La relación entre la validación de entradas y la prevención de errores en tiempo de ejecución.
2. La importancia de la validación de entradas para mejorar la calidad y la mantenibilidad del software.
3. Ejemplos de casos de uso más amplios en los que la validación de entradas es crucial en TDD.
**Nota:** 6/10
La respuesta proporcionada muestra una comprensión básica de la importancia de la validación de entradas en TDD, pero falta profundidad y claridad en la explicación. Se requiere más desarrollo y ejemplos para abordar la generalidad y la importancia de la validación de entradas en el contexto de TDD y su relación con la robustez del software.&lt;|eot_id|&gt;</t>
  </si>
  <si>
    <t>Respuesta: TDD (Test Driven Development) tiene un ciclo de 3 pasos: Rojo, Verde y Refactor.
Paso 1, Rojo: Se empieza desarrollando el test, este va a fallar ya que sus clases y métodos aún no estarán desarrollados.
Paso 2, Verde: Se desarrolla la clases y los métodos mínimos para que el test pase en verde.
Paso 3, Refactor: Ahora se mejora el test para que sea más eficiente y óptimo(debe seguir en verde).
El ciclo TDD es importante en el desarrollo de software ya que provoca una constante revisión y permite que se testee la mayor parte del codigo de producción.</t>
  </si>
  <si>
    <t>**Evaluación de la respuesta**
La respuesta proporcionada describe el ciclo TDD de manera clara y concisa, aunque con algunas debilidades en la precisión conceptual y la claridad de la explicación.
**Conceptos correctamente mencionados:**
* El ciclo TDD consta de tres pasos: Rojo, Verde y Refactor.
* La importancia de la revisión constante y la prueba del código de producción.
**Errores detectados:**
* La descripción del paso "Rojo" no es precisa, ya que se menciona que se desarrolla el test, lo que no es correcto. En realidad, se escribe el test que falla porque la funcionalidad aún no ha sido implementada.
* En el paso "Verde", se menciona que se desarrollan las clases y métodos mínimos para que el test pase, lo que es parcialmente correcto, pero no se enfatiza la importancia de desarrollar el mínimo código necesario.
* En el paso "Refactor", se menciona que se mejora el test para que sea más eficiente y óptimo, lo que es correcto, pero no se menciona que se debe mantener el test en verde.
* La respuesta no menciona la importancia de la especificación y la guía que proporcionan los tests en el desarrollo de software.
**Conceptos importantes que faltan:**
* La importancia de escribir tests que fallan para guiar el desarrollo.
* La importancia de desarrollar el mínimo código necesario para que el test pase.
* La importancia de mantener los tests en verde y refactorizar regularmente.
**Calificación: 6/10**
La respuesta proporcionada es clara y concisa, pero necesita mejorar en la precisión conceptual y la claridad de la explicación. Se deben agregar más detalles y conceptos importantes para que la respuesta sea más completa y precisa.&lt;|eot_id|&gt;</t>
  </si>
  <si>
    <t>Respuesta: TDD: primero tests y luego código de producción, mayor planificación de clases/métodos antes del desarrollo
Enfoque tradicional testing: primero código de producción y después tests, menos planificación de clases/métodos antes del desarrollo</t>
  </si>
  <si>
    <t>**Evaluación de la respuesta**
La respuesta proporcionada describe la diferencia entre TDD (Testing-Driven Development) y el enfoque tradicional de testing en el desarrollo de software. A continuación, se evalúa la respuesta y se proporciona una calificación numérica entre 0 y 10, junto con una justificación de los conceptos correctamente mencionados, errores detectados y conceptos importantes que faltan.
**Conceptos correctamente mencionados:**
* La respuesta destaca la secuencia de TDD, que implica escribir tests antes del código de producción.
* También menciona la importancia de la planificación de clases/métodos antes del desarrollo en TDD.
**Errores detectados:**
* La respuesta no menciona con claridad el propósito de los tests en TDD, es decir, que sirven como especificación y guía para el desarrollo.
* No se menciona la importancia de la iteración y el refactoring en TDD.
* La descripción del enfoque tradicional de testing es muy breve y no se menciona la posibilidad de errores y problemas que pueden surgir al realizar tests después del desarrollo.
**Conceptos importantes que faltan:**
* No se menciona la importancia de la automatización de tests en TDD.
* No se menciona la relación entre TDD y la calidad del software, es decir, cómo TDD ayuda a prevenir errores y mejorar la robustez del software.
**Calificación: 6/10**
La respuesta proporcionada es una buena base para comparar TDD con el enfoque tradicional de testing, pero falta profundidad y detalle en algunos aspectos importantes. Es importante mencionar que la respuesta no es completamente incorrecta, pero tampoco es completa ni precisa en todos los aspectos.
**Recomendaciones para mejorar:**
* Añadir más detalles sobre el propósito de los tests en TDD y su importancia en el desarrollo de software.
* Mencionar la importancia de la iteración y el refactoring en TDD.
* Describir con más claridad el enfoque tradicional de testing y sus posibles problemas.
* Mencionar la importancia de la automatización de tests en TDD y su relación con la calidad del software.&lt;|eot_id|&gt;</t>
  </si>
  <si>
    <t>Respuesta: Buenas prácticas:
* Nomenclatura: should[acción]when[condición] , shouldDeletewhenIsNull()
* Solo un assertion por cada test
* Que al menos más de un 70% del código sea comprobado por tests</t>
  </si>
  <si>
    <t>**Evaluación de la respuesta**
La respuesta proporcionada describe algunas buenas prácticas en TDD, pero no cubre exhaustivamente el tema. A continuación, se presentan los conceptos correctamente mencionados, los errores detectados y los conceptos importantes que faltan:
**Conceptos correctamente mencionados:**
1. La importancia de utilizar una nomenclatura clara y consistente en los nombres de los tests, como `should[acción]when[condición]`.
2. La recomendación de realizar solo un assertion por cada test.
3. La importancia de que al menos más del 70% del código esté cubierto por tests.
**Errores detectados:**
1. La respuesta no menciona la importancia de refactorizar regularmente, lo que es una buena práctica clave en TDD.
2. No se menciona la necesidad de escribir tests que fallen, lo que es un paso fundamental en el ciclo TDD.
3. La respuesta no aborda la importancia de evitar la duplicación de código, que es otra buena práctica en TDD.
**Conceptos importantes que faltan:**
1. La importancia de escribir tests que cubran escenarios de error y excepciones.
2. La necesidad de utilizar un lenguaje de programación y un framework de testing adecuados para escribir tests.
3. La importancia de mantener los tests actualizados y reflejando los cambios en el código.
**Nota:** 6/10
La respuesta proporcionada muestra un buen esfuerzo en describir algunas buenas prácticas en TDD, pero no cubre exhaustivamente el tema. La respuesta necesita mejorar en la inclusión de conceptos importantes y la corrección de errores.&lt;|eot_id|&gt;</t>
  </si>
  <si>
    <t>Respuesta: Validar entradas en TDD es importante ya que debemos saber en todo momento que dato corresponde a que variable. Si por cualquier mótivo existe un fallo en una variable en el testing, será más fácil localizarlo si esta variable está validada correctamente.</t>
  </si>
  <si>
    <t>**Evaluación de la respuesta**
La respuesta proporcionada aborda parcialmente la importancia de validar entradas en el contexto de TDD, pero no explora exhaustivamente su relación con la robustez del software. A continuación, se presentan los conceptos correctamente mencionados, los errores detectados y los conceptos importantes que faltan:
**Conceptos correctamente mencionados:**
1. La importancia de validar entradas en TDD.
2. La necesidad de identificar claramente qué dato corresponde a qué variable.
**Errores detectados:**
1. La respuesta no menciona explícitamente cómo la validación de entradas contribuye a la robustez del software.
2. No se proporciona ejemplos o ilustraciones concretas para respaldar la importancia de la validación de entradas.
3. La respuesta se centra más en la facilidad de localizar errores que en la prevención de errores en sí.
**Conceptos importantes que faltan:**
1. La relación entre la validación de entradas y la prevención de errores en tiempo de ejecución.
2. El impacto de la validación de entradas en la calidad y mantenibilidad del código.
3. Ejemplos de escenarios en los que la validación de entradas es crucial para evitar errores críticos.
**Calificación: 6/10**
La respuesta proporcionada es básica y no profundiza en la importancia de la validación de entradas en TDD y su relación con la robustez del software. Aunque menciona algunos conceptos importantes, no ofrece ejemplos concretos ni explora exhaustivamente el tema. Se recomienda profundizar en la respuesta y proporcionar ejemplos y ejercicios para ilustrar la importancia de la validación de entradas en TDD.&lt;|eot_id|&gt;</t>
  </si>
  <si>
    <t>Respuesta: TDD es TesT Driven Developement
El ciclo consiste en crear pruebas para que el códgio las falle en primera instancia y despúes refactorizar el código para superarlas.
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
Podemos tener pruebas antes de tener el codigo, y construir para superarlas despues, podemos tener pruebas que hagan un control de errores una vez tengamos ya codigo funcional, o pruebas para implementar nuevas funcionalidades, test de casos limite, etc.
Ahi reside su importancia, la versatilidad y utilidad de cara a un desarrollo software que necesite respaldar unos requisitos de un proyecto y no esperar a la buena fe de un desarrollador</t>
  </si>
  <si>
    <t>**Nota: 6/10**
**Conceptos correctamente mencionados:**
* TDD se refiere a Test Driven Development
* El ciclo TDD implica crear pruebas para que el código las falle en primera instancia
* La importancia de TDD se basa en obtener requisitos claros y superar pruebas para cumplir con ellos
**Errores detectados:**
* La definición de TDD no es precisa, ya que no menciona explícitamente las tres etapas del ciclo (Rojo, Verde y Refactor)
* La explicación sobre la conversación para obtener requisitos es confusa y no está clara
* No se menciona la importancia de mantener las pruebas en verde (Verde) después de refactorizar el código
* La respuesta no es clara sobre la importancia de la versatilidad y utilidad de TDD en el desarrollo de software
**Conceptos importantes que faltan:**
* La explicación sobre la importancia de la robustez del software y la minimización de errores
* La mención de la relación entre TDD y la calidad del código
* La importancia de la refactoring regular para mantener el código limpio y eficiente
**Justificación de la nota:**
La respuesta proporcionada muestra una comprensión básica de TDD, pero no es completa ni precisa. La explicación sobre el ciclo TDD es simplista y no menciona los conceptos clave de Rojo, Verde y Refactor. Además, la respuesta no es clara sobre la importancia de mantener las pruebas en verde y la relación entre TDD y la calidad del código. Por lo tanto, se le asigna una nota de 6/10.&lt;|eot_id|&gt;</t>
  </si>
  <si>
    <t>Respuesta: TDD estandariza y esto es siempre mejor en proyectos de varios desarrolladores o proyectos donde haya unos requisitos que implementar o a quien rendir cuentas.
El desarrollo tradicional no es malo per se, pero depende de las buenas practicas de desarrollo en lugar de estandarizar la codificacion de estas pruebas a superar sin esperar a ver que tan responsable es el equipo de desarrollo.
Además, los ciclos iterativos hacen que la implementacion de nuevas funcionalidades sigan garantizando el buen estado de nuestro codigo al seguir añadiendo requisitos o ramificando el desarrollo.</t>
  </si>
  <si>
    <t>**Evaluación de la respuesta**
La respuesta proporcionada es parcialmente correcta, pero necesita una mayor profundidad y precisión en su análisis. A continuación, se presentan los conceptos correctamente mencionados, errores detectados y conceptos importantes que faltan:
**Conceptos correctamente mencionados:**
* La respuesta reconoce la importancia de la estandarización en proyectos de varios desarrolladores o con requisitos específicos.
* Se menciona que el desarrollo tradicional no es malo en sí mismo, pero depende de las buenas prácticas de desarrollo.
* Se destaca la importancia de los ciclos iterativos en la implementación de nuevas funcionalidades.
**Errores detectados:**
* La respuesta no menciona explícitamente la secuencia y propósito de TDD en comparación con el enfoque tradicional de testing.
* No se analiza la ventaja de escribir tests antes del código en TDD en comparación con la verificación reactiva en el enfoque tradicional.
* No se menciona la importancia de la refactoring en TDD y su impacto en la calidad del código.
**Conceptos importantes que faltan:**
* La respuesta no menciona la importancia de la robustez del software y cómo TDD contribuye a ella.
* No se analiza la relación entre TDD y la reducción de errores en tiempo de ejecución.
* No se menciona la importancia de la simplicidad y la mantenibilidad del código en TDD.
**Calificación: 6/10**
La respuesta proporcionada es buena, pero necesita una mayor profundidad y precisión en su análisis. La calificación se basa en la precisión conceptual, la completitud de la respuesta y el uso correcto de la terminología.&lt;|eot_id|&gt;</t>
  </si>
  <si>
    <t>Respuesta: Ciclos iterativos donde se verifique el exito al superar las pruebas antes de añadir nuevas implementaciones.
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
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</si>
  <si>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**Evaluación de la respuesta**
La respuesta proporcionada describe algunas buenas prácticas en TDD, pero no aborda exhaustivamente el tema. A continuación, se presentan los conceptos correctamente mencionados, errores detectados y conceptos importantes que faltan:
**Conceptos correctamente mencionados:**
* La importancia de realizar ciclos iterativos en TDD para verificar el éxito al superar las pruebas antes de agregar nuevas implementaciones.
* La necesidad de tener claro el tipo de requisitos para desarrollar el código.
* La importancia de reiterar el uso de ciclos para avanzar a otra fase de desarrollo y comprobar que los anteriores test sigan funcionando.
**Errores detectados:**
* La respuesta no menciona explícitamente la importancia de escribir solo los tests necesarios para que fallen, evitar la duplicación de código y refactorizar regularmente, que son buenas prácticas fundamentales en TDD.
* La respuesta no aborda la importancia de la claridad y concisión en la escritura de los tests, que es un aspecto crítico en TDD.
* La respuesta no menciona la importancia de la automatización de los tests y la integración continua en TDD.
**Conceptos importantes que faltan:**
* La importancia de la automatización de los tests y la integración continua en TDD.
* La importancia de la claridad y concisión en la escritura de los tests.
* La importancia de evitar la complejidad en el código y mantenerlo mantenible.
**Calificación: 6/10**
La respuesta proporcionada muestra una comprensión básica de las buenas prácticas en TDD, pero no aborda exhaustivamente el tema. Se requiere más profundidad y claridad en la explicación para evaluarla como una respuesta completa y precisa.&lt;|eot_id|&gt;</t>
  </si>
  <si>
    <t>Respuesta: Es muy importante validar las entradas en el contexto de TDD para asi evitar la entrada de datos no deseados o datos que no cumplan con el formato esperado y, a los que podemos aplicar un formateo hasta que sea el deseado.
Es como un estudio de dataset en una buena practica de datamining o inteligencia artificial, el contemplar como van a venir los datos ayuda a defnir como vamos a tratarlos y como vamos a codificar la solucion sobre ellos.</t>
  </si>
  <si>
    <t>**Evaluación de la respuesta**
La respuesta proporcionada aborda parcialmente la importancia de validar entradas en el contexto de TDD, pero hay algunas carencias en la explicación y algunos conceptos no están claramente relacionados con el tema.
**Conceptos correctamente mencionados:**
* La importancia de validar entradas en TDD para evitar datos no deseados o no esperados.
* La necesidad de considerar el formato de los datos para tratarlos adecuadamente.
**Errores detectados:**
* La respuesta no menciona explícitamente cómo la validación de entradas ayuda a prevenir errores y comportamientos inesperados en el software, como se menciona en la respuesta ideal.
* La analogía con el estudio de dataset en datamining o inteligencia artificial no está claramente relacionada con el tema de TDD y validación de entradas.
* La explicación de "aplicar un formateo hasta que sea el deseado" es vaga y no proporciona claridad sobre qué se entiende por "formateo" en este contexto.
**Conceptos importantes que faltan:**
* La relación entre la validación de entradas y la robustez del software.
* La importancia de la validación de entradas en la fase de diseño y planificación del software.
* Ejemplos concretos de cómo la validación de entradas puede ayudar a prevenir errores en el software.
**Calificación: 6/10**
La respuesta proporcionada tiene algunos puntos fuertes, pero necesita mejorar en claridad, precisión y completitud. La respuesta ideal proporciona una explicación más detallada y precisa sobre la importancia de la validación de entradas en TDD y su relación con la robustez del software.&lt;|eot_id|&gt;</t>
  </si>
  <si>
    <t>Respuesta: 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</si>
  <si>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**Nota:** 9/10
**Conceptos correctamente mencionados:**
* La definición de TDD como una metodología de software.
* El ciclo TDD se compone de tres etapas (Red, Green, Refactor).
* Los principios fundamentales de TDD, como no escribir código de producción sin antes escribir un test que falle, no escribir más de un test unitario del que se necesita para fallar y no escribir más código de producción del necesario para pasar.
* Las ventajas del ciclo TDD, como mejora del diseño del código, documentación activa, confianza en los cambios, menos debugging y cobertura automática.
**Errores detectados:**
* La respuesta no menciona explícitamente las tres etapas del ciclo TDD (Red, Green, Refactor) de manera detallada, aunque se menciona que es "muy específico".
* La respuesta no menciona la importancia del ciclo TDD en el desarrollo de software de manera clara y concisa.
**Conceptos importantes que faltan:**
* La importancia del ciclo TDD en el desarrollo de software, como promover un desarrollo proactivo y asegurar que el código producido cumple con las especificaciones definidas inicialmente por los tests.
* La importancia de la iteración y la mejora continua en el ciclo TDD.
**Recomendación:**
La respuesta es buena, pero podría ser mejorada con una mayor claridad y detalle en la explicación del ciclo TDD y su importancia en el desarrollo de software. Además, se podría mencionar algunos ejemplos de cómo se aplica el ciclo TDD en la práctica.&lt;|eot_id|&gt;</t>
  </si>
  <si>
    <t>Respuesta: 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</si>
  <si>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**Evaluación de la respuesta**
La respuesta proporcionada es parcialmente correcta y precisa en algunos aspectos, pero también contiene errores y omisiones importantes.
**Conceptos correctamente mencionados:**
1. En el ciclo TDD, el test se escribe antes que el código (correcto).
2. Los tests en TDD sirven como validación (correcto).
3. Los tests en TDD son proactivos, es decir, se escriben antes de la implementación del código (correcto).
4. En un enfoque tradicional de testing, el código se escribe antes que los tests (correcto).
5. Los tests en un enfoque tradicional de testing sirven como verificación (correcto).
**Errores y omisiones:**
1. La respuesta no menciona que en un enfoque tradicional de testing, los tests pueden ser opcionales, lo que contrasta con la obligatoriedad de los tests en TDD.
2. La respuesta no destaca la importancia de que los tests en TDD sean obligatorios y ayuden a prevenir errores desde el inicio.
3. La respuesta no menciona que en un enfoque tradicional de testing, los tests pueden ser realizados después de la implementación del código, lo que puede llevar a una verificación reactiva.
**Nota: 6/10**
La respuesta proporcionada es correcta en algunos aspectos, pero no aborda completamente la comparativa entre TDD y un enfoque tradicional de testing. Se necesitan más detalles y precisiones para evaluar correctamente la importancia de los tests en TDD y su diferencia con los enfoques tradicionales.
**Recomendaciones para mejorar la respuesta:**
* Añadir la importancia de la obligatoriedad de los tests en TDD y su papel en la prevención de errores.
* Destacar la diferencia entre la verificación proactiva en TDD y la verificación reactiva en un enfoque tradicional de testing.
* Mencionar que en un enfoque tradicional de testing, los tests pueden ser opcionales y realizados después de la implementación del código.&lt;|eot_id|&gt;</t>
  </si>
  <si>
    <t>Respuesta: 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</si>
  <si>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**Evaluación de la respuesta**
La respuesta proporcionada describe con claridad las buenas prácticas en TDD (Desarrollo Guiado por Pruebas) y su impacto en la calidad del software. A continuación, se presentan los conceptos correctamente mencionados, los errores detectados y los conceptos importantes que faltan:
**Conceptos correctamente mencionados:**
1. El ciclo TDD se compone de tres etapas: RED (Rojo), GREEN (Verde) y REFACTOR (Refactorizar).
2. La importancia de escribir los tests antes del código.
3. La necesidad de minimizar el código en la etapa GREEN.
4. La importancia de refactorizar el código en la etapa REFACTOR sin que los tests fallen.
**Errores detectados:**
1. La respuesta no menciona explícitamente la importancia de escribir solo los tests necesarios para que fallen en la etapa RED.
2. No se menciona la importancia de evitar la duplicación de código en el desarrollo guiado por pruebas.
**Conceptos importantes que faltan:**
1. La importancia de escribir tests automatizados y repetibles.
2. La necesidad de mantener un alto nivel de cubrición de código con tests.
3. La importancia de integrar TDD con otras prácticas de desarrollo de software, como la refactorización continua y la revisión de código.
**Calificación: 8/10**
La respuesta proporcionada es clara y concisa, y describe con precisión las buenas prácticas en TDD y su impacto en la calidad del software. Sin embargo, faltan algunos conceptos importantes y no se mencionan errores comunes que deben evitarse en el desarrollo guiado por pruebas.&lt;|eot_id|&gt;</t>
  </si>
  <si>
    <t>Respuesta: 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</si>
  <si>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**Evaluación de la respuesta**
La respuesta proporcionada describe el ciclo TDD de manera simplificada, pero con algunos errores conceptuales. A continuación, se presentan los conceptos correctamente mencionados, los errores detectados y los conceptos importantes que faltan:
**Conceptos correctamente mencionados:**
* El ciclo TDD se compone de tres etapas.
* La primera etapa se refiere a un estado en el que el test falla (no se puede ejecutar).
* La segunda etapa se refiere a un estado en el que el test pasa sin errores.
* La tercera etapa se refiere a una mejora del código.
**Errores detectados:**
* La respuesta utiliza términos incorrectos: "Red" y "Green" no son los términos estándar utilizados en el ciclo TDD. En realidad, se utilizan los términos "Fallo" o "Rojo" para la primera etapa y "Éxito" o "Verde" para la segunda etapa.
* La respuesta no menciona la importancia del ciclo TDD en el desarrollo de software.
* La respuesta no describe la tercera etapa de manera clara y concisa.
**Conceptos importantes que faltan:**
* La descripción de la primera etapa debería incluir que se escribe un test que falla porque la funcionalidad aún no ha sido implementada.
* La descripción de la segunda etapa debería incluir que se desarrolla el mínimo código necesario para que el test pase.
* La descripción de la tercera etapa debería incluir que se mejora el código manteniendo todos los tests en "verde".
**Calificación: 4/10**
La respuesta proporcionada muestra una comprensión básica del ciclo TDD, pero necesita ser más precisa y completa. La falta de descripción clara y concisa de las tres etapas y la utilización de términos incorrectos reducen la calificación.&lt;|eot_id|&gt;</t>
  </si>
  <si>
    <t>Respuesta: EL enfoque tradicional de testing en el desarrollo del software es una forma de realizar test distinta a la de TDD ya que se puede realizar de forma más rapida y que se entienda mejor. Pero el TDD es una forma mas compleja y mas difícil.</t>
  </si>
  <si>
    <t>**Evaluación de la respuesta**
La respuesta proporcionada intenta comparar el enfoque tradicional de testing con TDD, pero no logra capturar con precisión las diferencias fundamentales entre ambos enfoques. A continuación, se presentan algunos conceptos incorrectos y conceptos importantes que faltan en la respuesta:
**Conceptos incorrectos:**
* La respuesta afirma que el enfoque tradicional de testing es más rápido y fácil de entender que TDD. Sin embargo, en realidad, TDD puede ser más efectivo a largo plazo ya que ayuda a identificar errores y problemas en la fase de desarrollo temprana, lo que puede ahorrar tiempo y esfuerzo en la fase de pruebas y depuración.
* La respuesta describe TDD como una forma "compleja y difícil", lo que no es necesariamente cierto. TDD puede ser un enfoque más estructurado y sistemático que el enfoque tradicional, pero no necesariamente más complejo.
**Conceptos importantes que faltan:**
* La respuesta no menciona la importancia de escribir tests antes del código en TDD, lo que es un aspecto fundamental de este enfoque.
* No se menciona la diferencia en la secuencia y el propósito de los tests en TDD y enfoque tradicional, lo que es clave para comprender las ventajas y desventajas de cada enfoque.
* No se menciona la importancia de la refactorización en TDD, que es un paso crucial para mantener el código limpio y fácil de mantener.
**Calificación: 4/10**
La respuesta proporcionada muestra una comprensión básica del concepto de TDD, pero no logra capturar con precisión las diferencias fundamentales con el enfoque tradicional de testing. La respuesta necesita mejorar en la precisión conceptual, la completitud y la claridad de la explicación.&lt;|eot_id|&gt;</t>
  </si>
  <si>
    <t>Respuesta: En el TDD se utiliza la palabra FIRST, fast, implementable, repetitible, self-vis, timely. Timely, realida cada paso en el tiempo adecuado. Fast lo realiza rápido. Self-vis, quiere decir que posee un autoservicio,</t>
  </si>
  <si>
    <t>**Evaluación de la respuesta**
La respuesta proporcionada no cumple con las expectativas de una respuesta correcta y completa sobre las buenas prácticas en TDD y su impacto en la calidad del software.
**Conceptos correctamente mencionados:**
* La respuesta menciona la palabra "FIRST", que es un acrónimo comúnmente utilizado para recordar las buenas prácticas en TDD.
* La respuesta también menciona algunos de los conceptos que componen el acrónimo FIRST, como "fast" y "self-vis".
**Errores detectados:**
* La respuesta no explica con claridad el significado de cada letra del acrónimo FIRST.
* La respuesta no menciona las otras letras del acrónimo, como "I" (Independiente), "R" (Repetible) y "E" (Elimina el testeo de integración).
* La respuesta no explica cómo las buenas prácticas en TDD impactan en la calidad del software de manera clara y concisa.
* La respuesta contiene errores gramaticales y de ortografía, como "realida" en lugar de "realidad" y "self-vis" en lugar de "self-verificable".
**Conceptos importantes que faltan:**
* La respuesta no menciona la importancia de escribir solo los tests necesarios para que fallen, evitar la duplicación de código y refactorizar regularmente.
* La respuesta no explica cómo las buenas prácticas en TDD pueden ayudar a reducir la complejidad del código y mejorar su mantenibilidad.
**Calificación: 2/10**
La respuesta proporcionada no cumple con las expectativas de una respuesta correcta y completa sobre las buenas prácticas en TDD y su impacto en la calidad del software. Aunque menciona algunos conceptos correctos, la respuesta está llena de errores y omisiones que la hacen inaceptable.&lt;|eot_id|&gt;</t>
  </si>
  <si>
    <t>Respuesta: si no validas las entradas de TDD no sabras el porccentaje por lo que no sabes si te darán error los tests</t>
  </si>
  <si>
    <t>**Evaluación de la respuesta**
La respuesta proporcionada no aborda completamente la importancia de validar entradas en el contexto de TDD y su relación con la robustez del software.
**Conceptos correctamente mencionados:**
* La importancia de validar entradas en TDD
* La relación con la robustez del software
**Errores detectados:**
* La respuesta es muy breve y no proporciona una explicación clara y completa sobre por qué es importante validar entradas en TDD.
* No se menciona cómo la validación de entradas ayuda a prevenir errores y comportamientos inesperados en el software.
* No se menciona cómo la validación de entradas mejora la calidad del código y facilita el mantenimiento y la comprensión del mismo.
**Conceptos importantes que faltan:**
* La importancia de escribir tests para validar las entradas antes de implementar la lógica del negocio.
* La relación entre la validación de entradas y la reducción de errores en tiempo de ejecución.
* La importancia de la validación de entradas para asegurar que el software sea más robusto y fiable.
**Nota:** 4/10
**Recomendación:**
La respuesta debería ser más completa y proporcionar una explicación clara y detallada sobre la importancia de validar entradas en TDD y su relación con la robustez del software. Se debería mencionar cómo la validación de entradas ayuda a prevenir errores y comportamientos inesperados en el software, y cómo mejora la calidad del código y facilita el mantenimiento y la comprensión del mismo.&lt;|eot_id|&gt;</t>
  </si>
  <si>
    <t>Respuesta: 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</si>
  <si>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**Evaluación de la respuesta**
La respuesta proporcionada describe el ciclo TDD (Desarrollo Guiado por Pruebas) de manera general, aunque con algunos errores y omisiones. A continuación, se presentan los conceptos correctamente mencionados, los errores detectados y los conceptos importantes que faltan:
**Conceptos correctamente mencionados:**
1. El ciclo TDD consiste en tres fases: Rojo, Verde y Refactor.
2. La fase Rojo se refiere a la escritura de un test que falla porque la funcionalidad aún no ha sido implementada.
3. La fase Verde se refiere a la implementación del código mínimo necesario para que el test pase.
4. La fase de Refactor se refiere a la mejora del código.
5. La importancia de la robustez del software.
**Errores detectados:**
1. La respuesta no menciona explícitamente la importancia de que el test falla porque la funcionalidad aún no ha sido implementada.
2. La fase de Refactor no se describe con precisión, ya que solo se menciona la mejora del código, pero no se especifica qué aspectos se deben mejorar (por ejemplo, la estructura, la legibilidad, la seguridad, etc.).
3. La respuesta no menciona la importancia de la repetición del ciclo TDD para garantizar la calidad del software.
**Conceptos importantes que faltan:**
1. La importancia de escribir tests antes del código.
2. La relación entre el ciclo TDD y la robustez del software.
3. La importancia de la repetición del ciclo TDD para garantizar la calidad del software.
**Nota: 6/10**
La respuesta proporcionada muestra una buena comprensión del ciclo TDD, pero faltan algunos detalles importantes y no se explica con claridad y precisión. Se recomienda mejorar la respuesta para incluir los conceptos faltantes y corregir los errores detectados.
**Sugerencias de mejora:**
1. Incluir la importancia de escribir tests antes del código.
2. Describir con precisión la fase de Refactor.
3. Mencionar la importancia de la repetición del ciclo TDD para garantizar la calidad del software.
4. Incluir ejemplos concretos de cómo se aplica el ciclo TDD en un proyecto de software.&lt;|eot_id|&gt;</t>
  </si>
  <si>
    <t>Respuesta: 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</si>
  <si>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**Evaluación de la respuesta**
La respuesta proporcionada muestra una comprensión básica del concepto de TDD (Desarrollo Guiado por Pruebas) y su comparación con el enfoque tradicional de testing en el desarrollo de software. A continuación, se presentan los conceptos correctamente mencionados, los errores detectados y los conceptos importantes que faltan:
**Conceptos correctamente mencionados:**
1. El ciclo TDD implica implementar el test antes que el código.
2. El enfoque tradicional de testing implica implementar el código primero y luego realizar pruebas.
3. El ciclo TDD tiene ventajas frente al enfoque tradicional, ya que permite identificar y prevenir errores desde el principio.
**Errores detectados:**
1. La respuesta no es clara y concisa, y requiere una mayor claridad en la presentación de los conceptos.
2. No se menciona explícitamente la importancia de la validación de entradas en el contexto de TDD, lo que es un aspecto crucial en la robustez del software.
3. No se proporciona un ejemplo concreto y detallado para ilustrar la diferencia entre TDD y el enfoque tradicional, lo que dificulta la comprensión del concepto.
**Conceptos importantes que faltan:**
1. La importancia de refactorizar el código en TDD para mantener su calidad y mantenibilidad.
2. La relación entre TDD y la robustez del software, es decir, cómo TDD ayuda a prevenir errores y comportamientos inesperados.
3. La importancia de escribir tests exhaustivos y cubrir todos los escenarios posibles en TDD.
**Nota: 7/10**
La respuesta proporcionada muestra una comprensión básica de los conceptos, pero requiere una mayor claridad y profundidad en la presentación. Además, falta un ejemplo concreto y detallado para ilustrar la diferencia entre TDD y el enfoque tradicional.&lt;|eot_id|&gt;</t>
  </si>
  <si>
    <t>Respuesta: 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</si>
  <si>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**Evaluación de la respuesta**
La respuesta proporcionada describe algunas buenas prácticas en TDD, pero no cubre todos los aspectos importantes de la metodología. A continuación, se presentan los conceptos correctamente mencionados, los errores detectados y los conceptos importantes que faltan:
**Conceptos correctamente mencionados:**
* Implementar el test antes que el código (TDD)
* Considerar casos edge (casos que suelen causar fallos) para mejorar la robustez del código
* Programar el código mínimo para que los tests pasen
* Refactorizar el código
**Errores detectados:**
* La respuesta no menciona la importancia de escribir solo los tests necesarios para que fallen, lo que ayuda a mantener el desarrollo enfocado y eficiente.
* No se menciona la importancia de evitar la duplicación de código en el desarrollo.
* La respuesta no destaca la importancia de la iteración y la retroalimentación en el proceso de TDD.
**Conceptos importantes que faltan:**
* La importancia de la claridad y concisión en los tests
* La necesidad de mantener los tests actualizados y relevantes a medida que el código evoluciona
* La importancia de la documentación y la comunicación en el equipo de desarrollo para garantizar que todos estén alineados con la metodología TDD
**Calificación: 7/10**
La respuesta proporcionada muestra una buena comprensión de algunos conceptos básicos de TDD, pero no cubre todos los aspectos importantes de la metodología. Con un poco más de profundidad y detalle, la respuesta podría haber obtenido una calificación más alta.&lt;|eot_id|&gt;</t>
  </si>
  <si>
    <t>Respuesta: Validar las entradas en el contexto del TDD viene relaccionado con los datos que mete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</si>
  <si>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**Nota: 8/10**
**Conceptos correctamente mencionados:**
* La importancia de validar entradas en el contexto de TDD.
* La necesidad de verificar que los datos ingresados por el usuario sean adecuados y válidos.
* La relación entre la validación de entradas y la robustez del software.
**Errores detectados:**
* La respuesta no menciona explícitamente la importancia de escribir tests para validar las entradas antes de implementar la lógica del negocio.
* No se menciona la idea de que la validación de entradas ayuda a prevenir errores y comportamientos inesperados en el software.
**Conceptos importantes que faltan:**
* La idea de que la validación de entradas no solo es importante para prevenir errores, sino que también ayuda a mejorar la calidad del código y facilitar el mantenimiento.
* La importancia de refactorizar el código para asegurarse de que la validación de entradas sea eficiente y efectiva.
**Justificación:**
La respuesta proporcionada muestra una buena comprensión de la importancia de validar entradas en el contexto de TDD y su relación con la robustez del software. Sin embargo, no aborda algunos aspectos importantes de la validación de entradas, como la importancia de escribir tests para validar las entradas antes de implementar la lógica del negocio y la necesidad de refactorizar el código para asegurarse de que la validación sea eficiente y efectiva. En general, la respuesta es clara y concisa, pero podría ser más completa y detallada.
**Recomendaciones para mejorar:**
* Incluir la idea de que la validación de entradas ayuda a prevenir errores y comportamientos inesperados en el software.
* Mencionar la importancia de escribir tests para validar las entradas antes de implementar la lógica del negocio.
* Destacar la importancia de refactorizar el código para asegurarse de que la validación de entradas sea eficiente y efectiva.&lt;|eot_id|&gt;</t>
  </si>
  <si>
    <t>Respuesta: El ciclo TDD consta de 3 apartados:
Red: este hace que se vea un error
Green: con este hay que poner lo mínimo para que no de error
Report: y este es una mejora del anterior para que esté bien
Es importante para saber el grado de código que hay en estos apartados y el porcentaje, aunque tampoco te garantizas que aunque haya un 100% no de bugs</t>
  </si>
  <si>
    <t>**Evaluación de la respuesta**
La respuesta proporcionada describe el ciclo TDD (Test-Driven Development) de manera simplificada, pero con errores y conceptos incompletos. A continuación, se presentan los conceptos correctamente mencionados, los errores detectados y los conceptos importantes que faltan:
**Conceptos correctamente mencionados:**
* El ciclo TDD consta de tres etapas: Red, Green y Refactor (no Report, como se menciona en la respuesta).
* La etapa Red se refiere a la creación de un test que falla.
* La etapa Green se refiere a la implementación del código mínimo necesario para que el test pase.
* La etapa Refactor se refiere a la mejora del código manteniendo todos los tests en verde.
**Errores detectados:**
* La etapa Report no es un término correcto en el contexto del ciclo TDD. La etapa correcta es Refactor.
* La respuesta menciona el "porcentaje" de código en cada etapa, lo que no es un concepto relevante en el ciclo TDD.
* La respuesta sugiere que un 100% de código no garantiza la ausencia de bugs, lo que es cierto, pero no es un concepto directamente relacionado con el ciclo TDD.
**Conceptos importantes que faltan:**
* La respuesta no menciona la importancia de la iteración en el ciclo TDD, es decir, que el proceso se repite varias veces hasta que el código esté completo y funcional.
* No se menciona la importancia de la especificación de los tests y cómo estos se utilizan como guía para el desarrollo del código.
**Calificación: 4/10**
La respuesta proporcionada es incompleta y contiene errores conceptuales, pero muestra una comprensión básica del ciclo TDD. La respuesta podría mejorar con la inclusión de la iteración y la importancia de la especificación de los tests.&lt;|eot_id|&gt;</t>
  </si>
  <si>
    <t>Respuesta: 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</si>
  <si>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**Evaluación de la respuesta**
La respuesta proporcionada ofrece una visión general de la comparación entre TDD (Desarrollo Dirigido por Pruebas) y un enfoque tradicional de testing en el desarrollo de software. A continuación, se presentan los conceptos correctamente mencionados, los errores detectados y los conceptos importantes que faltan en la respuesta:
**Conceptos correctamente mencionados:**
1. La respuesta menciona la rápidez y la cobertura de TDD, lo que es cierto, ya que TDD permite escribir pruebas antes del código, lo que puede acelerar el desarrollo y asegurar una mayor cobertura de testing.
2. La respuesta también menciona la claridad de TDD, lo que es cierto, ya que TDD puede proporcionar una comprensión clara del código y su comportamiento.
**Errores detectados:**
1. La respuesta no menciona la secuencia de TDD (escribir tests antes del código) y su propósito (servir como especificación y guía para el desarrollo), lo que es un aspecto fundamental de TDD.
2. La respuesta no menciona la importancia de la refactorización en TDD, que es un paso crítico para mantener el código limpio y eficiente.
3. La respuesta no compara con precisión la complejidad de TDD y el enfoque tradicional, ya que TDD puede requerir más esfuerzo inicial, pero a largo plazo puede reducir la complejidad del código.
**Conceptos importantes que faltan:**
1. La respuesta no menciona la importancia de la cobertura de testing en TDD, que es esencial para asegurar la calidad del código.
2. No se menciona la diferencia en la mentalidad entre TDD y el enfoque tradicional, es decir, TDD es un enfoque proactivo, mientras que el enfoque tradicional es reactivo.
**Calificación: 6/10**
La respuesta proporcionada ofrece una visión general de la comparación entre TDD y el enfoque tradicional, pero faltan conceptos importantes y no se presentan con la precisión y claridad necesarias.&lt;|eot_id|&gt;</t>
  </si>
  <si>
    <t>Respuesta: Las buenas prácticas de TDD son las siguientes:
* Fast: hace que sea más rápido
* I
* R
* Self-service: posee un autoservicio
* Timely: hace que esté todo a tiempo
TDD hace que todo esté de manera mas clara y tengo un mejor diseño.</t>
  </si>
  <si>
    <t>**Evaluación de la respuesta**
La respuesta proporcionada no cumple con las expectativas esperadas en términos de claridad y relevancia en el contexto de TDD (Desarrollo Dirigido por Pruebas). A continuación, se presentan los conceptos correctamente mencionados, errores detectados y conceptos importantes que faltan:
**Conceptos correctamente mencionados:**
* La respuesta menciona el término "TDD" aunque no lo define claramente.
* La respuesta menciona algunas palabras que podrían estar relacionadas con buenas prácticas, como "Fast", "Timely" y "Self-service".
**Errores detectados:**
* La respuesta no proporciona una definición clara de buenas prácticas en TDD.
* Las palabras mencionadas no están relacionadas con las buenas prácticas en TDD, sino que parecen ser conceptos generales o irrelevantes en este contexto.
* La respuesta no menciona conceptos importantes como la escritura de tests, la refactorización, la simplicidad y la claridad en el código.
**Conceptos importantes que faltan:**
* La importancia de escribir tests antes de implementar el código.
* La necesidad de refactorizar el código regularmente para mantener su simplicidad y claridad.
* La importancia de enfocarse en la simplicidad y la claridad en el diseño y la implementación del código.
* La relación entre las buenas prácticas en TDD y la calidad del software, como la robustez, la mantenibilidad y la escalabilidad.
**Calificación: 2/10**
La respuesta no cumple con las expectativas esperadas en términos de claridad y relevancia en el contexto de TDD. La respuesta parece ser una mezcla de conceptos irrelevantes y no proporciona una definición clara de buenas prácticas en TDD.&lt;|eot_id|&gt;</t>
  </si>
  <si>
    <t>Respuesta: Es importante la validacion de entradas ya que te pueden dar distintos errores</t>
  </si>
  <si>
    <t>**Evaluación de la respuesta**
La respuesta proporcionada es breve y menciona la importancia de validar entradas en el contexto de TDD, pero no profundiza lo suficiente en cómo se relaciona con la robustez del software. A continuación, se presentan los conceptos correctamente mencionados, los errores detectados y los conceptos importantes que faltan:
**Conceptos correctamente mencionados:**
* La importancia de validar entradas en TDD.
* La posibilidad de errores en la validación de entradas.
**Errores detectados:**
* La respuesta es muy breve y no proporciona una explicación clara de cómo la validación de entradas contribuye a la robustez del software.
* No se menciona cómo la validación de entradas puede prevenir errores y comportamientos inesperados en el software.
**Conceptos importantes que faltan:**
* La relación entre la validación de entradas y la prevención de errores en tiempo de ejecución.
* La importancia de la validación de entradas para mejorar la calidad y mantenibilidad del software.
**Nota:** 4/10
**Justificación:** La respuesta proporcionada es básica y no muestra una comprensión profunda de la importancia de la validación de entradas en TDD y su relación con la robustez del software. Para mejorar, la respuesta debería proporcionar una explicación más detallada y clara de cómo la validación de entradas contribuye a la creación de software robusto y de alta calidad.
**Sugerencias de mejora:**
* Proporcionar ejemplos de errores que pueden ocurrir si no se valida correctamente las entradas.
* Describir cómo la validación de entradas puede mejorar la calidad y mantenibilidad del software.
* Incluir una explicación clara de cómo la validación de entradas se relaciona con la robustez del software.&lt;|eot_id|&gt;</t>
  </si>
  <si>
    <t>Respuesta: El ciclo tdd conocido como test drive development sigue un ciclo compuesto por tres tareas críticas:
La primera es realizar un test que falle (RED):  Esto se realiza para ver que elementos devemos incluir en nuestro api y ver que nos esta fallando. Con esto nos podemos hacer una idea de como debemos estructurar nuestro programa.
La segunda fase es realizar un test GREEN. El objetivo principal de este ciclo es hacer que todos los test pasen, con la ayuda del test rojo donde se nos indica que nos esta fallando. Completamos los fallos y los campos que están incompletos y realizaremos el test.
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</si>
  <si>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**Evaluación de la respuesta**
La respuesta proporcionada describe el ciclo TDD (Test-Driven Development) y su importancia en el desarrollo de software. A continuación, se presentan los conceptos correctamente mencionados, errores detectados y conceptos importantes que faltan, junto con una calificación numérica entre 0 y 10.
**Conceptos correctamente mencionados:**
* El ciclo TDD se compone de tres fases: test que falle (RED), test que pase (GREEN) y refactor.
* La primera fase (RED) se realiza para identificar los elementos que deben incluirse en el API y detectar errores.
* La segunda fase (GREEN) se enfoca en hacer que todos los tests pasen con la ayuda del test rojo.
* La tercera fase (Refactor) se utiliza para mejorar el código sin modificarlo, estructurando el programa y agregando carpetas.
**Errores detectados:**
* La respuesta no menciona explícitamente la importancia del ciclo TDD en el desarrollo de software, aunque se sugiere que ayuda a estructurar el programa.
* No se explica claramente cómo el ciclo TDD promueve un desarrollo proactivo y asegura que el código cumpla con las especificaciones definidas.
* La respuesta utiliza términos como "test rojo" y "test verde" sin explicar su significado en el contexto del ciclo TDD.
**Conceptos importantes que faltan:**
* No se menciona que el ciclo TDD se utiliza para asegurar que el código sea robusto y fácil de mantener.
* No se explica cómo el refactor se utiliza para mejorar la estructura y la legibilidad del código.
* No se menciona que el ciclo TDD se utiliza para reducir la complejidad del código y mejorar su mantenibilidad.
**Calificación: 6/10**
La respuesta proporcionada describe el ciclo TDD de manera básica, pero no profundiza en la importancia y los beneficios de este enfoque en el desarrollo de software. La respuesta también contiene errores y omisiones en la explicación de los conceptos clave.&lt;|eot_id|&gt;</t>
  </si>
  <si>
    <t>Respuesta: 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  su proceso es largo. Tampoco nos garantiza el cubrir todos los errores y elementos. Pero consigue que el programa quede limpio y ordenado.</t>
  </si>
  <si>
    <t>**Evaluación de la respuesta**
La respuesta proporcionada presenta algunos conceptos correctos sobre TDD, pero también contiene errores y omisiones importantes. A continuación, se presentan los conceptos correctos y erróneos mencionados en la respuesta:
**Conceptos correctos:**
* La respuesta menciona que TDD puede ayudar a tener un programa más limpio y legible.
* También se menciona que TDD facilita la identificación de errores y la cobertura de elementos de prueba.
* La respuesta reconoce que el proceso de TDD puede ser más tedioso y largo que otros enfoques.
**Conceptos erróneos:**
* La respuesta sugiere que TDD garantiza la cobertura de todos los errores y elementos, lo cual no es cierto. TDD busca cubrir los casos de prueba específicos definidos, pero no garantiza la cobertura exhaustiva de todos los escenarios posibles.
* La respuesta no menciona la importancia de la validación de entradas en TDD, que es un aspecto clave para prevenir errores y comportamientos inesperados en el software.
* No se menciona la importancia de la refactorización en TDD, que es esencial para mantener el código limpio y ordenado.
**Conceptos importantes que faltan:**
* La respuesta no menciona la secuencia de TDD (escribir tests que fallan, desarrollar código, refactorizar) y su importancia en el proceso de desarrollo.
* No se menciona la relación entre TDD y la robustez del software, que es un aspecto crucial en el desarrollo de software.
**Nota:** 6/10
**Justificación:** La respuesta presenta algunos conceptos correctos sobre TDD, pero también contiene errores y omisiones importantes. La respuesta no muestra una comprensión profunda del proceso de TDD y sus beneficios, lo que reduce su valor.&lt;|eot_id|&gt;</t>
  </si>
  <si>
    <t>Respuesta: Organización: Los tdd nos permiten organizar mejor los servicios 
Pruebas: A diferencia de otras erramientas de testing los tdd te ofrecen más pruebas para evitar menos fallos
Los TDD utilizan microservicios para realizar las pruebas y incluir los elementos de los datos que van a ser tratados
Realizar un refactor para organizar nuestro código
Empezar con errores para luego evitar que aparezcan con nuestra aplicación avanzada</t>
  </si>
  <si>
    <t>**Evaluación de la respuesta**
La respuesta proporcionada intenta describir las buenas prácticas en TDD (Desarrollo Guiado por Pruebas) y su impacto en la calidad del software. A continuación, se presentan los conceptos correctamente mencionados, los errores detectados y los conceptos importantes que faltan en la respuesta:
**Conceptos correctamente mencionados:**
1. Organización: La respuesta menciona la importancia de la organización en el desarrollo guiado por pruebas, lo que es un aspecto clave en TDD.
2. Pruebas: Se destaca la importancia de las pruebas en TDD para evitar fallos, lo que es un concepto fundamental en el desarrollo de software.
3. Refactor: La respuesta menciona la importancia de realizar un refactor para organizar el código, lo que es una buena práctica en TDD.
**Errores detectados:**
1. Falta de claridad: La respuesta no es clara y concisa en la descripción de las buenas prácticas en TDD.
2. Uso incorrecto de términos: La respuesta utiliza términos como "erramientas de testing" y "microservicios" de manera incorrecta o sin contexto.
3. Falta de conexión entre conceptos: La respuesta no establece una conexión clara entre las buenas prácticas en TDD y su impacto en la calidad del software.
4. Uso de frases ambiguas: Frases como "empezar con errores para luego evitar que aparezcan con nuestra aplicación avanzada" no están claras y no se relacionan con las buenas prácticas en TDD.
**Conceptos importantes que faltan:**
1. Escribir solo los tests necesarios: Una buena práctica en TDD es escribir solo los tests necesarios para que fallen, lo que no se menciona en la respuesta.
2. Evitar la duplicación de código: Otra buena práctica en TDD es evitar la duplicación de código, lo que tampoco se menciona en la respuesta.
3. Impacto en la calidad del software: La respuesta no explora en detalle el impacto de las buenas prácticas en TDD en la calidad del software, como la mejora de la robustez, la mantenibilidad y la escalabilidad.
**Nota:** 4/10
La respuesta proporcionada muestra algunos conceptos básicos de TDD, pero no es clara, concisa ni completa en la descripción de las buenas prácticas en TDD y su impacto en la calidad del software.&lt;|eot_id|&gt;</t>
  </si>
  <si>
    <t>Respuesta: Es importante validar las entradas para que nuestro test no de falsos positivos ya que es muy facil que suceda en el desarrollo de software. Validando las entradas evitamos estos falsos positivos. 
Un ejemplo sería que un dato de tipo int el programa lo tome como un string.</t>
  </si>
  <si>
    <t>**Evaluación de la respuesta**
La respuesta proporcionada aborda la importancia de validar entradas en el contexto de TDD, aunque de manera incompleta y con errores conceptuales. A continuación, se presentan los conceptos correctamente mencionados, los errores detectados y los conceptos importantes que faltan:
**Conceptos correctamente mencionados:**
* La importancia de validar entradas en TDD.
* La posibilidad de obtener falsos positivos en los tests si no se validan las entradas.
**Errores detectados:**
* La respuesta se centra principalmente en evitar falsos positivos, pero no menciona explícitamente cómo esto se relaciona con la robustez del software.
* No se proporciona un ejemplo claro y conciso de cómo validar entradas en TDD.
* La respuesta no menciona la importancia de validar entradas para prevenir errores y comportamientos inesperados en el software.
**Conceptos importantes que faltan:**
* La relación entre la validación de entradas y la robustez del software.
* La importancia de validar entradas para asegurar que el software funcione correctamente en diferentes escenarios y condiciones.
* Un ejemplo práctico de cómo validar entradas en TDD, como utilizar patrones de validación o librerías de validación.
**Calificación: 4/10**
La respuesta proporcionada no aborda completamente la importancia de validar entradas en TDD y no ofrece una visión clara y completa de cómo se relaciona con la robustez del software. Aunque menciona la importancia de evitar falsos positivos, no se profundiza en otros aspectos importantes de la validación de entradas en TDD.&lt;|eot_id|&gt;</t>
  </si>
  <si>
    <t>Respuesta: El TDD o test-driven-development es un ciclo de test que consta en implementar antes los test que el codigo, este ciclo consta de 3 fases
1. red: haces el test antes de codigo por lo que dará fallo
2. green: pones el codigo minimo para que los test pasen
3. refactor: vuelves a mirar el codigo para cambiar alguna cosa como la estructura para que qeude mejor, pero siempre que pasen los test otra vez
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</si>
  <si>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**Evaluación de la respuesta**
La respuesta proporcionada es una buena descripción del ciclo TDD y su importancia en el desarrollo de software. A continuación, se presentan los conceptos correctamente mencionados, errores detectados y conceptos importantes que faltan:
**Conceptos correctamente mencionados:**
* El ciclo TDD consta de 3 fases: Rojo, Verde y Refactor.
* En la fase Rojo, se escribe el test antes del código, que falla porque la funcionalidad aún no ha sido implementada.
* En la fase Verde, se desarrolla el código mínimo necesario para que el test pase.
* En la fase Refactor, se mejora el código manteniendo todos los tests en verde.
* La importancia del TDD radica en que los códigos son más seguros y se intenta garantizar que haya menos bugs.
**Errores detectados:**
* La respuesta no menciona explícitamente que el objetivo del test en la fase Rojo es fallar porque la funcionalidad aún no ha sido implementada.
* No se explica claramente cómo se relaciona la fase Verde con la implementación del código.
* No se menciona la importancia de la validación de entradas en el contexto del TDD.
* La respuesta no es tan clara y concisa como la respuesta ideal.
**Conceptos importantes que faltan:**
* No se menciona la importancia de la repetición del ciclo TDD para garantizar que el código se mantenga en buen estado.
* No se explica cómo el TDD promueve un desarrollo proactivo y asegura que el código cumpla con las especificaciones definidas inicialmente por los tests.
**Calificación:** 7/10
**Justificación:** La respuesta proporcionada es buena, pero no es perfecta. Mantiene la esencia del ciclo TDD y su importancia, pero faltan algunos detalles importantes y la redacción no es tan clara y concisa como la respuesta ideal.&lt;|eot_id|&gt;</t>
  </si>
  <si>
    <t>Respuesta: 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</si>
  <si>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**Evaluación de la respuesta**
La respuesta proporcionada es una comparación razonada entre TDD (Desarrollo Guiado por Pruebas) y un enfoque tradicional de testing en el desarrollo de software. A continuación, se presentan los conceptos correctamente mencionados, errores detectados y conceptos importantes que faltan, junto con una calificación numérica entre 0 y 10.
**Conceptos correctamente mencionados:**
1. Mayor cobertura de test en TDD: La respuesta menciona que TDD tiene una mayor cobertura de test porque se escriben antes de implementar la función.
2. Mayor claridad final: La respuesta destaca que TDD minimiza el código necesario, lo que mejora la claridad.
3. Mejor mantenibilidad: La respuesta menciona que TDD tiene una mejor mantenibilidad que otros enfoques.
4. Necesidad de un equipo competente: La respuesta enfatiza la importancia de tener un equipo experto para implementar TDD.
5. Importancia del diseño previo: La respuesta menciona que en TDD se debe pensar en el diseño antes de implementar el código.
**Errores detectados:**
1. Falta de claridad en la explicación: La respuesta es un poco confusa en algunos puntos, lo que dificulta la comprensión del lector.
2. Generalización excesiva: La respuesta generaliza demasiado, afirmando que TDD no merece la pena para codigos simples o sencillos, lo que no es necesariamente cierto.
3. Falta de ejemplos concretos: La respuesta no proporciona ejemplos concretos para ilustrar las ventajas de TDD.
**Conceptos importantes que faltan:**
1. Importancia de la refactorización: La respuesta no menciona la importancia de la refactorización en TDD, que es un paso crucial para mantener el código limpio y fácil de mantener.
2. Diferencias en la secuencia de desarrollo: La respuesta no destaca la diferencia fundamental en la secuencia de desarrollo entre TDD y enfoques tradicionales de testing.
3. Ventajas de la escritura de tests antes de la implementación: La respuesta no explora en profundidad las ventajas de escribir tests antes de la implementación, como la reducción de errores y la mejora de la calidad del código.
**Calificación: 7/10**
La respuesta proporcionada es una buena comparación entre TDD y enfoques tradicionales de testing, pero necesita mejorar en claridad, precisión y profundidad. La respuesta correctamente menciona algunos conceptos importantes, pero también omite algunos aspectos clave y generaliza demasiado en algunos puntos.&lt;|eot_id|&gt;</t>
  </si>
  <si>
    <t>Respuesta: 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</si>
  <si>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**Evaluación de la respuesta**
La respuesta proporcionada describe algunas buenas prácticas en TDD, pero no es completamente precisa y omite algunos aspectos importantes. A continuación, se presentan los conceptos correctamente mencionados, los errores detectados y los conceptos importantes que faltan:
**Conceptos correctamente mencionados:**
* La importancia de escribir tests antes de implementar el código.
* La necesidad de completar todas las fases del ciclo TDD (rojo, verde y refactor).
**Errores detectados:**
* La respuesta no menciona explícitamente la importancia de refactorizar regularmente, lo que es una parte crucial del ciclo TDD.
* No se explica con claridad cómo la falta de tests que fallan puede afectar la implementación del código mínimo necesario para arreglar el problema.
* La respuesta no destaca la importancia de escribir solo los tests necesarios para que fallen, lo que ayuda a mantener el enfoque y la eficiencia en el desarrollo.
**Conceptos importantes que faltan:**
* La importancia de evitar la duplicación de código.
* La necesidad de mantener la simplicidad y la claridad en el código y los tests.
* El impacto de las buenas prácticas en TDD en la mantenibilidad y la comprensión del software.
**Calificación: 6/10**
La respuesta muestra una comprensión básica de las buenas prácticas en TDD, pero necesita mejorar en términos de claridad y exhaustividad. La respuesta no aborda algunos aspectos importantes y no proporciona ejemplos concretos para ilustrar sus afirmaciones. Con un poco más de detalle y precisión, la respuesta podría ser más efectiva en la descripción de las buenas prácticas en TDD y su impacto en la calidad del software.&lt;|eot_id|&gt;</t>
  </si>
  <si>
    <t>Respuesta: 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</si>
  <si>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**Evaluación de la respuesta**
La respuesta proporcionada muestra una comprensión básica de la importancia de validar entradas en el contexto de TDD, pero hay algunos conceptos importantes que faltan y errores en la explicación.
**Conceptos correctamente mencionados:**
* La importancia de validar entradas en el contexto de TDD.
* La necesidad de comprobar que el código funcione bien y que se ajuste a las especificaciones.
* La importancia de utilizar validaciones para evitar errores y problemas.
**Errores y conceptos importantes que faltan:**
* La respuesta no menciona explícitamente la relación entre la validación de entradas y la robustez del software.
* No se explica claramente cómo la validación de entradas ayuda a prevenir errores y problemas en tiempo de ejecución.
* No se menciona la importancia de escribir tests para validar las entradas antes de implementar la lógica del negocio.
* La respuesta utiliza un lenguaje vago y no muy claro, lo que dificulta la comprensión de la idea.
**Calificación: 6/10**
La respuesta muestra una comprensión básica de la importancia de validar entradas en el contexto de TDD, pero faltan conceptos importantes y la explicación no es clara y concisa. Para mejorar, la respuesta debería ser más detallada y precisa, y debería incluir ejemplos y explicaciones más claras.
**Sugerencias para mejorar:**
* Incluir ejemplos concretos de cómo la validación de entradas ayuda a prevenir errores y problemas en tiempo de ejecución.
* Explicar claramente cómo la validación de entradas se relaciona con la robustez del software.
* Utilizar un lenguaje más claro y conciso para explicar la idea.
* Incluir la importancia de escribir tests para validar las entradas antes de implementar la lógica del negocio.&lt;|eot_id|&gt;</t>
  </si>
  <si>
    <t>Respuesta: 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</si>
  <si>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**Evaluación de la respuesta**
La respuesta proporcionada describe el ciclo TDD (Desarrollo Dirigido por Pruebas) y su importancia en el desarrollo de software. A continuación, se evalúa la precisión conceptual, la completitud de la respuesta, el uso correcto de la terminología y la claridad de la explicación.
**Conceptos correctos mencionados:**
* El ciclo TDD tiene importancia en el desarrollo de software.
* El ciclo TDD consta de tres fases.
* Las fases del ciclo TDD se denominan RED, GREEN y Refactor.
**Errores detectados:**
* La respuesta no menciona explícitamente las fases del ciclo TDD como "Falla" (RED), "Pasa" (GREEN) y "Refactor".
* La fase "RED" se describe como "hacer un test que falle", lo que no es exactamente correcto. En realidad, la fase "RED" consiste en escribir un test que falla porque la funcionalidad aún no ha sido implementada.
* La fase "GREEN" se describe como "arreglar el test anterior red", lo que no es exacto. En realidad, la fase "GREEN" consiste en desarrollar el mínimo código necesario para que el test pase.
* La fase "Refactor" se describe como "refactorizando el código, consiguiendo así una mejora en el código y en los tests", lo que es parcialmente correcto. Sin embargo, la fase "Refactor" consiste en mejorar el código manteniendo todos los tests en verde, no solo en el código.
**Conceptos importantes que faltan:**
* La importancia de escribir tests antes de implementar el código.
* La importancia de mantener todos los tests en verde durante el proceso de desarrollo.
* La importancia de refactorizar el código para mantener su calidad y mantenibilidad.
**Calificación: 6/10**
La respuesta proporcionada describe el ciclo TDD y su importancia en el desarrollo de software, pero no es completamente precisa en algunos conceptos. La respuesta necesita ser más detallada y precisa en la descripción de las fases del ciclo TDD y su importancia en el desarrollo de software.&lt;|eot_id|&gt;</t>
  </si>
  <si>
    <t>Respuesta: 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</si>
  <si>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**Evaluación de la respuesta**
La respuesta proporcionada es parcialmente correcta, pero requiere una mayor precisión y claridad en la comparación entre TDD y el enfoque tradicional de testing en el desarrollo de software.
**Conceptos correctamente mencionados:**
* El TDD se reduce a tres fases: Red, Green y Refactor.
* El TDD permite una documentación más sencilla y fácil de llevar a cabo.
* El TDD permite una mejor identificación de errores.
**Errores detectados:**
* La respuesta no menciona con claridad la secuencia y el propósito de las tres fases del TDD (Red, Green y Refactor).
* No se menciona la importancia de la secuencia de las fases en el TDD (escribir test que falla, desarrollar código mínimo para que el test pase y refactoring).
* La respuesta no destaca la diferencia fundamental entre TDD y el enfoque tradicional de testing en la secuencia y el propósito de las pruebas.
**Conceptos importantes que faltan:**
* La importancia de escribir tests antes del código en TDD.
* La diferencia en la secuencia de las pruebas en TDD y enfoque tradicional (TDD: test antes del código, enfoque tradicional: código primero y luego tests).
* La importancia de la obligatoriedad de los tests en TDD.
**Calificación: 6/10**
La respuesta proporcionada muestra una comprensión básica del TDD y su relación con el enfoque tradicional de testing, pero requiere una mayor precisión y claridad en la explicación de los conceptos.&lt;|eot_id|&gt;</t>
  </si>
  <si>
    <t>Respuesta: 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</si>
  <si>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**Evaluación de la respuesta**
La respuesta proporcionada describe algunas buenas prácticas en TDD, pero no cubre completamente el alcance de la pregunta. A continuación, se presentan los conceptos correctamente mencionados, los errores detectados y los conceptos importantes que faltan:
**Conceptos correctamente mencionados:**
1. La importancia de empezar por escribir tests sin tener creadas las clases correspondientes.
2. La necesidad de crear las clases para cumplir con la fase de "Verde" (Green).
3. La importancia de refactorizar el código en la fase de refactorización.
4. La importancia de una buena documentación.
**Errores detectados:**
1. La respuesta no menciona explícitamente la importancia de escribir solo los tests necesarios para que fallen, lo que es una buena práctica clave en TDD.
2. No se menciona la importancia de evitar la duplicación de código, que es otra buena práctica en TDD.
3. La respuesta no proporciona ejemplos concretos de cómo aplicar estas buenas prácticas en un contexto real.
4. La respuesta no aborda la importancia de la robustez del software y cómo las buenas prácticas en TDD contribuyen a ella.
**Conceptos importantes que faltan:**
1. La importancia de enfocarse en la complejidad del código y su mantenibilidad.
2. La relación entre las buenas prácticas en TDD y la creación de software de alta calidad.
3. La importancia de la automatización de los tests en TDD.
**Calificación:** 6/10
La respuesta proporcionada muestra una comprensión básica de las buenas prácticas en TDD, pero no cubre completamente el alcance de la pregunta. La respuesta necesita ser más detallada y precisa para reflejar la importancia y el impacto de estas buenas prácticas en la calidad del software.&lt;|eot_id|&gt;</t>
  </si>
  <si>
    <t>Respuesta: Es vital validar las entradas en el contexto del TDD, ya que un código que no valida las entradas puede hacer que un test sea pasado, cuando luego en la aplicación real no funcione y así que el código no sea robusto y presente errores</t>
  </si>
  <si>
    <t>**Evaluación de la respuesta**
La respuesta proporcionada aborda parcialmente la importancia de validar entradas en el contexto de TDD, pero hay algunos conceptos importantes que faltan o se mencionan de manera incompleta. A continuación, se presentan los conceptos correctamente mencionados, los errores detectados y los conceptos importantes que faltan:
**Conceptos correctamente mencionados:**
* La importancia de validar entradas en TDD
* La posibilidad de que un código que no valida entradas pase los tests, pero no sea funcional en la aplicación real
* La relación entre la validación de entradas y la robustez del software
**Errores detectados:**
* La respuesta no menciona explícitamente la importancia de escribir tests para validar entradas antes de implementar la lógica del negocio.
* No se menciona cómo la validación de entradas ayuda a prevenir errores y comportamientos inesperados en el software.
**Conceptos importantes que faltan:**
* La explicación de cómo la validación de entradas ayuda a mejorar la calidad del código y facilitar su mantenimiento.
* La mención de que la validación de entradas es una buena práctica en TDD que se debe seguir para asegurar la robustez del software.
**Nota:** 6/10
**Justificación:** La respuesta proporcionada es parcialmente correcta, pero falta claridad y profundidad en algunos aspectos importantes. La respuesta debería enfatizar la importancia de escribir tests para validar entradas antes de implementar la lógica del negocio y cómo esto ayuda a prevenir errores y comportamientos inesperados en el software. Además, se deberían mencionar las ventajas de la validación de entradas en términos de calidad del código y mantenimiento.&lt;|eot_id|&gt;</t>
  </si>
  <si>
    <t>Respuesta: 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</si>
  <si>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**Evaluación de la respuesta**
La respuesta proporcionada describe con precisión el ciclo TDD (Desarrollo Guiado por Pruebas), que consta de tres etapas: Red (test que falla), Verde (test que pasa) y Refactor (optimización del código). Sin embargo, hay algunos conceptos importantes que se omiten o se explican de manera incompleta.
**Conceptos correctamente mencionados:**
* El ciclo TDD se basa en escribir pruebas antes de programar el código.
* El ciclo consta de tres etapas: Red, Verde y Refactor.
* El objetivo de cada etapa es garantizar que el código funcione correctamente y sea eficiente.
**Errores detectados:**
* La respuesta no menciona explícitamente la importancia de que el test que falla (etapa Rojo) sea específico y objetivo, es decir, que se centre en un escenario o comportamiento específico que se desea probar.
* No se explica claramente la importancia de la etapa Refactor, que no solo se limita a optimizar el código, sino que también debe asegurarse de que el código sea limpio, modular y fácil de mantener.
**Conceptos importantes que faltan:**
* No se menciona la importancia de que las pruebas sean independientes y no mutuamente excluyentes, es decir, que cada prueba debe probar un escenario específico y no se debe depender de la ejecución de otras pruebas.
* No se explica la importancia de la repetición del ciclo TDD, es decir, que se debe seguir el ciclo de Red, Verde y Refactor en cada iteración del desarrollo.
**Nota:** 7/10
**Justificación:** La respuesta proporcionada describe el ciclo TDD de manera básica, pero no profundiza en los conceptos importantes que lo rodean. La respuesta podría ser más completa si se incluyera la importancia de las pruebas específicas, la importancia de la etapa Refactor y la repetición del ciclo TDD.&lt;|eot_id|&gt;</t>
  </si>
  <si>
    <t>Respuesta: 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</si>
  <si>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**Evaluación de la respuesta**
La respuesta proporcionada ofrece una comparación básica entre TDD (Desarrollo Guiado por Pruebas) y un enfoque tradicional de testing en el desarrollo de software. A continuación, se presentan los conceptos correctamente mencionados, errores detectados y conceptos importantes que faltan en la respuesta:
**Conceptos correctamente mencionados:**
1. La secuencia de TDD, donde se escriben primero los tests y luego se desarrolla el código.
2. La importancia de los tests en TDD, donde se considera el núcleo del desarrollo.
3. La diferencia en la forma de abordar el testing en ambos enfoques.
**Errores detectados:**
1. La respuesta no menciona la importancia de que los tests en TDD sean obligatorios y ayuden a prevenir errores desde el inicio.
2. No se destaca la ventaja de que en TDD se contemplan varios casos y se controlan mediante código, lo que no se menciona en el enfoque tradicional.
3. La respuesta no menciona la mejora en la calidad del código y la robustez del software que se logra con TDD.
**Conceptos importantes que faltan:**
1. La importancia de la refactoring en TDD y su relación con la mejora continua del código.
2. La diferencia en la efectividad de los tests en TDD y enfoque tradicional en términos de descubrimiento de errores y mejora de la calidad del software.
3. La relación entre TDD y la reducción de la complejidad del código y su mantenibilidad.
**Calificación: 6/10**
La respuesta proporcionada ofrece una visión básica de la comparación entre TDD y enfoque tradicional de testing, pero no profundiza en los conceptos importantes y ventajas de TDD. Se requiere más información y análisis para una evaluación más completa y precisa.&lt;|eot_id|&gt;</t>
  </si>
  <si>
    <t>Respuesta: 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</si>
  <si>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**Evaluación de la respuesta**
La respuesta proporcionada describe algunas buenas prácticas en TDD, pero no aborda completamente el tema. A continuación, se presentan los conceptos correctamente mencionados, los errores detectados y los conceptos importantes que faltan:
**Conceptos correctamente mencionados:**
* La refactorización como una buena práctica en TDD para mantener el código sencillo y funcional.
* La importancia de seguir un enfoque metódico en TDD, con pasos definidos para el desarrollo.
**Errores detectados:**
* La respuesta se enfoca demasiado en la refactorización y no menciona otras buenas prácticas importantes en TDD, como escribir solo los tests necesarios para que fallen y evitar la duplicación de código.
* La descripción del proceso de desarrollo en TDD es un poco simplista y no menciona la importancia de la validación de entradas y la mejora continua del código.
**Conceptos importantes que faltan:**
* La importancia de escribir tests para validar las entradas y prevenir errores.
* La importancia de la mejora continua del código a través de la refactorización y la revisión de tests.
* La relación entre TDD y la robustez del software.
**Calificación: 6/10**
La respuesta muestra una comprensión básica de las buenas prácticas en TDD, pero no aborda completamente el tema. La falta de mención a otros conceptos importantes y la simplificación del proceso de desarrollo reducen la precisión y la completitud de la respuesta.&lt;|eot_id|&gt;</t>
  </si>
  <si>
    <t>Respuesta: 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</si>
  <si>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**Evaluación de la respuesta**
La respuesta proporcionada es correcta en algunos aspectos, pero no aborda completamente la importancia de validar entradas en el contexto de TDD y su relación con la robustez del software.
**Conceptos correctos mencionados:**
* La importancia de validar entradas en el contexto de TDD.
* La necesidad de controlar el correcto funcionamiento del programa.
* La relación entre la validación de entradas y la robustez del software.
**Errores detectados:**
* La respuesta no menciona explícitamente cómo la validación de entradas ayuda a prevenir errores y comportamientos inesperados en el software.
* No se destaca la importancia de la validación de entradas en la etapa de diseño del software, antes de implementar la lógica del negocio.
* La respuesta se centra en la validación de entradas como una forma de controlar errores, pero no menciona la mejora en la calidad del código y la facilidad de mantenimiento que se logra con la validación de entradas.
**Conceptos importantes que faltan:**
* La relación entre la validación de entradas y la reducción de errores en tiempo de ejecución.
* La importancia de la validación de entradas en la mejora de la calidad del código y la facilidad de mantenimiento.
**Calificación: 7/10**
La respuesta proporcionada es correcta en algunos aspectos, pero necesita mejorar en la profundidad y amplitud de la explicación. La validación de entradas es un aspecto crucial en TDD, y es importante destacar su importancia en la robustez del software y la calidad del código.&lt;|eot_id|&gt;</t>
  </si>
  <si>
    <t>Respuesta: Es una metodología desarrollo software que permite realizar test a un cóidgo
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</si>
  <si>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**Evaluación de la respuesta**
La respuesta proporcionada describe el ciclo TDD (Test-Driven Development) de manera básica, pero hay algunos conceptos que no están completamente claros o están mal explicados. A continuación, se presentan los conceptos correctamente mencionados, los errores detectados y los conceptos importantes que faltan:
**Conceptos correctamente mencionados:**
* El ciclo TDD se basa en tres etapas: roja, verde y refactoring.
* La etapa roja se refiere a la ejecución de los tests que salen erroneos.
* La etapa verde se refiere a la implementación de cambios mínimos para que los tests salgan válidos.
**Errores detectados:**
* La respuesta no menciona claramente la importancia del ciclo TDD en el desarrollo de software.
* No se explica con claridad la etapa de refactoring, que es la tercera parte del ciclo TDD.
* La respuesta utiliza términos como "refacotirizar" que no son correctos en este contexto.
**Conceptos importantes que faltan:**
* No se menciona la importancia de escribir tests antes de implementar el código.
* No se explica cómo el ciclo TDD promueve un desarrollo proactivo y asegura que el código cumpla con las especificaciones definidas inicialmente por los tests.
**Calificación: 6/10**
La respuesta proporcionada tiene algunos conceptos básicos correctos, pero no es completa ni clara en su explicación. La falta de importancia y el uso incorrecto de términos son puntos importantes que afectan la calificación final.
**Recomendaciones para mejorar:**
* Añadir una explicación sobre la importancia del ciclo TDD en el desarrollo de software.
* Utilizar términos correctos y precisos, como "refactoring" en lugar de "refacotirizar".
* Agregar detalles sobre la etapa de refactoring y cómo se relaciona con la mejora del código.
* Incluir la importancia de escribir tests antes de implementar el código y cómo esto promueve un desarrollo proactivo.&lt;|eot_id|&gt;</t>
  </si>
  <si>
    <t>Respuesta: 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</si>
  <si>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**Evaluación de la respuesta**
La respuesta proporcionada intenta comparar el enfoque tradicional de testing con el desarrollo guiado por pruebas (TDD). A continuación, se presentan los conceptos correctamente mencionados, los errores detectados y los conceptos importantes que faltan en la respuesta:
**Conceptos correctamente mencionados:**
* La secuencia de desarrollo en el enfoque tradicional de testing, donde primero se desarrollan los tests y luego se prueban.
* La importancia de la refactorización en TDD.
**Errores detectados:**
* La respuesta incorrectamente describe la secuencia de desarrollo en el enfoque tradicional de testing. En realidad, primero se desarrolla el código y luego se realizan pruebas, no al revés.
* La respuesta no menciona la importancia de escribir tests antes del código en TDD, sino que sugiere que se realizan tests después de desarrollar el código, lo que es lo opuesto a la definición de TDD.
* La respuesta no menciona la importancia de que los tests en TDD sean obligatorios y ayuden a prevenir errores desde el inicio.
**Conceptos importantes que faltan:**
* La definición de TDD y su propósito.
* La importancia de escribir tests antes del código en TDD.
* La diferencia en la secuencia de desarrollo entre TDD y el enfoque tradicional de testing.
**Calificación: 6/10**
La respuesta proporcionada tiene algunos conceptos correctos, pero también contiene errores y omisiones importantes. La respuesta no demuestra una comprensión clara de la definición y propósito de TDD, y no destaca la importancia de escribir tests antes del código en este enfoque.&lt;|eot_id|&gt;</t>
  </si>
  <si>
    <t>Respuesta: Un código bien estructurado, permite que sean mas legibles los tests pudiéndose comprobar la amplitud de su manejo de excepciones y el desarrollo de estos tests.
Tests estructurados, es decir, cumpliendo con el TDD, primero los tests que tienen una implementación mínima para corregir la fase roja y, más abajo, los tests refactorizados o los que pertenecen a dicha etapa, que cubren más funcionalidades y manejan más excepciones.</t>
  </si>
  <si>
    <t>**Evaluación de la respuesta**
La respuesta proporcionada describe algunas buenas prácticas en TDD, pero no cubre exhaustivamente el tema. A continuación, se presentan los conceptos correctamente mencionados, los errores detectados y los conceptos importantes que faltan:
**Conceptos correctamente mencionados:**
1. La importancia de un código bien estructurado para que los tests sean más legibles y se puedan comprobar la amplitud de su manejo de excepciones.
2. La importancia de estructurar los tests en fases, con una implementación mínima para corregir la fase roja y, a continuación, tests refactorizados o que cubren más funcionalidades y manejan más excepciones.
**Errores detectados:**
1. La respuesta no menciona explícitamente las buenas prácticas en TDD, como escribir solo los tests necesarios para que fallen, evitar la duplicación de código y refactorizar regularmente.
2. La respuesta no destaca la importancia de la claridad y concisión en la escritura de los tests, ni la necesidad de mantener los tests actualizados y relevantes.
3. La respuesta no menciona la importancia de la automatización de los tests y la integración continua en el proceso de desarrollo.
**Conceptos importantes que faltan:**
1. La importancia de la claridad y concisión en la escritura de los tests.
2. La necesidad de mantener los tests actualizados y relevantes.
3. La importancia de la automatización de los tests y la integración continua en el proceso de desarrollo.
**Calificación: 6/10**
La respuesta proporcionada tiene algunos conceptos correctos, pero no cubre exhaustivamente el tema. Se requiere más claridad y concisión en la escritura de los tests, así como una mayor atención a la importancia de la automatización y la integración continua.&lt;|eot_id|&gt;</t>
  </si>
  <si>
    <t>Respuesta: 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</si>
  <si>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**Nota:** 8/10
**Conceptos correctamente mencionados:** 
* La importancia de validar entradas en el contexto de TDD.
* La relación entre la validación de entradas y la robustez del software.
**Errores detectados:**
* La respuesta no menciona explícitamente cómo la validación de entradas ayuda a prevenir errores y comportamientos inesperados en el software.
* La respuesta no menciona la importancia de la validación de entradas en la mejora de la calidad y mantenibilidad del software.
**Conceptos importantes que faltan:**
* La explicación de cómo la validación de entradas ayuda a minimizar los casos de errores en tiempo de ejecución.
* La importancia de la validación de entradas en la facilitación del mantenimiento y comprensión del software.
**Justificación:**
La respuesta proporcionada menciona la importancia de validar entradas en el contexto de TDD y su relación con la robustez del software, pero no profundiza lo suficiente en los conceptos clave. La respuesta se enfoca más en la idea general de que la validación de entradas fortalece el desarrollo del software, pero no proporciona detalles específicos sobre cómo logra esto. Para mejorar, la respuesta podría incluir ejemplos concretos y explicaciones más detalladas sobre la importancia de la validación de entradas en la calidad y mantenibilidad del software.&lt;|eot_id|&gt;</t>
  </si>
  <si>
    <t>Respuesta: 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</si>
  <si>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**Evaluación de la respuesta**
La respuesta proporcionada describe el ciclo TDD (Desarrollo Guiado por Pruebas) de manera general, pero contiene errores y conceptos incompletos. A continuación, se presentan los conceptos correctamente mencionados, los errores detectados y los conceptos importantes que faltan:
**Conceptos correctamente mencionados:**
* El ciclo TDD se compone de tres fases.
* La primera fase es la "roja" en la que se hace un test que falla.
* La segunda fase es la "verde" en la que se corrige el test y se implementa el mínimo código necesario para que funcione.
* La tercera fase es el "refactor" en la que se mejora el código.
**Errores detectados:**
* La respuesta describe el ciclo TDD como un método para evaluar código y datos, lo que es incorrecto. El TDD es un método de desarrollo de software que se enfoca en escribir pruebas antes del código para garantizar la calidad y la funcionalidad del software.
* La respuesta menciona que en la fase "verde" se aumenta el código, lo que es incorrecto. En realidad, en la fase "verde" se implementa el mínimo código necesario para que el test pase.
* La respuesta no menciona la importancia del ciclo TDD en el desarrollo de software, lo que es un concepto clave.
**Conceptos importantes que faltan:**
* La importancia del ciclo TDD en el desarrollo de software, como promover un desarrollo proactivo y asegurar que el código cumpla con las especificaciones definidas inicialmente por los tests.
* La necesidad de refactorizar el código regularmente para mantener su calidad y mantenibilidad.
* La importancia de escribir tests que fallan en la primera fase para identificar errores y problemas en el código.
**Calificación: 4/10**
La respuesta proporcionada tiene algunos conceptos básicos correctos, pero también contiene errores y omisiones importantes. La respuesta no muestra una comprensión clara del ciclo TDD y su importancia en el desarrollo de software.&lt;|eot_id|&gt;</t>
  </si>
  <si>
    <t>Respuesta: 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</si>
  <si>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**Evaluación de la respuesta**
La respuesta proporcionada intenta comparar TDD (Desarrollo Guiado por Pruebas) con un enfoque tradicional de testing en el desarrollo de software. A continuación, se presentan los conceptos correctamente mencionados, errores detectados y conceptos importantes que faltan:
**Conceptos correctamente mencionados:**
* La respuesta menciona las tres fases del ciclo TDD (roja, verde y refactor).
* Describe la fase "roja" como la creación de un test que falle.
* Describe la fase "verde" como la mejora del test que falla y la implementación del mínimo código necesario para que el test pase.
* Describe la fase "refactor" como la mejora del test para que abarque más código.
**Errores detectados:**
* La respuesta no menciona con claridad la importancia de la secuencia de las fases en TDD, es decir, que las fases deben ser realizadas en orden (roja, verde y luego refactor).
* La respuesta no menciona la importancia de que los tests en TDD sean obligatorios y ayuden a prevenir errores desde el inicio.
* La respuesta no menciona la diferencia en la naturaleza de los tests en TDD y en el enfoque tradicional, es decir, que en TDD los tests son una guía para el desarrollo y en el enfoque tradicional son una verificación reactiva.
* La respuesta no menciona la ventaja de TDD en términos de mantenibilidad y comprensión del código.
**Conceptos importantes que faltan:**
* La respuesta no menciona la importancia de escribir solo los tests necesarios para que fallen, evitar la duplicación de código y refactorizar regularmente, que son buenas prácticas en TDD.
* La respuesta no menciona la relación entre TDD y la robustez del software, es decir, cómo TDD ayuda a prevenir errores y comportamientos inesperados en el software.
**Calificación: 6/10**
La respuesta proporcionada muestra una comprensión básica de las fases de TDD, pero no aborda con claridad la importancia de la secuencia de las fases, la naturaleza de los tests en TDD y la importancia de las buenas prácticas en TDD.&lt;|eot_id|&gt;</t>
  </si>
  <si>
    <t>Respuesta: 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</si>
  <si>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**Evaluación de la respuesta**
La respuesta proporcionada no aborda completamente la pregunta y no muestra una comprensión profunda de las buenas prácticas en TDD y su impacto en la calidad del software.
**Conceptos correctos mencionados:**
* Se menciona la importancia de los tests unitarios, lo que es una buena práctica en TDD.
* Se menciona la importancia de la legibilidad y la estructuración del código, lo que es un aspecto importante de la calidad del software.
**Errores detectados:**
* La respuesta no menciona la importancia de escribir solo los tests necesarios para que fallen, lo que es una buena práctica en TDD.
* No se menciona la importancia de evitar la duplicación de código, lo que es otra buena práctica en TDD.
* No se menciona la importancia de refactorizar regularmente, lo que es un aspecto crucial en TDD.
* La respuesta no explica de manera clara cómo las buenas prácticas en TDD impactan en la calidad del software.
**Conceptos importantes que faltan:**
* La importancia de la priorización de los tests y la selección de los tests más críticos.
* La importancia de la automatización de los tests y la integración continua.
* La importancia de la documentación de los tests y la explicación de los motivos detrás de la escritura de cada test.
**Calificación: 4/10**
La respuesta proporcionada no muestra una comprensión profunda de las buenas prácticas en TDD y su impacto en la calidad del software. Aunque menciona algunos conceptos correctos, falta de información importante y no explica de manera clara cómo las buenas prácticas en TDD impactan en la calidad del software.&lt;|eot_id|&gt;</t>
  </si>
  <si>
    <t>Respuesta: 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</si>
  <si>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**Evaluación de la respuesta**
La respuesta proporcionada no aborda completamente la importancia de validar entradas en el contexto de TDD y su relación con la robustez del software. A continuación, se presentan los conceptos correctamente mencionados, los errores detectados y los conceptos importantes que faltan:
**Conceptos correctamente mencionados:**
* La importancia de validar entradas en general.
* La importancia de validar entradas en TDD.
**Errores detectados:**
* La respuesta no explica claramente por qué la validación de entradas es crucial en TDD.
* No se menciona cómo la validación de entradas ayuda a prevenir errores y comportamientos inesperados en el software.
* No se relaciona la validación de entradas con la robustez del software.
**Conceptos importantes que faltan:**
* La explicación de cómo la validación de entradas ayuda a prevenir errores y comportamientos inesperados en el software.
* La relación entre la validación de entradas y la robustez del software.
* Ejemplos o casos de uso que ilustren la importancia de la validación de entradas en TDD.
**Nota:** 6/10
**Justificación:**
La respuesta proporcionada muestra una comprensión básica de la importancia de la validación de entradas en TDD, pero no profundiza lo suficiente en la relación entre la validación de entradas y la robustez del software. La respuesta podría mejorar con la inclusión de ejemplos y explicaciones más detalladas sobre cómo la validación de entradas ayuda a prevenir errores y comportamientos inesperados en el software.&lt;|eot_id|&gt;</t>
  </si>
  <si>
    <t>Respuesta: 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</si>
  <si>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**Evaluación de la respuesta**
La respuesta proporcionada describe el ciclo TDD (Desarrollo Guiado por Pruebas) de manera general, aunque no es completamente precisa. A continuación, se presentan los conceptos correctamente mencionados, los errores detectados y los conceptos importantes que faltan:
**Conceptos correctamente mencionados:**
* El ciclo TDD consta de 3 pasos: RED, GREEN y REFACTOR.
* El objetivo del ciclo TDD es evitar errores y cubrir el máximo de aspectos posibles donde la API pueda fallar o surja algún problema.
**Errores detectados:**
* La secuencia de los pasos es incorrecta. En el ciclo TDD, primero se escribe un test que falla (RED), luego se desarrolla el código mínimo necesario para que el test pase (GREEN) y finalmente se refactoring (REFACTOR).
* La descripción del paso GREEN es incorrecta. No se trata de implementar una clase que haga que falle el test, sino que se desarrolla el código mínimo necesario para que el test pase.
* La descripción del paso REFACTOR es incorrecta. No se trata de ampliar los test y las clases de forma más sólida, sino que se refiere a mejorar el código existente para mantenerlo limpio y eficiente.
**Conceptos importantes que faltan:**
* La importancia de escribir tests antes de implementar el código.
* La importancia de refactorizar el código regularmente para mantenerlo limpio y eficiente.
* La relación entre el ciclo TDD y la creación de software de alta calidad.
**Calificación:** 6/10
La respuesta proporcionada es una buena base para entender el concepto de ciclo TDD, pero necesita ser refinada para ser más precisa y completa.&lt;|eot_id|&gt;</t>
  </si>
  <si>
    <t>Respuesta: 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</si>
  <si>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**Evaluación de la respuesta**
La respuesta proporcionada no captura con precisión la esencia de la comparativa entre TDD y el enfoque tradicional de testing en el desarrollo de software. A continuación, se presentan los conceptos correctamente mencionados, los errores detectados y los conceptos importantes que faltan en la respuesta:
**Conceptos correctamente mencionados:**
* La respuesta menciona la secuencia de TDD, que implica escribir un test que falla, implementar la clase del test para que pase y luego refactorizar para hacerla más funcional y sólida.
* La respuesta también menciona que TDD puede ayudar a mejorar la comprensión y la cobertura de los tests.
**Errores detectados:**
* La respuesta no destaca la principal diferencia entre TDD y el enfoque tradicional de testing, que es la secuencia y el propósito de los tests. En TDD, los tests se escriben antes del código, mientras que en el enfoque tradicional, se desarrolla el código primero y luego se realizan pruebas.
* La respuesta no menciona la importancia de la iteración y la refactorización en TDD, que es crucial para mantener el código limpio y eficiente.
* La respuesta no destaca la ventaja de TDD en términos de prevenir errores desde el inicio y mejorar la calidad del software.
**Conceptos importantes que faltan:**
* La respuesta no menciona la importancia de escribir tests automatizados y repetibles en TDD, que permite la automatización del proceso de testing y la mejora continua del software.
* La respuesta no destaca la relación entre TDD y la robustez del software, que es un aspecto crucial en la industria del desarrollo de software.
**Nota:** 6/10
**Justificación:**
La respuesta proporcionada muestra una comprensión básica de la secuencia de TDD, pero no captura la esencia de la comparativa con el enfoque tradicional de testing. La respuesta no destaca la importancia de la iteración, la refactorización y la automatización en TDD, lo que reduce su valor y relevancia en la industria del desarrollo de software.&lt;|eot_id|&gt;</t>
  </si>
  <si>
    <t>Respuesta: 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</si>
  <si>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**Evaluación de la respuesta**
La respuesta proporcionada describe algunas buenas prácticas en TDD, pero no cubre completamente el tema. A continuación, se presentan los conceptos correctamente mencionados, errores detectados y conceptos importantes que faltan:
**Conceptos correctamente mencionados:**
* La importancia de empezar realizando los test antes de crear las clases.
* La necesidad de estudiar los requerimientos del programa para generar los test necesarios.
* La importancia de visualizar el porcentaje de cobertura con los tests para garantizar que el código está lo más probado posible.
**Errores detectados:**
* La respuesta no menciona la importancia de escribir solo los tests necesarios para que fallen, lo que puede llevar a una sobrecarga de código innecesario.
* No se menciona la necesidad de evitar la duplicación de código, lo que puede afectar la mantenibilidad del software.
* No se menciona la importancia de refactorizar regularmente, lo que puede llevar a un código pesado y difícil de entender.
* La respuesta no menciona la importancia de que los tests sean obligatorios y ayuden a prevenir errores desde el inicio.
**Conceptos importantes que faltan:**
* La importancia de escribir tests que cubran todos los escenarios posibles, incluyendo casos de error y bordes.
* La importancia de utilizar un lenguaje de programación y un framework de testing adecuados para escribir tests efectivos.
* La importancia de integrar los tests en el flujo de trabajo del desarrollo, lo que incluye automatizar la ejecución de los tests y utilizar herramientas de testing para analizar los resultados.
**Calificación: 6/10**
La respuesta proporcionada muestra una buena comprensión de algunas buenas prácticas en TDD, pero no cubre completamente el tema. La respuesta podría ser mejorada con la inclusión de conceptos importantes que faltan y la corrección de errores detectados.&lt;|eot_id|&gt;</t>
  </si>
  <si>
    <t>Respuesta: Es importante validar las entradas en el contexto de TDD ya que evitamos que no entren datos que no son. Por ejemplo si se está pidiendo un número, que no entre una palabra. Se relaciona, ya que se evitan problemas, y se guarda o se recibe la información pedida.</t>
  </si>
  <si>
    <t>**Evaluación de la respuesta**
La respuesta proporcionada es parcialmente correcta, pero no aborda completamente la importancia de validar entradas en el contexto de TDD y su relación con la robustez del software.
**Conceptos correctamente mencionados:**
* La importancia de validar entradas en TDD.
* La necesidad de evitar datos no válidos en la entrada.
* La relación entre la validación de entradas y la prevención de problemas.
**Errores detectados:**
* La respuesta no explica claramente cómo la validación de entradas en TDD ayuda a prevenir errores y comportamientos inesperados en el software.
* No se menciona la importancia de la validación de entradas en la mejora de la calidad del código y su mantenibilidad.
* La respuesta es un poco vaga y no proporciona ejemplos concretos de cómo la validación de entradas en TDD puede afectar la robustez del software.
**Conceptos importantes que faltan:**
* La importancia de escribir tests para validar las entradas antes de implementar la lógica del negocio.
* La relación entre la validación de entradas y la creación de un software más robusto y de alta calidad.
* La necesidad de refactorizar el código para mejorar su mantenibilidad y reducir la complejidad.
**Calificación: 6/10**
La respuesta proporcionada es una buena base, pero requiere más detalles y ejemplos concretos para demostrar la importancia de la validación de entradas en TDD y su relación con la robustez del software.&lt;|eot_id|&gt;</t>
  </si>
  <si>
    <t>Respuesta: 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
Es muy importante en el desarrollo del software ya que nos permite realizar tests antes de desarrollar todo el código</t>
  </si>
  <si>
    <t>**Evaluación de la respuesta**
La respuesta proporcionada describe el ciclo TDD de manera general, pero faltan algunos detalles importantes y conceptos clave. A continuación, se presentan los conceptos correctamente mencionados, los errores detectados y los conceptos importantes que faltan:
**Conceptos correctamente mencionados:**
* El ciclo TDD se compone de tres fases: rojo, verde y refactor.
* La primera fase implica crear un test que falla.
* La segunda fase consiste en implementar el código mínimo necesario para pasar el test.
* La tercera fase se centra en mejorar el código.
* La importancia del TDD en el desarrollo de software.
**Errores detectados:**
* La respuesta no menciona explícitamente el orden de las fases: primero se crea un test que falla (rojo), luego se implementa el código para pasar el test (verde) y finalmente se refactorea el código.
* La respuesta no describe con claridad la importancia de la fase de refactor en términos de mejorar la estructura del proyecto, validaciones extra y manejo de errores.
* La respuesta no menciona la importancia de que los tests sean escritos antes del código en el TDD.
**Conceptos importantes que faltan:**
* La explicación de por qué el ciclo TDD es "rojo-verde-refactor" y no otro orden.
* La importancia de que el código mínimo necesario para pasar el test sea lo más simple posible.
* La importancia de que los tests sean escritos antes del código para asegurar un desarrollo proactivo.
**Calificación:** 6/10
**Sugerencias para mejorar:**
* Añadir detalles sobre la secuencia de las fases y la importancia de cada una.
* Describir con claridad la importancia de la fase de refactor.
* Mencionar explícitamente la importancia de que los tests sean escritos antes del código.
* Agregar ejemplos o ilustraciones para ayudar a ilustrar el concepto.&lt;|eot_id|&gt;</t>
  </si>
  <si>
    <t>Respuesta: 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</si>
  <si>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**Evaluación de la respuesta**
La respuesta proporcionada es una buena descripción de la diferencia entre el enfoque tradicional de testing y TDD en el desarrollo de software. Sin embargo, hay algunos conceptos importantes que se mencionan incorrectamente o de manera incompleta.
**Conceptos correctamente mencionados:**
* La descripción de la secuencia de TDD (desarrollar poco código, hacer que falle un test, agregar código para que pase el test y luego agregar extras) es correcta.
* La idea de que TDD permite desarrollar el código en función de la etapa del ciclo es correcta.
**Conceptos incorrectos o incompletos:**
* La descripción del enfoque tradicional de testing como "desarrollar todo el código y luego hacer los tests" es demasiado simplista. En realidad, el enfoque tradicional puede implicar desarrollar el código en etapas y luego realizar pruebas en cada etapa, pero no necesariamente "todo el código" al final.
* La respuesta no menciona la importancia de la refactorización en TDD, que es un aspecto crucial del proceso.
* No se menciona la importancia de la robustez del software y cómo TDD ayuda a lograrla.
**Conceptos importantes que faltan:**
* La importancia de escribir tests que fallen inicialmente y luego hacer que pasen, lo que permite identificar y corregir errores temprano.
* La importancia de mantener los tests en verde (es decir, asegurarse de que todos los tests pasen) durante todo el proceso de desarrollo.
* La relación entre TDD y la calidad del software, como la mejora de la mantenibilidad, la escalabilidad y la fiabilidad.
**Nota:** 7/10
**Justificación:** La respuesta proporciona una buena descripción general de la diferencia entre TDD y el enfoque tradicional de testing, pero falta profundidad y detalle en algunos aspectos importantes. La respuesta no muestra una comprensión completa de la importancia de la refactorización, la robustez del software y la calidad del software en el contexto de TDD.&lt;|eot_id|&gt;</t>
  </si>
  <si>
    <t>Respuesta: 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  Por último, refactorizar el código, hacerlo más completo, añadir validaciones extra y manejo de errores... También es fundamental separar bien el código y los tests, con una estructura clara y organizada.
Esto tiene un gran impacto en la calidad del software.</t>
  </si>
  <si>
    <t>**Evaluación de la respuesta**
La respuesta proporcionada describe algunas buenas prácticas en TDD, pero no cubre completamente el tema. A continuación, se presentan los conceptos correctamente mencionados, errores detectados y conceptos importantes que faltan:
**Conceptos correctamente mencionados:**
* La importancia de seguir un orden en las fases del TDD para obtener un código bien estructurado y completo.
* La necesidad de comentar el código de forma legible para otras personas.
* La importancia de refactorizar el código para hacerlo más completo y agregar validaciones extra.
* La necesidad de separar el código y los tests de forma clara y organizada.
**Errores detectados:**
* La respuesta no menciona explícitamente la importancia de escribir solo los tests necesarios para que fallen, evitar la duplicación de código y refactorizar regularmente, que son buenas prácticas clave en TDD.
* La respuesta no explica claramente cómo la separación del código y los tests afecta la calidad del software.
* La respuesta no menciona la importancia de escribir tests que cubran todos los escenarios y casos de uso.
**Conceptos importantes que faltan:**
* La importancia de escribir tests que cubran todos los escenarios y casos de uso.
* La necesidad de evitar la duplicación de código y refactorizar regularmente.
* La importancia de utilizar una estructura clara y organizada para el código y los tests.
**Calificación: 7/10**
La respuesta proporcionada es buena, pero no cubre completamente el tema. La calificación se ve afectada por la falta de mencionar algunos conceptos importantes y la falta de claridad en algunos puntos. Sin embargo, la respuesta muestra una buena comprensión de algunas buenas prácticas en TDD.&lt;|eot_id|&gt;</t>
  </si>
  <si>
    <t>Respuesta: 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
También está muy relacionado con la robustez del software ya que evita errores por parte del usuario y no permite entradas inválidas o imposibles</t>
  </si>
  <si>
    <t>**Evaluación de la respuesta**
La respuesta proporcionada aborda la importancia de validar entradas en el contexto de TDD (Desarrollo Dirigido por Pruebas) y su relación con la robustez del software. A continuación, se presentan los conceptos correctamente mencionados, los errores detectados y los conceptos importantes que faltan:
**Conceptos correctamente mencionados:**
* La importancia de validar entradas en TDD para evitar errores no controlados por el usuario.
* La relación entre la validación de entradas y la robustez del software.
* El ejemplo de no permitir entradas inválidas en el campo de edad.
**Errores detectados:**
* La respuesta no menciona explícitamente el ciclo TDD y su relación con la validación de entradas.
* La respuesta no explica de manera clara cómo la validación de entradas ayuda a mantener los tests en "verde".
* La respuesta no menciona la importancia de la validación de entradas en la fase de refactorización del ciclo TDD.
**Conceptos importantes que faltan:**
* La explicación de cómo la validación de entradas ayuda a prevenir errores en tiempo de ejecución.
* La relación entre la validación de entradas y la mantenibilidad del software.
* La importancia de la validación de entradas en la fase de desarrollo del código.
**Calificación: 7/10**
La respuesta proporcionada muestra una buena comprensión de la importancia de la validación de entradas en TDD y su relación con la robustez del software. Sin embargo, faltan algunos conceptos importantes y la respuesta no es tan clara y concisa como se podría esperar. Con un poco más de detalles y explicaciones, la respuesta podría haber recibido una calificación más alta.&lt;|eot_id|&gt;</t>
  </si>
  <si>
    <t>Respuesta: 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</si>
  <si>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**Evaluación de la respuesta**
La respuesta proporcionada describe el ciclo TDD (Test-Driven Development) de manera incompleta y con algunos errores. A continuación, se presentan los conceptos correctamente mencionados, los errores detectados y los conceptos importantes que faltan:
**Conceptos correctamente mencionados:**
* El ciclo TDD se basa en tres etapas: Red, Green y Refactor.
* La etapa Red se refiere a la creación de tests que fallen.
* La etapa Green se refiere a la implementación de código para que los tests pasen.
* La etapa Refactor se refiere a la mejora del código de los tests.
**Errores detectados:**
* La respuesta no menciona la secuencia correcta de las etapas del ciclo TDD. La secuencia correcta es: Red, Green, Refactor.
* La respuesta no explica claramente la importancia de cada etapa del ciclo TDD.
* La respuesta no menciona la importancia del ciclo TDD en el desarrollo de software.
**Conceptos importantes que faltan:**
* La respuesta no explica cómo el ciclo TDD promueve un desarrollo proactivo y asegura que el código cumpla con las especificaciones definidas inicialmente por los tests.
* La respuesta no menciona la importancia de la iteración y la retroalimentación en el ciclo TDD.
**Nota:** 6/10
**Justificación:**
La respuesta proporcionada describe el ciclo TDD de manera incompleta y con algunos errores. Aunque menciona las tres etapas del ciclo, no explica claramente la secuencia correcta y la importancia de cada etapa. Además, no menciona la importancia del ciclo TDD en el desarrollo de software y no explica cómo promueve un desarrollo proactivo y asegura que el código cumpla con las especificaciones definidas inicialmente por los tests.&lt;|eot_id|&gt;</t>
  </si>
  <si>
    <t>Respuesta: 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</si>
  <si>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**Evaluación de la respuesta**
La respuesta proporcionada muestra una comprensión básica del concepto de TDD (Desarrollo Dirigido por Pruebas) y su comparación con un enfoque tradicional de testing en el desarrollo de software. A continuación, se presentan los conceptos correctamente mencionados, los errores detectados y los conceptos importantes que faltan:
**Conceptos correctamente mencionados:**
* La respuesta menciona la existencia de un enfoque tradicional de testing que implica aplicar tests fiables y con la intención de que estos pasen las pruebas.
* Se menciona que TDD se divide en tres fases: Red, Green y Refactor.
* Se describe la función de cada fase: en Red, se aplican tests que sabemos que van a fallar, en Green, se integran tests con el código mínimo para que estos pasen las pruebas, y en Refactor, se mejora y se amplía el código.
**Errores detectados:**
* La respuesta no menciona con claridad la importancia de escribir tests antes del código en TDD, lo que es un aspecto fundamental del enfoque.
* No se explica con claridad la razón por la que TDD es más efectivo que el enfoque tradicional de testing.
* La respuesta no menciona la importancia de la iteración y la retroalimentación en TDD, que es crucial para mejorar la calidad del software.
**Conceptos importantes que faltan:**
* La respuesta no menciona la importancia de escribir tests automatizados y la automatización del proceso de testing en TDD.
* No se discute la relación entre TDD y la calidad del software, como la mejora de la confiabilidad, la escalabilidad y la mantenibilidad.
* La respuesta no menciona la importancia de la retroalimentación y la iteración en TDD, que es crucial para mejorar la calidad del software.
**Calificación: 6/10**
La respuesta proporcionada muestra una comprensión básica de TDD y su comparación con un enfoque tradicional de testing, pero falta claridad y profundidad en algunos aspectos importantes. La respuesta podría mejorar con una mayor atención a la importancia de escribir tests antes del código, la automatización del proceso de testing y la retroalimentación y la iteración en TDD.&lt;|eot_id|&gt;</t>
  </si>
  <si>
    <t>Respuesta: 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</si>
  <si>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**Evaluación de la respuesta**
La respuesta proporcionada describe algunas buenas prácticas en TDD, pero no aborda completamente el tema y no menciona algunos conceptos importantes. A continuación, se presentan los conceptos correctamente mencionados, los errores detectados y los conceptos importantes que faltan:
**Conceptos correctamente mencionados:**
* La importancia de las pruebas unitarias en TDD.
* La ventaja de aplicar pruebas unitarias a diferentes secciones de código.
* El impacto en la calidad del software al encontrar errores o bugs con mayor antelación.
**Errores detectados:**
* La respuesta no menciona la importancia de escribir solo los tests necesarios para que fallen, lo que puede llevar a una sobrecarga de código y disminuir la eficiencia del desarrollo.
* No se menciona la importancia de evitar la duplicación de código en TDD.
* No se menciona la práctica de refactorizar regularmente para mantener el código limpio y eficiente.
**Conceptos importantes que faltan:**
* La importancia de escribir tests que cubran todos los escenarios y casos de uso.
* La necesidad de mantener los tests actualizados y reflejando los cambios en el código.
* La importancia de utilizar un enfoque de "red, verde, refactoring" (rojo, verde, refactorizar) en lugar de simplemente aplicar pruebas unitarias.
**Calificación:** 6/10
La respuesta proporcionada es parcialmente correcta, pero no aborda completamente el tema de las buenas prácticas en TDD y su impacto en la calidad del software. La respuesta necesita ser más detallada y precisa para reflejar los conceptos importantes de TDD.&lt;|eot_id|&gt;</t>
  </si>
  <si>
    <t>Respuesta: La validacion de entradas en TDD tiene mucha importancia debido a que de esta manera estariamos llevando a cabo un mayor control de codigo, esto a sus vez tambien tiene relacion con la robustez del software ya que estariamos incrementando la calidad de este.</t>
  </si>
  <si>
    <t>**Nota:** 6/10
**Conceptos correctamente mencionados:** 
- La importancia de validar entradas en TDD
- La relación con la robustez del software
**Errores detectados:**
- La respuesta no proporciona una explicación clara y detallada sobre por qué la validación de entradas es importante en TDD.
- No se menciona específicamente cómo la validación de entradas ayuda a prevenir errores y comportamientos inesperados en el software.
- La respuesta es demasiado breve y no proporciona suficientes detalles sobre cómo la validación de entradas contribuye a la calidad y robustez del software.
**Conceptos importantes que faltan:**
- La importancia de escribir tests para validar las entradas antes de implementar la lógica del negocio.
- La relación entre la validación de entradas y la mejora de la calidad del código.
- Ejemplos concretos de cómo la validación de entradas puede mejorar la robustez del software.
**Sugerencias para mejorar:**
- Añadir ejemplos concretos de cómo la validación de entradas puede prevenir errores y comportamientos inesperados en el software.
- Describir de manera más detallada cómo la validación de entradas contribuye a la calidad y robustez del software.
- Incluir una explicación clara sobre por qué la validación de entradas es esencial en TDD.&lt;|eot_id|&gt;</t>
  </si>
  <si>
    <t>Respuesta: Primero se desarrollan los test los cuales fallarán al no haber un código que los pueda pasar.
Seguido se escribe el código correspondiente a dichos test hasta que sea capaz de pasarlos todos.
Finalmente se limpia el código para que sea más fácil de comprender y esté optimizado.
Este ciclo es bastante importante ya que obliga al desarrollador a cumplir con todos los requerimientos de la aplicación y le facilita la escritura del codigo de una manera ordenada.</t>
  </si>
  <si>
    <t>**Nota:** 7/10
**Conceptos correctamente mencionados:**
* El ciclo TDD se inicia con la escritura de tests que fallan debido a la falta de código.
* La segunda etapa implica escribir el código necesario para que los tests pasen.
* La tercera etapa consiste en refactorizar el código para mejorar su comprensión y optimización.
**Errores detectados:**
* La respuesta no menciona explícitamente las tres etapas del ciclo TDD como "Rojo" (tests fallidos), "Verde" (tests pasan) y "Refactor" (mejora del código).
* La respuesta no destaca la importancia de la secuencia de las etapas en el ciclo TDD.
**Conceptos importantes que faltan:**
* La importancia de la secuencia de las etapas en el ciclo TDD y cómo cada una de ellas contribuye al desarrollo de software de alta calidad.
* La relación entre el ciclo TDD y la creación de software robusto y de alta calidad.
**Justificación:**
La respuesta proporcionada describe el ciclo TDD de manera general, pero no profundiza en los conceptos clave que lo caracterizan. La respuesta no menciona explícitamente las tres etapas del ciclo TDD, lo que reduce su precisión conceptual. Además, no destaca la importancia de la secuencia de las etapas en el ciclo TDD, lo que es fundamental para comprender su importancia en el desarrollo de software. Sin embargo, la respuesta menciona la importancia del ciclo TDD en la creación de software de alta calidad y la escritura del código de manera ordenada, lo que muestra una comprensión básica del concepto.&lt;|eot_id|&gt;</t>
  </si>
  <si>
    <t>Respuesta: 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
Estos problemas no suceden tan frecuentemente en TDD con su planteamiento de crear los test primero para luego realizar un código que sea capaz de pasarlos omitiendo cualquier bias que pueda tener el programador</t>
  </si>
  <si>
    <t>**Evaluación de la respuesta**
La respuesta proporcionada es una buena descripción de la diferencia entre TDD (Desarrollo Guiado por Pruebas) y el enfoque tradicional de testing en el desarrollo de software. A continuación, se presentan los conceptos correctamente mencionados, los errores detectados y los conceptos importantes que faltan:
**Conceptos correctamente mencionados:**
* La diferencia en la secuencia entre TDD y el enfoque tradicional de testing, con TDD se escriben los tests antes del código.
* La importancia de evitar el sesgo del programador en la creación de tests.
* La ventaja de TDD en cuanto a la creación de tests más profundos y completos.
**Errores detectados:**
* La respuesta no menciona explícitamente la diferencia en el propósito de los tests entre TDD y el enfoque tradicional. En TDD, los tests sirven como especificación y guía para el desarrollo, mientras que en el enfoque tradicional se utilizan para validar el trabajo ya realizado.
* La respuesta no menciona la importancia de la refactorización en TDD, que es un paso crucial para mantener la calidad y la simplicidad del código.
**Conceptos importantes que faltan:**
* La importancia de la robustez y la confiabilidad del software en el contexto de TDD y el enfoque tradicional de testing.
* La relación entre la creación de tests y la calidad del código en TDD.
**Calificación: 7/10**
La respuesta proporcionada es buena, pero podría ser mejorada con más detalles y conceptos relacionados con TDD y el enfoque tradicional de testing. La respuesta muestra una buena comprensión de la diferencia entre ambas metodologías, pero no aborda completamente la importancia de la robustez y la confiabilidad del software, ni la relación entre la creación de tests y la calidad del código.&lt;|eot_id|&gt;</t>
  </si>
  <si>
    <t>Respuesta: 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
Todo esto mejora considerablemente el entorno de pruebas y la limpieza del software</t>
  </si>
  <si>
    <t>**Evaluación de la respuesta**
La respuesta proporcionada describe algunas buenas prácticas en TDD, pero no cubre exhaustivamente todas las buenas prácticas y no menciona explícitamente el impacto en la calidad del software. A continuación, se presentan los conceptos correctos y errores detectados en la respuesta:
**Conceptos correctos:**
* Desarrollar tests que cubran bien las funcionalidades de la aplicación (cobertura de código).
* No hacer trampas para que el código pase los tests (no devolver directamente lo que solicita el test sin realizar las operaciones necesarias).
* Completar los tests hasta tener una buena cobertura del código (en torno a un 80% aprox).
* Limpiar y optimizar el código tras pasar los tests.
**Errores detectados:**
* La respuesta no menciona explícitamente la importancia de escribir tests solo para lo que falla (redescribir el código mínimo necesario para que el test pase).
* No se menciona la importancia de refactorizar regularmente para mantener el código limpio y simple.
* La respuesta no proporciona ejemplos concretos de cómo aplicar estas buenas prácticas en la práctica.
**Conceptos importantes que faltan:**
* La importancia de escribir tests de integración y de sistema para cubrir la interacción entre diferentes componentes del software.
* La importancia de utilizar herramientas de testing y análisis de código para mejorar la calidad del software.
* La importancia de tener un enfoque de testing continuo y automático para asegurar la calidad del software a lo largo del tiempo.
**Calificación: 7/10**
La respuesta proporcionada muestra un buen intento de describir algunas buenas prácticas en TDD, pero necesita ser más completa y detallada para reflejar la complejidad del tema.&lt;|eot_id|&gt;</t>
  </si>
  <si>
    <t>Respuesta: 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</si>
  <si>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**Evaluación de la respuesta**
La respuesta proporcionada aborda la importancia de validar entradas en el contexto de TDD, pero no aborda completamente la relación con la robustez del software. A continuación, se presentan los conceptos correctamente mencionados, los errores detectados y los conceptos importantes que faltan:
**Conceptos correctamente mencionados:**
* La importancia de validar entradas en TDD para prevenir errores y comportamientos inesperados en el software.
* El ejemplo de pasar un valor alfabético en una variable numérica como un caso de error potencial.
**Errores detectados:**
* La respuesta no menciona explícitamente cómo la validación de entradas ayuda a mejorar la robustez del software.
* No se proporciona una explicación clara de cómo la validación de entradas en TDD se relaciona con la previsibilidad y la confiabilidad del software.
**Conceptos importantes que faltan:**
* No se menciona la importancia de validar entradas en TDD para asegurar que el software responda de manera consistente y predecible a diferentes tipos de entradas.
* No se aborda la relación entre la validación de entradas y la reducción de errores en tiempo de ejecución.
* No se proporciona un ejemplo concreto de cómo la validación de entradas en TDD puede mejorar la robustez del software.
**Calificación: 6/10**
La respuesta proporcionada es parcialmente correcta, pero requiere más detalles y ejemplos para abordar completamente la importancia de validar entradas en TDD y su relación con la robustez del software.
**Sugerencias para mejorar la respuesta:**
* Proporcionar un ejemplo concreto de cómo la validación de entradas en TDD puede mejorar la robustez del software.
* Explorar cómo la validación de entradas ayuda a reducir errores en tiempo de ejecución y mejorar la previsibilidad del software.
* Incluir un resumen de cómo la validación de entradas en TDD es esencial para asegurar que el software responda de manera consistente y predecible a diferentes tipos de entradas.&lt;|eot_id|&gt;</t>
  </si>
  <si>
    <t>Respuesta: El ciclo TDD es una forma de desarrollar software y para comprobar el funcionmiento de un codigo en la se basa en 3 partes, las cuales son red, green y refactor.
Red: hacer un test que falle 
Green: arreglar ese mismo test con lo minimo necesario para que salga verde y por tanto este bien hecho
Refactor: como su propio nombre indica, refactorizar el codigo del test anterior para que sea mas sencillo y simple pero que el resultado sea el mismo, verde.</t>
  </si>
  <si>
    <t>**Evaluación de la respuesta**
La respuesta proporcionada describe el ciclo TDD (Test-Driven Development) de manera básica, aunque no es tan detallada como la respuesta ideal proporcionada. A continuación, se presentan los conceptos correctamente mencionados, los errores detectados y los conceptos importantes que faltan:
**Conceptos correctamente mencionados:**
* El ciclo TDD se compone de 3 partes: Red, Green y Refactor.
* La primera etapa es escribir un test que falle (Red).
* La segunda etapa es arreglar el test con el mínimo código necesario para que pase (Green).
* La tercera etapa es refactorizar el código para que sea más simple y fácil de mantener (Refactor).
**Errores detectados:**
* La respuesta no menciona explícitamente que el objetivo del ciclo TDD es asegurar que el código cumpla con las especificaciones definidas inicialmente por los tests.
* No se menciona la importancia de que el test en la etapa "Red" sea específico y detallado, y que en la etapa "Green" se implemente el mínimo código necesario para que el test pase.
* La respuesta no destaca la importancia de la refactorización en la etapa final para mantener el código limpio y fácil de mantener.
**Conceptos importantes que faltan:**
* La respuesta no menciona la importancia de escribir tests unitarios y automatizados para asegurar la calidad del código.
* No se destaca la ventaja de que el ciclo TDD promueve un desarrollo proactivo y preventivo, en lugar de reativo.
**Calificación: 6/10**
La respuesta proporcionada es una buena introducción al ciclo TDD, pero no es tan detallada como la respuesta ideal. La respuesta necesita más claridad y profundidad en la explicación de los conceptos y la importancia del ciclo TDD en el desarrollo de software.&lt;|eot_id|&gt;</t>
  </si>
  <si>
    <t>Respuesta: El enfoque tradicional se basa en escribir el codigo completo e ir comprobando si sale en verde o en rojo y ahi corregir si es necesario.
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
De esta forma, haces que quede mas ordenado a la hora de revisar el codigo y mas entendible y legible para una tercera persona que quiera comprobar el codigo.</t>
  </si>
  <si>
    <t>**Evaluación de la respuesta**
La respuesta proporcionada es una descripción general de la diferencia entre el enfoque tradicional de testing y TDD, pero no es completamente precisa o completa.
**Conceptos correctamente mencionados:**
* La respuesta menciona la secuencia de desarrollo en el enfoque tradicional (escribir código completo y luego comprobar si sale en verde o rojo).
* También menciona las tres fases de TDD (desarrollar código erróneo, cambiar lo mínimo necesario para que salga en verde y refactorizar el código).
**Errores detectados:**
* La respuesta describe la fase de desarrollo de TDD como "desarrollar código erróneo en un principio", lo que no es exacto. En TDD, la primera fase es escribir un test que falla, no desarrollar código erróneo.
* La respuesta también sugiere que la refactorización es la tercera fase de TDD, lo que no es exacto. La refactorización es una etapa adicional que se realiza después de que todos los tests pasen, no una parte integral de las tres fases.
* La respuesta no menciona la importancia de la validación de entradas en TDD, la importancia de escribir solo los tests necesarios para que fallen, o la necesidad de evitar la duplicación de código, lo que son conceptos clave en TDD.
**Conceptos importantes que faltan:**
* La respuesta no menciona la importancia de escribir tests antes del código en TDD, ni la importancia de que los tests sean obligatorios y ayuden a prevenir errores desde el inicio.
* No se menciona la diferencia en la secuencia de desarrollo entre TDD y el enfoque tradicional, ni la importancia de que TDD promueva un desarrollo proactivo y enfocado.
**Calificación: 4/10**
La respuesta proporcionada es una buena intento de describir la diferencia entre TDD y el enfoque tradicional de testing, pero no es completamente precisa o completa. Se necesitan más detalles y conceptos para mejorar la respuesta.&lt;|eot_id|&gt;</t>
  </si>
  <si>
    <t>Respuesta: Las buenas practicas desarrollando codigo mediante TDD hace que tu codigo y los test que vayas a desarrollar esten bien estructurados y faciles de modificar una vez terminados.
Alguna de estas buenas practicas son el buen uso del cicle TDD, es decir, que siempre que lo utilices sigas siempre el orden establecido, ademas de que una vez comenzado este ciclo, no debes cambiar a otros metodos tradicionales.</t>
  </si>
  <si>
    <t>**Evaluación de la respuesta**
La respuesta proporcionada describe algunas buenas prácticas en TDD, pero no cubre completamente el alcance de la pregunta. A continuación, se presentan los conceptos correctamente mencionados, errores detectados y conceptos importantes que faltan:
**Conceptos correctamente mencionados:**
* La importancia de estructurar el código y los tests de manera efectiva para facilitar la modificación futura.
* La importancia de seguir el ciclo TDD y no cambiar a otros métodos tradicionales una vez iniciado el ciclo.
**Errores detectados:**
* La respuesta no menciona explícitamente las buenas prácticas en TDD, como escribir solo los tests necesarios para que fallen, evitar la duplicación de código y refactorizar regularmente.
* No se menciona la importancia de la claridad y concisión en la escritura de tests y código.
* La respuesta parece confundir las buenas prácticas con la propia implementación de TDD, en lugar de enfocarse en las prácticas específicas que lo caracterizan.
**Conceptos importantes que faltan:**
* La importancia de escribir tests que cubran el 100% del código y no solo los casos más obvios.
* La necesidad de mantener los tests actualizados y refactorear el código para mantener su calidad y eficiencia.
* La importancia de la colaboración entre desarrolladores y testers en la implementación de TDD.
**Calificación: 6/10**
La respuesta proporcionada muestra una comprensión básica de las buenas prácticas en TDD, pero no cubre completamente el alcance de la pregunta. La respuesta necesita ser más detallada y precisa para reflejar la complejidad y la profundidad del tema.&lt;|eot_id|&gt;</t>
  </si>
  <si>
    <t>Respuesta: 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</si>
  <si>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**Evaluación de la respuesta**
La respuesta proporcionada aborda la importancia de validar entradas en el contexto de TDD, aunque no lo hace de manera exhaustiva. A continuación, se presentan los conceptos correctamente mencionados, los errores detectados y los conceptos importantes que faltan:
**Conceptos correctamente mencionados:**
1. La importancia de validar entradas en TDD.
2. Ejemplos de tipos de entradas que pueden generar errores (valores imposibles, nulos y vacíos).
**Errores detectados:**
1. La respuesta no menciona explícitamente cómo la validación de entradas mejora la robustez del software.
2. No se explica de manera clara cómo la validación de entradas se relaciona con el ciclo TDD.
3. La respuesta no menciona la importancia de escribir tests para validar las entradas antes de implementar la lógica del negocio.
**Conceptos importantes que faltan:**
1. La relación entre la validación de entradas y la reducción de errores en tiempo de ejecución.
2. La importancia de la validación de entradas para facilitar el mantenimiento y la comprensión del software.
3. Ejemplos concretos de cómo la validación de entradas puede afectar la robustez del software en diferentes escenarios.
**Calificación: 6/10**
La respuesta proporcionada muestra una comprensión básica de la importancia de validar entradas en TDD, pero no aborda de manera exhaustiva el tema. La respuesta necesita mejorar en la claridad y detalle de la explicación, así como en la inclusión de ejemplos y conceptos adicionales para respaldar su argumento.&lt;|eot_id|&gt;</t>
  </si>
  <si>
    <t>Respuesta: El ciclo de TDD consta de 3 partes del ciclo: 
Rojo: el cual el test que has realizado no se puede realizar ya que no hay código que lo verifique.
Verde: que con el mínimo código el test pase a verde.
Refactor: que es pulir el código, ya sea poniendo nombre de variables que explique que hace, que los nombres de las funciones tengan sentido, etc
Esta metodología se utiliza para evitar futuros bugs, son muy buenos si quieres hacer tests unitarios, que significa que cada test verifica solo una cosa.</t>
  </si>
  <si>
    <t>**Evaluación de la respuesta**
La respuesta proporcionada describe el ciclo TDD de manera básica, pero faltan algunos conceptos importantes y no es del todo precisa. A continuación, se presentan los conceptos correctamente mencionados, los errores detectados y los conceptos importantes que faltan:
**Conceptos correctamente mencionados:**
* El ciclo TDD consta de tres etapas: Rojo, Verde y Refactor.
* La etapa Rojo se refiere a la situación en la que el test no se puede realizar porque no hay código que lo verifique.
* La etapa Verde se refiere a la situación en la que se desarrolla el mínimo código necesario para que el test pase.
* La etapa Refactor se refiere a la mejora del código, incluyendo la claridad de las variables y funciones.
**Errores detectados:**
* La descripción de la etapa Refactor es demasiado vaga y no menciona la importancia de mantener los tests en verde.
* No se menciona la importancia de escribir tests que fallen (Rojo) antes de implementar el código.
* No se menciona la importancia de que cada test verifique solo una cosa (test unitario).
**Conceptos importantes que faltan:**
* La importancia de que el ciclo TDD se repita iterativamente para asegurar la calidad del código.
* La importancia de que los tests sean escritos antes de implementar el código.
* La importancia de que los tests sean independientes y no se dupliquen.
**Nota:** 6/10
La respuesta proporcionada es una buena base para entender el ciclo TDD, pero necesita ser más detallada y precisa. Se recomienda leer la respuesta ideal proporcionada para obtener una comprensión más profunda de la importancia y los conceptos involucrados en el ciclo TDD.&lt;|eot_id|&gt;</t>
  </si>
  <si>
    <t>Respuesta: 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</si>
  <si>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**Evaluación de la respuesta**
La respuesta proporcionada describe la diferencia entre TDD (Desarrollo Guiado por Pruebas) y el enfoque tradicional de testing en el desarrollo de software. A continuación, se presentan los conceptos correctamente mencionados, los errores detectados y los conceptos importantes que faltan:
**Conceptos correctamente mencionados:**
* La secuencia inversa entre TDD y el enfoque tradicional de testing (TDD: test primero, luego código; enfoque tradicional: código primero, luego test)
* El objetivo de un test unitario en TDD (verificar que el código produzca el resultado correcto)
**Errores detectados:**
* La descripción del enfoque tradicional de testing es incompleta y simplista (no menciona la importancia de los tests en el enfoque tradicional)
* La explicación del proceso de TDD es un poco confusa (no se menciona la etapa de refactorización)
**Conceptos importantes que faltan:**
* La importancia de la refactorización en TDD
* La diferencia en la frecuencia y la intensidad de los tests en TDD y el enfoque tradicional
* La relación entre TDD y la calidad del software (robustez, mantenibilidad, etc.)
**Calificación: 6/10**
La respuesta proporcionada muestra una buena comprensión de la diferencia entre TDD y el enfoque tradicional de testing, pero necesita mejorar en la claridad y completitud de la explicación. La respuesta podría ser más precisa y detallada, y podría incluir ejemplos concretos para ilustrar los conceptos.&lt;|eot_id|&gt;</t>
  </si>
  <si>
    <t>Respuesta: Primero crear el test que quieres ahcer sobre una función, y luego el código que vaya a hacer esa función.
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</si>
  <si>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**Evaluación de la respuesta**
La respuesta proporcionada describe las buenas prácticas en TDD, pero no cubre completamente el alcance de la pregunta. A continuación, se presentan los conceptos correctamente mencionados, los errores detectados y los conceptos importantes que faltan:
**Conceptos correctamente mencionados:**
1. La importancia de escribir tests antes del código.
2. La secuencia de ciclos TDD: rojo, verde, refactor.
3. La importancia de mantener el código limpio y organizado.
4. La importancia de que cada función haga una tarea específica.
**Errores detectados:**
1. La respuesta no menciona explícitamente la importancia de validar que el test falla antes de implementar el código.
2. No se menciona la importancia de refactorear el código manteniendo todos los tests en verde.
3. La respuesta no es clara en cuanto a la importancia de evitar la duplicación de código.
4. No se menciona la importancia de que los nombres de las variables y funciones sean lógicos y descriptivos.
**Conceptos importantes que faltan:**
1. La importancia de escribir tests solo para lo que se quiere probar.
2. La importancia de que los tests sean independientes y no dependan de otros tests.
3. La importancia de que los tests sean escritos de manera que sean fáciles de entender y mantener.
**Nota:** 6/10
La respuesta proporcionada es buena, pero no cubre completamente el alcance de la pregunta. La respuesta muestra una buena comprensión de los conceptos básicos de TDD, pero falta la profundidad y claridad necesarias para obtener una nota alta.&lt;|eot_id|&gt;</t>
  </si>
  <si>
    <t>Respuesta: 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</si>
  <si>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**Nota:** 6/10
**Conceptos correctamente mencionados:**
* La importancia de validar entradas en el contexto de TDD.
* La relación entre la validación de entradas y la robustez del software.
* La idea de que la cantidad y calidad de tests influye en la robustez del software.
**Errores detectados:**
* La respuesta no es clara y concisa, y no sigue un orden lógico.
* La frase "Validar entradas es limitado por los test que tú pongas" es incorrecta, ya que la validación de entradas es una parte fundamental de TDD y no se limita a los tests.
* La idea de que "la robustez del software será mucho menor" es subjetiva y no está respaldada por evidencia.
* La respuesta no menciona la importancia de la validación de entradas en prevenir errores y comportamientos inesperados en el software.
* La frase "si no hay un test que se de cuenta de ello" es incorrecta, ya que los tests deben ser escritos antes de implementar la lógica del negocio, no después.
**Conceptos importantes que faltan:**
* La importancia de escribir tests que cubran todas las posibles entradas y casos de error.
* La idea de que la validación de entradas ayuda a prevenir errores y comportamientos inesperados en el software.
* La relación entre la validación de entradas y la mantenibilidad del software.
**Recomendaciones para mejorar la respuesta:**
* Asegúrate de que la respuesta sea clara y concisa.
* Utiliza un orden lógico y estructurado en la respuesta.
* Añade ejemplos concretos y claros para ilustrar la importancia de la validación de entradas en TDD.
* Menciona la importancia de escribir tests que cubran todas las posibles entradas y casos de error.
* Utiliza conceptos técnicos y términos específicos relacionados con TDD y desarrollo de software.&lt;|eot_id|&gt;</t>
  </si>
  <si>
    <t>Respuesta: El TDD tiene mucha relevancia en el desarrollo de software ya qu lo que se esta realizando es principalmente la creacion de TESTS previos al codigo, una vez ya realizado el TEST se realizaría el código con el cual se verificaría la prueba se divide en tres partes:
RED: se realiza el test pero sin el codigo
GREEN: se realiza el codigo para que este funcione 
REFACTOR: el cual principalmente lo que hace es realizar el codigo de una forma mas optima.</t>
  </si>
  <si>
    <t>**Evaluación de la respuesta**
La respuesta proporcionada explica de manera básica el ciclo TDD, pero no alcanza a profundizar en la importancia y los conceptos clave de este enfoque de desarrollo de software. A continuación, se presentan los conceptos correctamente mencionados, los errores detectados y los conceptos importantes que faltan:
**Conceptos correctamente mencionados:**
* El ciclo TDD se divide en tres etapas: RED, GREEN y REFACTOR.
* La primera etapa (RED) implica realizar un test sin el código.
* La segunda etapa (GREEN) implica desarrollar el código para que el test pase.
* La tercera etapa (REFACTOR) implica mejorar el código de manera óptima.
**Errores detectados:**
* La respuesta no explica con claridad el propósito de cada etapa del ciclo TDD.
* No se menciona la importancia de que los tests sean escritos antes del código en TDD.
* No se explica cómo el ciclo TDD promueve un desarrollo proactivo y asegura que el código cumpla con las especificaciones definidas inicialmente por los tests.
**Conceptos importantes que faltan:**
* La importancia de que los tests sean escritos antes del código en TDD.
* La relación entre el ciclo TDD y la creación de software de alta calidad.
* La forma en que el ciclo TDD promueve la refactorización y la mejora continua del código.
**Calificación: 6/10**
La respuesta proporcionada muestra una comprensión básica del ciclo TDD, pero no alcanza a profundizar en los conceptos clave de este enfoque de desarrollo de software. Para mejorar, se recomienda que la respuesta incluya una explicación más detallada de cada etapa del ciclo TDD y su importancia en la creación de software de alta calidad.&lt;|eot_id|&gt;</t>
  </si>
  <si>
    <t>Respuesta: 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</si>
  <si>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**Evaluación de la respuesta**
La respuesta proporcionada describe la diferencia entre TDD (Testing-Driven Development) y un enfoque tradicional de testing en el desarrollo de software. A continuación, se presentan los conceptos correctamente mencionados, errores detectados y conceptos importantes que faltan:
**Conceptos correctamente mencionados:**
1. La secuencia de TDD, donde los tests se escriben antes del código.
2. La importancia de verificar el código existente en TDD.
**Errores detectados:**
1. La respuesta no menciona la principal diferencia entre TDD y el enfoque tradicional de testing, que es que en TDD los tests son obligatorios y se utilizan para prevenir errores desde el inicio, mientras que en el enfoque tradicional los tests pueden ser opcionales y se utilizan para validar el trabajo ya realizado.
2. La respuesta no menciona la importancia de la iteración en TDD, donde se refuerza el código y se asegura que los tests sigan pasando.
3. La respuesta no es muy clara en cuanto a la secuencia de eventos en el enfoque tradicional de testing, lo que puede llevar a confusiones.
**Conceptos importantes que faltan:**
1. La importancia de la iteración en TDD y la mejora continua del código.
2. La diferencia en la frecuencia y la intensidad de los tests en TDD y el enfoque tradicional.
3. La relación entre TDD y la calidad del software, como la robustez y la mantenibilidad.
**Calificación: 6/10**
La respuesta proporcionada es básica y no profundiza en la diferencia fundamental entre TDD y el enfoque tradicional de testing. Sin embargo, reconoce la secuencia de TDD y la importancia de verificar el código existente. Para mejorar, se debe enfocar en la diferencia en la frecuencia y la intensidad de los tests, la importancia de la iteración en TDD y la relación con la calidad del software.&lt;|eot_id|&gt;</t>
  </si>
  <si>
    <t>Respuesta: 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</si>
  <si>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**Evaluación de la respuesta**
La respuesta proporcionada ofrece una visión general de las buenas prácticas en TDD, pero falta claridad y profundidad en algunos aspectos clave. A continuación, se presentan los conceptos correctamente mencionados, los errores detectados y los conceptos importantes que faltan:
**Conceptos correctamente mencionados:**
1. La importancia de planificar y pensar en los tests antes de escribir el código.
2. La necesidad de optimizar el código para que pase los tests.
3. La aplicación de TDD en proyectos grandes e importantes.
**Errores detectados:**
1. La respuesta no menciona explícitamente las buenas prácticas de TDD, como escribir solo los tests necesarios para que fallen, evitar la duplicación de código y refactorizar regularmente.
2. No se explica claramente cómo la optimización del código impacta en la calidad del software.
3. La respuesta sugiere que TDD no es funcional en proyectos pequeños, lo que no es cierto. TDD puede ser aplicado en proyectos de cualquier tamaño.
**Conceptos importantes que faltan:**
1. La importancia de escribir tests que cubran el 100% del código.
2. La necesidad de mantener los tests actualizados y refactores.
3. El impacto de TDD en la reducción de errores y mejoramiento de la calidad del software.
**Nota:** 6/10
La respuesta proporcionada muestra una comprensión básica de las buenas prácticas en TDD, pero necesita ser más detallada y precisa. La falta de claridad en algunos aspectos clave y la omisión de conceptos importantes reducen la nota.&lt;|eot_id|&gt;</t>
  </si>
  <si>
    <t>Respuesta: 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</si>
  <si>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**Evaluación de la respuesta**
La respuesta proporcionada muestra una comprensión básica de la importancia de validar entradas en el contexto de TDD y su relación con la robustez del software. A continuación, se presentan los conceptos correctamente mencionados, los errores detectados y los conceptos importantes que faltan:
**Conceptos correctamente mencionados:**
1. La importancia de validar entradas en TDD para evitar errores y fallos en el sistema.
2. El ejemplo de un escenario de registro de usuarios con correo electrónico duplicado como consecuencia de la falta de validación de entradas.
3. La relación entre la validación de entradas y la robustez del software.
**Errores detectados:**
1. La respuesta no menciona explícitamente el ciclo de TDD y su relación con la validación de entradas.
2. La explicación de la importancia de la validación de entradas es un poco vaga y no se menciona específicamente cómo la validación de entradas ayuda a prevenir errores y comportamientos inesperados en el software.
3. La respuesta no menciona la importancia de la validación de entradas en términos de la calidad del código y su mantenibilidad.
**Conceptos importantes que faltan:**
1. La explicación de cómo la validación de entradas se integra en el ciclo de TDD (rojo-verde-refactor).
2. La descripción de cómo la validación de entradas ayuda a prevenir errores y comportamientos inesperados en el software.
3. La mención de cómo la validación de entradas mejora la calidad del código y su mantenibilidad.
**Calificación: 6/10**
La respuesta proporcionada muestra una comprensión básica de la importancia de la validación de entradas en el contexto de TDD, pero falta claridad y profundidad en la explicación. La respuesta necesita mejorar en términos de la descripción del ciclo de TDD y la explicación de cómo la validación de entradas ayuda a prevenir errores y mejorar la calidad del código.&lt;|eot_id|&gt;</t>
  </si>
  <si>
    <t>Respuesta: Es un ciclo que sirve para el desarrollar el codigo que tienes en tu programa y ver que funviona correctamente.
Con esto me refiero a que una vez que escribes el codigo haces una serie de test que validan si esta bien hecho o esta mal hecho.
Consta de tres etapas: 
- La etapa roja (primera): sirve para ver que tienes mal al principio los test.
- La etapa verde(segunda): con el codigo mas simple posible ver que estan bien hechos los test 
-La  etapa de refactorizacion (tercera): para hacerlo todo mejor y tener la version final.
En conclusion este ciclo te ayuda a entender y simplifica el desarrollo de software</t>
  </si>
  <si>
    <t>**Evaluación de la respuesta**
La respuesta proporcionada describe de manera básica el ciclo TDD (Test-Driven Development), pero no aborda con precisión los conceptos clave y conceptos importantes que faltan.
**Conceptos correctamente mencionados:**
* El ciclo TDD consta de tres etapas.
* La primera etapa se refiere a la etapa "roja" en la que los tests fallan porque la funcionalidad no ha sido implementada.
* La segunda etapa se refiere a la etapa "verde" en la que se desarrolla el código mínimo necesario para que los tests pasen.
* La tercera etapa se refiere a la refactorización del código.
**Errores detectados:**
* La respuesta no menciona con precisión la importancia del ciclo TDD en el desarrollo de software.
* La etapa "roja" no se describe correctamente como la etapa en la que se escribe un test que falla porque la funcionalidad aún no ha sido implementada.
* La etapa "verde" no se describe correctamente como la etapa en la que se desarrolla el código mínimo necesario para que el test pase.
* La etapa de refactorización no se describe correctamente como la etapa en la que se mejora el código manteniendo todos los tests en verde.
* La respuesta no menciona la importancia de la claridad y la precisión en la explicación.
**Conceptos importantes que faltan:**
* La importancia del ciclo TDD en el desarrollo de software, como promover un desarrollo proactivo y asegurar que el código cumple con las especificaciones definidas inicialmente por los tests.
* La importancia de escribir tests que fallan para identificar la funcionalidad que falta.
* La importancia de desarrollar el código mínimo necesario para que el test pase.
* La importancia de refactorizar el código para mantenerlo limpio y eficiente.
**Calificación: 4/10**
La respuesta proporcionada es básica y no aborda con precisión los conceptos clave del ciclo TDD. Aunque menciona las tres etapas del ciclo, no describe con claridad y precisión cada etapa y no aborda la importancia del ciclo en el desarrollo de software.&lt;|eot_id|&gt;</t>
  </si>
  <si>
    <t>Respuesta: El enfoque tradicional consiste en escribir el codigo y luego ejecuta los test, en cambio de otro modo se escriben primero los test y luego ya ejecutas el codigo para ver si lo tenias bien.
De la  forma TDD queda mucho mas claro tu codigo ,ademas es mas ordenado y sobre todo mas practico que en el modelo tradicional.</t>
  </si>
  <si>
    <t>**Evaluación de la respuesta**
La respuesta proporcionada presenta una visión básica de la comparación entre TDD (Testing-Driven Development) y el enfoque tradicional de testing en el desarrollo de software. A continuación, se presentan los conceptos correctamente mencionados, errores detectados y conceptos importantes que faltan, junto con una calificación numérica entre 0 y 10.
**Conceptos correctamente mencionados:**
* La respuesta menciona la secuencia de escritura de código y tests en el enfoque tradicional (escribir código y luego ejecutar tests).
* Se menciona la secuencia de escritura de tests y código en TDD (escribir tests primero y luego ejecutar código).
* Se destaca la ventaja de TDD en términos de claridad, orden y practicidad del código.
**Errores detectados:**
* La respuesta no menciona la importancia de los tests en TDD, su propósito y cómo se relacionan con la robustez del software.
* No se menciona la diferencia en la secuencia de escritura de código y tests en TDD y el enfoque tradicional en términos de la prevención de errores y la mejora de la calidad del código.
* La respuesta es muy breve y no proporciona ejemplos o casos de uso para ilustrar la diferencia entre TDD y el enfoque tradicional.
**Conceptos importantes que faltan:**
* La importancia de la iteración y la refactoring en TDD.
* La relación entre TDD y la reducción de la complejidad del código.
* La importancia de la automatización de los tests en TDD.
**Calificación: 6/10**
La respuesta proporcionada presenta una visión básica de la comparación entre TDD y el enfoque tradicional de testing, pero falta profundidad y detalle en la explicación. La respuesta no menciona algunos conceptos importantes y no proporciona ejemplos o casos de uso para ilustrar la diferencia entre ambas metodologías.&lt;|eot_id|&gt;</t>
  </si>
  <si>
    <t>Respuesta: Una buena practica utilizando TDD hace que tu codigo y tus test esten mucho mejor estructurados que de otra forma.
Ademas al seguir un orden es mas facil de detectar un error si lo tuvieses  y el codigo es mucho mas legible.
Por otro parte es mas sencillo entender lo que estas haciendo ya que consta de hacer tres test para que todo funcione en orden y correctamente y si te confundieses en una fase podrias arreglarlo facilmente</t>
  </si>
  <si>
    <t>**Evaluación de la respuesta**
La respuesta proporcionada describe algunas buenas prácticas en TDD, pero no cubre exhaustivamente el tema. A continuación, se presentan los conceptos correctamente mencionados, los errores detectados y los conceptos importantes que faltan:
**Conceptos correctamente mencionados:**
* La respuesta menciona que la buena práctica de utilizar TDD mejora la estructura del código y los tests.
* Se destaca la importancia de seguir un orden en el proceso de TDD.
* Se menciona que la claridad y la legibilidad del código se mejoran al seguir un orden establecido.
**Errores detectados:**
* La respuesta no menciona explícitamente las buenas prácticas en TDD, como escribir solo los tests necesarios para que fallen, evitar la duplicación de código y refactorizar regularmente.
* No se menciona el impacto en la calidad del software, como la mejora en la robustez, la mantenibilidad y la comprensión del código.
* La respuesta no es clara en cuanto a la importancia de la refactorización en el proceso de TDD.
**Conceptos importantes que faltan:**
* La respuesta no menciona la importancia de escribir tests que cubran todos los casos de uso y escenarios posibles.
* No se destaca la importancia de la retroalimentación continua en el proceso de TDD.
* La respuesta no menciona la relación entre TDD y la reducción de errores en tiempo de ejecución.
**Calificación: 6/10**
La respuesta proporcionada es una buena base, pero requiere más profundidad y claridad en la descripción de las buenas prácticas en TDD y su impacto en la calidad del software.&lt;|eot_id|&gt;</t>
  </si>
  <si>
    <t>Respuesta: El validar las entradas en el contexto tienen mucha importancia pues necesitas saber si son correctas o no y si no las validases podrian ser erroneas y podrian perjudicar tu proyecto.
Ademas le da una mayor rigidez a tu programa (como ya he dicho anteriormente) haciendo que sea todo mas legible y mucho mas ordenado</t>
  </si>
  <si>
    <t>**Evaluación de la respuesta**
La respuesta proporcionada aborda la importancia de validar entradas en el contexto de TDD, pero no lo hace de manera completa y precisa. A continuación, se presentan los conceptos correctamente mencionados, los errores detectados y los conceptos importantes que faltan:
**Conceptos correctamente mencionados:**
* La importancia de validar entradas en TDD.
* La necesidad de saber si las entradas son correctas o no.
* La posibilidad de que las entradas incorrectas puedan perjudicar el proyecto.
**Errores detectados:**
* La respuesta no menciona explícitamente cómo la validación de entradas se relaciona con la robustez del software.
* No se explica de manera clara cómo la validación de entradas ayuda a mejorar la legibilidad y la ordenación del programa.
* La respuesta parece confundir la validación de entradas con la rigidez del programa, lo que no es exactamente lo mismo.
**Conceptos importantes que faltan:**
* No se menciona que la validación de entradas ayuda a prevenir errores y comportamientos inesperados en el software.
* No se explica cómo la validación de entradas facilita el mantenimiento y la comprensión del software.
* No se menciona que la validación de entradas es una parte crucial del proceso de TDD.
**Nota:** 6/10
**Justificación:** La respuesta proporcionada muestra una comprensión básica de la importancia de validar entradas en TDD, pero no es lo suficientemente detallada ni precisa. La respuesta necesita mejorar en la explicación de cómo la validación de entradas se relaciona con la robustez del software y en la mención de conceptos importantes que faltan.&lt;|eot_id|&gt;</t>
  </si>
  <si>
    <t>Respuesta: El ciclo TDD, es una metodologia de desarollo de sofware que contsa de tres partes
red - crear un test para un metodo que falle, puesto que todavia no esta implementado
green - Crear el codigo minimo necesario para que dicha prueba pase
refactor - Refactorizamos el codigo creado, pero manteniendo el test en verde es decir, prueba pasada
La importancia del TDD, es debido que favorece la documentacion en vivo , favorece un mejor diseño de codigo, hay menos dubbin y obtenemos cobertura casi total del codigo</t>
  </si>
  <si>
    <t>**Evaluación de la respuesta**
La respuesta proporcionada intenta explicar el ciclo TDD y su importancia en el desarrollo de software, pero presenta algunos errores y omisiones. A continuación, se presentan los conceptos correctamente mencionados, los errores detectados y los conceptos importantes que faltan:
**Conceptos correctamente mencionados:**
* El ciclo TDD se compone de tres etapas: rojo, verde y refactor.
* La primera etapa (rojo) implica crear un test que falle porque la funcionalidad no está implementada.
* La segunda etapa (verde) implica crear el código mínimo necesario para que el test pase.
* La tercera etapa (refactor) implica refactorizar el código manteniendo el test en verde.
**Errores detectados:**
* La respuesta no menciona que el objetivo de cada etapa es asegurarse de que el test pase, lo que implica que el código cumple con la especificación definida.
* La respuesta no menciona la importancia de que el test falle en la primera etapa para asegurarse de que la funcionalidad no está implementada.
* La respuesta utiliza términos incorrectos, como "contsa" en lugar de "consta" y "dubbins" en lugar de "dudas".
**Conceptos importantes que faltan:**
* La importancia de que el test falle en la primera etapa para asegurarse de que la funcionalidad no está implementada.
* La importancia de que el test pase en la segunda etapa para asegurarse de que el código cumple con la especificación definida.
* La importancia de la refactorización en la tercera etapa para mejorar la calidad y mantenibilidad del código.
* La importancia del TDD en la creación de software robusto y de alta calidad.
**Nota:** 6/10
La respuesta proporcionada muestra una comprensión básica del ciclo TDD, pero presenta errores y omisiones importantes. La respuesta no explica claramente la importancia de cada etapa y no menciona algunos conceptos clave, como la importancia de que el test falle en la primera etapa y la refactorización en la tercera etapa.&lt;|eot_id|&gt;</t>
  </si>
  <si>
    <t>Respuesta: En otros enfoques por lo general, primero se realiza el codigo y luego las pruebas , esto provocara que haya partes del codigo que no se prueben debido a fallos en el equipo de testing, sin embargo TDD garantiza que cada funcion al menos tiene un test aprobado es decir funciona.
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
Por otro lado la regresion es mas sencilla en TDD ya que si se agrega una nueva funcion y el programa falla sabemos con seguridad que ha sido la nueva funcionalidad, en otros enfoques habria que probar todas las funciones hasta dar con la que falla</t>
  </si>
  <si>
    <t>**Evaluación de la respuesta**
La respuesta proporcionada ofrece una comprensión básica de la comparación entre TDD (Desarrollo Guiado por Pruebas) y un enfoque tradicional de testing en el desarrollo de software. A continuación, se presentan los conceptos correctamente mencionados, errores detectados y conceptos importantes que faltan:
**Conceptos correctamente mencionados:**
1. La secuencia de desarrollo en TDD: Primero, se escribe el código y luego las pruebas, en comparación con la secuencia tradicional.
2. La importancia de garantizar que cada función tenga un test aprobado en TDD.
3. La ventaja de TDD en cuanto a la detección de errores y la regresión.
**Errores detectados:**
1. La respuesta no menciona explícitamente la diferencia en la secuencia de desarrollo entre TDD y el enfoque tradicional de testing. Aunque se menciona que en TDD se escribe el código y luego las pruebas, no se aclara que en TDD se escriben las pruebas antes del código.
2. La respuesta no destaca la importancia de la especificación y la guía que proporcionan las pruebas en TDD.
3. La explicación sobre la regresión en TDD no es clara y podría ser más precisa.
**Conceptos importantes que faltan:**
1. La importancia de la robustez y la calidad del software en TDD.
2. La ventaja de TDD en cuanto a la reducción de la complejidad del código y la mejora de la mantenibilidad.
3. La importancia de refactorizar regularmente en TDD.
**Calificación: 7/10**
La respuesta proporcionada ofrece una comprensión básica de la comparación entre TDD y un enfoque tradicional de testing, pero falta claridad y profundidad en algunos aspectos. La respuesta podría ser mejorada con la inclusión de conceptos importantes y una mayor precisión en la explicación.&lt;|eot_id|&gt;</t>
  </si>
  <si>
    <t>Respuesta: * Usar sintaxis estandar para metodos test when[condicion]should[accion]
* Usar sintaxis estandar para las clases test libros.java - aplicacion librosTest.java seran las pruebas
* Usar AAA para las pruebas (arrange,act,assert)
* Las pruebas deben ser independientes de los datos
* Los datos de pruebas tienen que estar bien definidos y descritos ej data=[1,3,7] estaria mal seria algo tipo numeros_primos=[1,2,7]
* Hacer una sola comprobacion por test
De esta manera nos aseguramos que el software sea modular, mas desacoplado, no haya codigo muerto y aplicamos el patron YAGNI (You arent gonna need it)</t>
  </si>
  <si>
    <t>**Evaluación de la respuesta**
La respuesta proporcionada describe algunas buenas prácticas en TDD, pero no cubre completamente el alcance de las buenas prácticas en TDD y su impacto en la calidad del software. A continuación, se presentan los conceptos correctamente mencionados, errores detectados y conceptos importantes que faltan:
**Conceptos correctamente mencionados:**
1. La importancia de usar sintaxis estandar para métodos de prueba.
2. La importancia de usar AAA (Arrange, Act, Assert) para las pruebas.
3. La necesidad de que las pruebas sean independientes de los datos.
4. La importancia de definir y describir los datos de prueba de manera clara.
5. La necesidad de hacer una sola comprobación por test.
**Errores detectados:**
1. La respuesta no menciona la importancia de escribir solo los tests necesarios para que fallen (TDD).
2. No se menciona la importancia de evitar la duplicación de código.
3. No se menciona la importancia de refactorizar regularmente.
4. La respuesta no explica cómo estas buenas prácticas en TDD impactan en la calidad del software en términos de modularidad, desacoplamiento, código muerto y aplicación del patrón YAGNI.
5. La respuesta no menciona la importancia de validar entradas en el contexto de TDD.
**Conceptos importantes que faltan:**
1. La importancia de escribir tests antes del código.
2. La importancia de que los tests sean obligatorios en TDD.
3. La importancia de que los tests ayuden a prevenir errores desde el inicio.
4. La importancia de que los tests sean escritos en un lenguaje de programación específico (por ejemplo, JUnit en Java).
**Calificación: 7/10**
La respuesta proporcionada es buena, pero no cubre completamente el alcance de las buenas prácticas en TDD y su impacto en la calidad del software. Es importante mencionar que la respuesta es clara y concisa, y destaca algunos conceptos importantes. Sin embargo, faltan algunos conceptos clave que son esenciales para una comprensión completa de las buenas prácticas en TDD.&lt;|eot_id|&gt;</t>
  </si>
  <si>
    <t>Respuesta: Es fundamental, ya que entradas errornas (vacias, null, valores inesperados), hacen que el codigo o bien falle o bien no se comporte como deberia, es fudanmental validarlas para evitar fallos ya sean logicos o directamente errores.
Un codigo con las entradas validadas y cubiertas permitira que el programa funcione bajo cualquier condicion sin romperse, ni dar problemas haciendolo mas robusto</t>
  </si>
  <si>
    <t>**Evaluación de la respuesta**
La respuesta proporcionada aborda la importancia de validar entradas en el contexto de TDD, pero hay algunas áreas en las que se puede mejorar para alcanzar una calificación más alta.
**Conceptos correctamente mencionados:**
* La importancia de validar entradas en TDD para evitar errores y problemas en el código.
* La necesidad de validar entradas para prevenir fallos lógicos y errores directos.
* La relación entre la validación de entradas y la robustez del software.
**Errores detectados:**
* La respuesta no menciona explícitamente el ciclo TDD ni su relación con la validación de entradas.
* La respuesta no proporciona ejemplos concretos de entradas que podrían causar errores si no se validan.
* La respuesta utiliza un lenguaje un poco informal y no es muy claro en algunos puntos.
**Conceptos importantes que faltan:**
* La explicación sobre cómo la validación de entradas se integra en el ciclo TDD (rojo-verde-refactor).
* La importancia de la validación de entradas en la fase de diseño y planificación del software.
* Ejemplos de casos de uso donde la validación de entradas es crucial para la robustez del software.
**Calificación: 7/10**
La respuesta proporcionada muestra una buena comprensión de la importancia de la validación de entradas en TDD, pero podría mejorar en términos de claridad, precisión y completitud. Para alcanzar una calificación más alta, sería necesario proporcionar ejemplos concretos, explicar la relación con el ciclo TDD y enfatizar la importancia de la validación de entradas en la fase de diseño y planificación del software.&lt;|eot_id|&gt;</t>
  </si>
  <si>
    <t>Respuesta: 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</si>
  <si>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**Evaluación de la respuesta**
La respuesta proporcionada describe el ciclo TDD (Test Driven Development) de manera general, pero hay algunos conceptos que no están completamente claros o están mal explicados. A continuación, se presentan los conceptos correctamente mencionados, los errores detectados y los conceptos importantes que faltan:
**Conceptos correctamente mencionados:**
* El ciclo TDD se llama Test Driven Development.
* El ciclo TDD consta de tres etapas: Rojo, Verde y Refactoring.
**Errores detectados:**
* La respuesta no explica con claridad la razón por la que se requiere que el código esté en "Rojo" antes de escribir los tests. En realidad, se debe escribir un test que falla para demostrar que la funcionalidad aún no ha sido implementada.
* La respuesta no explica con claridad la importancia del estado "Verde", donde se verifica que el código pasa todos los tests. En realidad, el estado "Verde" es importante porque garantiza que el código cumple con las especificaciones definidas por los tests.
* La respuesta no explica con claridad el concepto de refactoring en el contexto del ciclo TDD. En realidad, el refactoring es la etapa en la que se mejora el código manteniendo todos los tests en verde.
**Conceptos importantes que faltan:**
* No se explica la importancia del ciclo TDD en el desarrollo de software, es decir, por qué es crucial en la creación de software de alta calidad.
* No se menciona la relación entre el ciclo TDD y la reducción de errores en el software.
**Calificación: 6/10**
La respuesta proporcionada es buena, pero necesita más claridad y detalles en algunos conceptos importantes. La respuesta no explica con claridad la razón por la que se requiere que el código esté en "Rojo" antes de escribir los tests, y no explica con claridad el concepto de refactoring en el contexto del ciclo TDD. Sin embargo, la respuesta menciona correctamente las tres etapas del ciclo TDD y su secuencia.&lt;|eot_id|&gt;</t>
  </si>
  <si>
    <t>Respuesta: 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</si>
  <si>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**Evaluación de la respuesta**
La respuesta proporcionada no aborda adecuadamente la pregunta de comparar TDD con un enfoque tradicional de testing en el desarrollo de software. A continuación, se presentan los conceptos correctamente mencionados, errores detectados y conceptos importantes que faltan:
**Conceptos correctamente mencionados:**
* La respuesta menciona que con TDD el código se escribe precisamente para pasar la primera fase, lo que es cierto ya que en TDD se escribe el código para que pase los tests escritos previamente.
* La respuesta menciona la importancia de la agilidad y la seguridad en el desarrollo de software, lo que es un concepto válido.
**Errores detectados:**
* La respuesta no diferencia claramente entre TDD y el enfoque tradicional de testing, lo que lleva a una comparación incorrecta.
* La respuesta no menciona la importancia de la secuencia y el propósito de los tests en TDD y en el enfoque tradicional.
* La respuesta no aborda la idea de que en TDD los tests son obligatorios y ayudan a prevenir errores desde el inicio, mientras que en el enfoque tradicional los tests pueden ser opcionales y se utilizan para validar el trabajo ya realizado.
* La respuesta no menciona la importancia de la refactorización en TDD.
**Conceptos importantes que faltan:**
* La respuesta no menciona la importancia de escribir solo los tests necesarios para que fallen, evitar la duplicación de código y refactorizar regularmente.
* La respuesta no menciona la idea de que en TDD se promueve un desarrollo proactivo, asegurando que el código producido cumple con las especificaciones definidas inicialmente por los tests.
* La respuesta no menciona la importancia de la robustez del software y cómo la validación de entradas ayuda a prevenir errores y comportamientos inesperados.
**Nota: 4/10**
La respuesta proporcionada no aborda adecuadamente la pregunta y no muestra una comprensión clara de los conceptos de TDD y el enfoque tradicional de testing en el desarrollo de software.&lt;|eot_id|&gt;</t>
  </si>
  <si>
    <t>Respuesta: Las buenas prácticas en TDD son: 
Escribir los test antes que el código: La calidad del software aumenta inherentemente dado a que tu código una vez programado solventa los fallos que no puede cometer.
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</si>
  <si>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**Evaluación de la respuesta**
La respuesta proporcionada describe algunas buenas prácticas en TDD, pero no cubre completamente el tema. A continuación, se presentan los conceptos correctamente mencionados, los errores detectados y los conceptos importantes que faltan:
**Conceptos correctamente mencionados:**
* Escribir los tests antes que el código es una buena práctica en TDD.
* La importancia de refactoring para mejorar la calidad del código.
**Errores detectados:**
* La respuesta no menciona la importancia de evitar la duplicación de código, que es otra buena práctica en TDD.
* No se menciona que los tests deben ser escritos solo para lo necesario, no para cubrir todos los casos posibles.
* La respuesta no explica cómo el refactoring ayuda a mejorar la mantenibilidad y la comprensión del código.
**Conceptos importantes que faltan:**
* La importancia de escribir tests que cubran todos los casos posibles y no solo los obvios.
* La importancia de utilizar un lenguaje de programación y herramientas adecuados para escribir tests.
* La importancia de integrar TDD en el ciclo de vida del proyecto para asegurar la calidad del software.
**Calificación: 6/10**
La respuesta proporcionada es buena, pero no es completa. Se necesita más información para cubrir todos los aspectos importantes de las buenas prácticas en TDD y su impacto en la calidad del software.&lt;|eot_id|&gt;</t>
  </si>
  <si>
    <t>Respuesta: Validar entradas en TDD es crucial para que este pueda ser ejecutado de una manera precisa y con los parámetros que deseamos probar, permitiendo así la asertividad del test y asegurando que es el código el que falla y no el propio test escrito.</t>
  </si>
  <si>
    <t>**Evaluación de la respuesta**
La respuesta proporcionada aborda la importancia de validar entradas en el contexto de TDD (Desarrollo Guiado por Pruebas), pero no lo hace con la claridad y profundidad necesarias. A continuación, se presentan los conceptos correctamente mencionados, los errores detectados y los conceptos importantes que faltan:
**Conceptos correctamente mencionados:**
* La importancia de validar entradas en TDD.
* La relación entre la validación de entradas y la asertividad del test.
* La necesidad de asegurarse de que el código sea el que falla y no el propio test.
**Errores detectados:**
* La respuesta no explica con claridad cómo la validación de entradas contribuye a la robustez del software.
* No se menciona la importancia de prevenir errores y comportamientos inesperados en el software.
* La respuesta no proporciona ejemplos o ejercicios prácticos para ilustrar la importancia de la validación de entradas en TDD.
**Conceptos importantes que faltan:**
* La relación entre la validación de entradas y la seguridad del software.
* La importancia de validar entradas para asegurarse de que el software se comporta correctamente en diferentes escenarios y condiciones.
* La necesidad de utilizar técnicas de validación de entradas para evitar ataques de inyección de código y otros tipos de ataques cibernéticos.
**Calificación: 6/10**
La respuesta proporcionada es parcialmente correcta, pero requiere más claridad y profundidad para abordar la importancia de la validación de entradas en el contexto de TDD y su relación con la robustez del software.&lt;|eot_id|&gt;</t>
  </si>
  <si>
    <t>Respuesta: 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</si>
  <si>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**Evaluación de la respuesta**
La respuesta proporcionada describe el ciclo TDD (Desarrollo Guiado por Pruebas) de manera general, aunque con algunas inexactitudes y omisiones importantes.
**Conceptos correctos mencionados:**
1. El ciclo TDD se compone de varias fases.
2. La fase "roja" (o "rojo") implica hacer que los tests fallen.
3. La fase "verde" implica desarrollar el mínimo código necesario para que los tests pasen.
4. La fase "refactor" implica mejorar el código manteniendo todos los tests en verde.
**Errores y omisiones detectados:**
1. La respuesta no menciona explícitamente la secuencia correcta de las fases: primero la fase "roja", luego la fase "verde" y finalmente la fase "refactor".
2. La respuesta no explica con claridad la importancia de cada fase en el ciclo TDD.
3. La respuesta no menciona la importancia de que los tests sean escritos antes del código en el ciclo TDD.
**Conceptos importantes que faltan:**
1. La importancia de que los tests sean escritos antes del código en el ciclo TDD.
2. La importancia de que cada fase del ciclo TDD sea realizada en secuencia y no de manera paralela.
3. La importancia de que los tests sean escritos de manera independiente y no se dupliquen.
**Calificación: 6/10**
La respuesta proporcionada muestra una comprensión básica del ciclo TDD, pero falta claridad y precisión en la descripción de las fases y la importancia de cada una. La respuesta también omite conceptos importantes como la importancia de los tests escritos antes del código y la secuencia correcta de las fases.&lt;|eot_id|&gt;</t>
  </si>
  <si>
    <t>Respuesta: 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</si>
  <si>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**Evaluación de la respuesta**
La respuesta proporcionada muestra una buena comprensión del concepto de TDD y su enfoque en el desarrollo de software, pero requiere algunas correcciones y ampliaciones para reflejar una respuesta más completa y precisa.
**Conceptos correctamente mencionados:**
* TDD es un enfoque de desarrollo de software que se enfoca en la escritura de tests antes del código.
* El proceso de TDD está diseñado para reducir la cantidad de errores posibles.
* La sencillez y comprensión son aspectos importantes del TDD.
**Errores detectados:**
* La respuesta no menciona explícitamente la secuencia de TDD (rojo-verde-refactor) y su importancia.
* No se menciona la importancia de la validación de entradas en el contexto de TDD.
* La respuesta no es lo suficientemente clara en cuanto a la comparación con el enfoque tradicional de testing.
**Conceptos importantes que faltan:**
* La importancia de escribir solo los tests necesarios para que fallen (principio de "just-in-time" de TDD).
* La necesidad de evitar la duplicación de código y refactorizar regularmente.
* La relación entre TDD y la robustez del software.
**Nota: 6/10**
La respuesta proporcionada muestra una buena comprensión del concepto de TDD, pero requiere más detalles y precisión para reflejar una respuesta completa y precisa. Con algunas correcciones y ampliaciones, la respuesta podría mejorar significativamente.
**Sugerencias de mejora:**
* Agregar una descripción breve de la secuencia de TDD (rojo-verde-refactor) y su importancia.
* Mencionar la importancia de la validación de entradas en el contexto de TDD.
* Comparar explícitamente el enfoque tradicional de testing con TDD en cuanto a secuencia y propósito.
* Agregar detalles sobre la importancia de escribir solo los tests necesarios, evitar la duplicación de código y refactorizar regularmente.
* Enfatizar la relación entre TDD y la robustez del software.&lt;|eot_id|&gt;</t>
  </si>
  <si>
    <t>Respuesta: 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</si>
  <si>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**Evaluación de la respuesta**
La respuesta proporcionada describe algunas buenas prácticas en TDD, pero no es completamente precisa. A continuación, se presentan los conceptos correctos, los errores detectados y los conceptos importantes que faltan:
**Conceptos correctos:**
* La respuesta menciona los tres pasos del ciclo TDD: rojo, verde y refactorización.
* Identifica la importancia de que los tests deben fallar en el primer paso (rojo).
* Menciona la necesidad de que el código sea lo justo necesario para que los tests pasen en el segundo paso (verde).
* Destaca la importancia de la refactorización en el tercer paso.
**Errores detectados:**
* La respuesta no menciona que el primer paso (rojo) debe ser un test que falla porque la funcionalidad aún no ha sido implementada.
* No explica claramente la importancia de la refactorización en el tercer paso, solo menciona que se debe completar el código.
* No menciona la importancia de evitar la duplicación de código y la necesidad de mantener el código limpio y conciso.
**Conceptos importantes que faltan:**
* La respuesta no menciona la importancia de escribir solo los tests necesarios para que fallen, lo que ayuda a mantener el desarrollo enfocado y eficiente.
* No explica cómo la refactorización ayuda a mejorar la calidad del código y a reducir la complejidad.
**Calificación:** 6/10
**Justificación:** La respuesta proporcionada describe algunas buenas prácticas en TDD, pero no es completamente precisa. Faltan conceptos importantes y no explica claramente la importancia de algunos de los pasos del ciclo TDD.&lt;|eot_id|&gt;</t>
  </si>
  <si>
    <t>Respuesta: 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</si>
  <si>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**Evaluación de la respuesta**
La respuesta proporcionada aborda la importancia de validar entradas en el contexto de TDD, aunque no lo hace de manera exhaustiva y precisa como la respuesta ideal. A continuación, se presentan los conceptos correctamente mencionados, los errores detectados y los conceptos importantes que faltan:
**Conceptos correctamente mencionados:**
* La importancia de validar entradas en TDD
* La relación entre la validación de entradas y la robustez del software
**Errores detectados:**
* La respuesta no explica de manera clara y detallada cómo la validación de entradas ayuda a prevenir errores y problemas en el software.
* No se menciona específicamente cómo la validación de entradas reduce la complejidad del código y mejora su mantenibilidad.
* La respuesta utiliza un lenguaje un poco vago y no proporciona ejemplos concretos para ilustrar el concepto.
**Conceptos importantes que faltan:**
* No se menciona la importancia de escribir tests para validar las entradas antes de implementar la lógica del negocio.
* No se explica cómo la validación de entradas ayuda a identificar y corregir errores en tiempo de ejecución.
* No se menciona la relación entre la validación de entradas y la mejora de la calidad del código.
**Nota: 6/10**
La respuesta proporcionada es aceptable, pero no es tan completa ni precisa como la respuesta ideal. La respuesta ideal explica de manera clara y detallada la importancia de la validación de entradas en TDD y su relación con la robustez del software, mientras que la respuesta proporcionada es más vaga y no proporciona ejemplos concretos para ilustrar el concepto.&lt;|eot_id|&gt;</t>
  </si>
  <si>
    <t>Respuesta: 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</si>
  <si>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**Evaluación de la respuesta**
La respuesta proporcionada describe el ciclo TDD (Desarrollo Dirigido por Pruebas) de manera general, pero presenta algunas imprecisiones y omisiones importantes. A continuación, se presentan los conceptos correctamente mencionados, los errores detectados y los conceptos importantes que faltan:
**Conceptos correctamente mencionados:**
* El ciclo TDD se basa en 3 etapas.
* La primera etapa implica escribir una prueba que falle (rojo).
* La segunda etapa consiste en escribir el código necesario para que la prueba pase (verde).
* La tercera etapa es el refactor, que implica mejorar el código.
**Errores detectados:**
* La respuesta no describe con precisión las etapas del ciclo TDD. En lugar de "primerea", se refiere a la primera etapa, que es escribir una prueba que falle (rojo).
* La respuesta no menciona explícitamente la importancia del ciclo TDD en el desarrollo de software.
* La descripción del refactor es un poco vaga y no menciona la importancia de mantener todos los tests en verde.
**Conceptos importantes que faltan:**
* La respuesta no menciona la importancia de que la prueba que se escribe en la primera etapa sea lo más específica y detallada posible.
* No se menciona la importancia de que el código que se escribe en la segunda etapa sea el mínimo necesario para que la prueba pase.
* No se menciona la importancia de que el refactor se realice con el objetivo de mejorar la calidad y la mantenibilidad del código.
**Calificación:** 6/10
La respuesta proporcionada es una buena base para entender el ciclo TDD, pero necesita más precisión y detalle para reflejar la complejidad y la importancia de cada etapa del proceso.&lt;|eot_id|&gt;</t>
  </si>
  <si>
    <t>Respuesta: 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</si>
  <si>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**Evaluación de la respuesta**
La respuesta proporcionada ofrece una visión general de la comparación entre TDD (Desarrollo Dirigido por Pruebas) y el enfoque tradicional de testing en el desarrollo de software. A continuación, se presentan los conceptos correctamente mencionados, los errores detectados y los conceptos importantes que faltan:
**Conceptos correctamente mencionados:**
1. La secuencia de TDD: la respuesta menciona correctamente que en TDD se escribe primero el test y luego el código.
2. El beneficio de TDD: la respuesta destaca que el TDD puede llevar a un código más limpio y legible.
3. La necesidad de cambiar la forma de pensar: la respuesta menciona que TDD requiere una mentalidad diferente para desarrollar código, enfocándose en la creación de pruebas antes que en el código en sí.
**Errores detectados:**
1. Simplificación excesiva: la respuesta simplifica demasiado la comparación entre TDD y el enfoque tradicional, omitiendo detalles importantes.
2. Falta de ejemplos concretos: la respuesta no proporciona ejemplos concretos para ilustrar la diferencia entre TDD y el enfoque tradicional.
3. Negligencia de la importancia de la refactorización: la respuesta no menciona la importancia de la refactorización en TDD, que es un aspecto crucial para mantener el código limpio y eficiente.
**Conceptos importantes que faltan:**
1. La importancia de la secuencia en TDD: la respuesta no menciona que la secuencia de TDD es fundamental para garantizar que el código se desarrolle de manera proactiva y no reactiva.
2. La relación entre TDD y la robustez del software: la respuesta no menciona cómo TDD ayuda a prevenir errores y mejorar la robustez del software.
3. Las buenas prácticas en TDD: la respuesta no menciona las buenas prácticas en TDD, como escribir solo los tests necesarios, evitar la duplicación de código y refactorizar regularmente.
**Calificación: 6/10**
La respuesta proporcionada ofrece una visión general de la comparación entre TDD y el enfoque tradicional, pero faltan detalles importantes y conceptos fundamentales. La respuesta necesita mejorar en términos de claridad, precisión y completitud para reflejar la complejidad y profundidad de la materia.&lt;|eot_id|&gt;</t>
  </si>
  <si>
    <t>Respuesta: 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</si>
  <si>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**Evaluación de la respuesta**
La respuesta proporcionada describe algunas buenas prácticas en TDD, pero no aborda completamente el tema y no menciona algunas de las prácticas más importantes. A continuación, se presentan los conceptos correctamente mencionados, los errores detectados y los conceptos importantes que faltan:
**Conceptos correctamente mencionados:**
* La idea de no escribir más de una prueba unitaria por componente es una buena práctica en TDD, ya que ayuda a mantener el código simple y evitar la duplicación de código.
* La idea de no escribir pruebas adicionales para un componente una vez que ya se ha implementado el código en base a otra prueba también es una buena práctica, ya que ayuda a evitar la complejidad y a mantener el enfoque en la implementación de la funcionalidad principal.
**Errores detectados:**
* La respuesta no menciona la importancia de escribir solo los tests necesarios para que fallen, lo que es una de las buenas prácticas clave en TDD.
* No se menciona la importancia de refactorizar regularmente para mantener el código limpio y simple.
* La respuesta no aborda la importancia de escribir tests de integración y de sistema, que son fundamentales en TDD para asegurarse de que el software se comporta correctamente en escenarios más complejos.
* No se menciona la importancia de seguir un orden lógico en la escritura de tests, comenzando con los tests más simples y avanzando hacia los más complejos.
**Conceptos importantes que faltan:**
* La importancia de escribir tests de integración y de sistema.
* La importancia de seguir un orden lógico en la escritura de tests.
* La importancia de refactorizar regularmente.
* La importancia de escribir tests de aceptación para validar la funcionalidad del software desde la perspectiva del usuario.
**Calificación: 6/10**
La respuesta proporcionada muestra una comprensión básica de algunas buenas prácticas en TDD, pero no aborda completamente el tema y no menciona algunas de las prácticas más importantes. Se necesitan más detalles y una mayor profundidad en la explicación para considerar la respuesta como completa y correcta.&lt;|eot_id|&gt;</t>
  </si>
  <si>
    <t>Respuesta: 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</si>
  <si>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**Evaluación de la respuesta**
La respuesta proporcionada muestra un buen intento de explicar la importancia de validar entradas en el contexto de TDD (Desarrollo Dirigido por Pruebas). Sin embargo, hay algunos conceptos importantes que faltan y algunos errores en la explicación.
**Conceptos correctamente mencionados:**
* La importancia de validar entradas en TDD para evitar que los tests falten.
* La necesidad de validar la entrada antes de comenzar el test.
**Errores detectados:**
* La respuesta no explica claramente por qué es importante validar las entradas en TDD. Se menciona que si no se validan, el test puede fallar, pero no se explica cómo esto afecta la robustez del software.
* La respuesta no proporciona ejemplos claros de cómo validar entradas en TDD, como verificar el formato de un email o la edad.
**Conceptos importantes que faltan:**
* La relación entre la validación de entradas y la robustez del software. La respuesta debería explicar cómo la validación de entradas ayuda a prevenir errores y comportamientos inesperados en el software.
* La importancia de la validación de entradas en la fase de diseño y planificación del software, antes de escribir el código.
**Calificación: 6/10**
La respuesta proporcionada es una buena base, pero necesita más detalles y ejemplos para explicar la importancia de la validación de entradas en TDD y su relación con la robustez del software.
**Sugerencias para mejorar la respuesta:**
* Agregar ejemplos concretos de cómo validar entradas en TDD, como verificar el formato de un email o la edad.
* Explicar cómo la validación de entradas ayuda a prevenir errores y comportamientos inesperados en el software.
* Incluir la importancia de la validación de entradas en la fase de diseño y planificación del software, antes de escribir el código.&lt;|eot_id|&gt;</t>
  </si>
  <si>
    <t>Respuesta: 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
Su importancia es bastante alta, debido a la verificación de los programas que se van actualizando a lo largo de las distintas versiones. Todo esto se comprueba gracias al test principal.</t>
  </si>
  <si>
    <t>**Nota:** 6/10
**Conceptos correctamente mencionados:**
* El ciclo TDD involucra la creación de un test antes de desarrollar el programa.
* El test se utiliza para comprobar que el programa cumple con sus requisitos.
* El ciclo TDD tiene tres etapas: crear el test, desarrollar el programa y refactorear el código.
**Errores detectados:**
* La descripción del ciclo TDD es incompleta y no menciona la etapa de "verde" en la que se desarrolla el mínimo código necesario para que el test pase.
* No se menciona la importancia de la refactorización en la etapa final.
* La importancia del ciclo TDD se limita a la verificación de programas en versiones, sin mencionar otros beneficios como la prevención de errores y la mejora de la calidad del código.
**Conceptos importantes que faltan:**
* La importancia de escribir tests que fallan inicialmente y cómo esto impulsa el desarrollo de software.
* La relación entre la refactorización y la mejora de la comprensibilidad del código.
* La importancia de la iteración y la mejora continua en el ciclo TDD.
**Recomendaciones:**
* Añadir más detalles sobre el ciclo TDD, incluyendo la etapa de "verde" y la importancia de la refactorización.
* Mencionar otros beneficios del ciclo TDD, como la prevención de errores y la mejora de la calidad del código.
* Incluir ejemplos o ilustraciones para ayudar a clarificar el concepto.&lt;|eot_id|&gt;</t>
  </si>
  <si>
    <t>Respuesta: En el TDD normalmente se hace primero el test y después el programa, y en el caso del enfoque tradicional se hace primero el programa y después el test.</t>
  </si>
  <si>
    <t>**Evaluación de la respuesta**
La respuesta proporcionada describe la diferencia entre TDD (Testing-Driven Development) y un enfoque tradicional de testing en el desarrollo de software, pero no es completamente precisa. A continuación, se presentan los conceptos correctamente mencionados, los errores detectados y los conceptos importantes que faltan:
**Conceptos correctamente mencionados:**
* La secuencia de TDD, donde se hace primero el test y después el programa.
* La secuencia del enfoque tradicional, donde se hace primero el programa y después el test.
**Errores detectados:**
* La respuesta simplifica demasiado la diferencia entre TDD y el enfoque tradicional, no mencionando los aspectos más importantes como la importancia de los tests en TDD, la creación de especificaciones y la mejora continua del código.
* No se menciona la importancia de que en TDD los tests sean obligatorios y ayuden a prevenir errores desde el inicio, en contraste con el enfoque tradicional donde los tests pueden ser opcionales.
**Conceptos importantes que faltan:**
* La importancia de que los tests en TDD sirvan como especificación y guía para el desarrollo.
* La importancia de la mejora continua del código en TDD a través del refactoring.
* La diferencia en la filosofía y enfoque entre TDD y el enfoque tradicional de testing.
**Calificación: 4/10**
La respuesta proporcionada es parcialmente correcta, pero no ofrece una comprensión completa de la diferencia entre TDD y el enfoque tradicional de testing en el desarrollo de software.&lt;|eot_id|&gt;</t>
  </si>
  <si>
    <t>Respuesta: Hacer unas buenas practicas de TDD, consiste en hacer buenas funcionalidad de la aplicación, para que no se pueda hacer trampas y cubrir cualquier tipo de huecos.
Refactorizar el programa sirve para que mejorar el codigo y que no tenga problemas a la hora de ejecutar el test. Sobre todo el objetivo principal de la refactorización es quitar lineas de codigo haciendo el programa se vea mas claro y mas limpio.</t>
  </si>
  <si>
    <t>**Evaluación de la respuesta**
La respuesta proporcionada intenta describir las buenas prácticas en TDD y su impacto en la calidad del software, pero hay varios conceptos incorrectos o incompletos. A continuación, se presentan los errores y conceptos importantes que faltan:
**Conceptos correctamente mencionados:**
* La importancia de refactorizar el código para mejorar su claridad y limpieza.
* La necesidad de evitar problemas en la ejecución del test.
**Conceptos incorrectos o incompletos:**
* La respuesta menciona "hacer buenas funcionalidad de la aplicación" sin especificar qué se entiende por "funcionalidad" en este contexto. En TDD, la funcionalidad se refiere a la implementación de una funcionalidad específica que se puede probar mediante tests.
* La respuesta no menciona la importancia de escribir tests que fallen antes de implementar la funcionalidad, ni la necesidad de escribir solo los tests necesarios para que fallen.
* La respuesta no menciona la importancia de evitar la duplicación de código.
* La respuesta no explica cómo la refactorización ayuda a mejorar la calidad del software en términos de mantenibilidad, escalabilidad y robustez.
**Conceptos importantes que faltan:**
* La importancia de escribir tests automatizados y repetibles para asegurar la calidad del software.
* La necesidad de mantener un enfoque incremental y iterativo en el desarrollo de software.
* La importancia de la colaboración entre desarrolladores y testers en el proceso de TDD.
**Nota:** 4/10
La respuesta proporcionada tiene algunos conceptos correctos, pero es incompleta y contiene errores. Se recomienda mejorar la respuesta para incluir los conceptos importantes que faltan y corregir los errores para reflejar con precisión las buenas prácticas en TDD y su impacto en la calidad del software.&lt;|eot_id|&gt;</t>
  </si>
  <si>
    <t>Respuesta: El TDD  consisite en ir haciendo pruebas para el funcionamiento de la aplicacion. Se divide en 3 partes:
1.RED donde se realiza las pruebas(los test) que utilizaremos para comprobar si el codigo funciona. En este apartado al intentar ejecutarlo saldra que todas las pruebas estan mal ya que lo desarrollamos antes del codigo para poder asi saber que queremos que devuelva el propio codigo.
2.GREEN donde ya realizamos las funcionalidades de nuestro codigo para que pasen las pruebas creadas anteriormente. A la hora de desarrollar estas funcionalidades  se hara lo minimo necesario para que pase la prueba que hicimos antes y pase sin errores.
3.REFACTORY (refactorizacion)donde aqui refactorizamos/mejoramos/optimizamos el codigo realizado anteriormente para hacerlo mejor. Esto se hace cuando vemos redundancia en el codigo creado en el GREEN o se puede optimizar los recursos.</t>
  </si>
  <si>
    <t>**Evaluación de la respuesta**
La respuesta proporcionada describe el ciclo TDD (Test-Driven Development) y su importancia en el desarrollo de software, aunque con algunos errores y omisiones. A continuación, se presentan los conceptos correctamente mencionados, los errores detectados y los conceptos importantes que faltan:
**Conceptos correctamente mencionados:**
1. El ciclo TDD se divide en tres partes: RED, GREEN y REFACTORY.
2. La primera parte (RED) se refiere a la creación de pruebas que fallan debido a la falta de implementación del código.
3. La segunda parte (GREEN) se enfoca en desarrollar el código mínimo necesario para que las pruebas pasen sin errores.
4. La tercera parte (REFACTORY) se dedica a refactorizar y mejorar el código.
**Errores detectados:**
1. La respuesta utiliza la abreviatura "TDD" sin explicar su significado, lo que podría llevar a confusiones.
2. La descripción de la primera parte (RED) no es precisa, ya que se menciona que se realizan pruebas, pero no se explica que se trata de pruebas que fallan debido a la falta de implementación del código.
3. La segunda parte (GREEN) se describe de manera incompleta, ya que no se menciona que el objetivo es desarrollar el código mínimo necesario para que las pruebas pasen sin errores, sino que se enfoca en desarrollar "funcionalidades".
4. La tercera parte (REFACTORY) se describe de manera incompleta, ya que no se menciona que se trata de refactorizar y mejorar el código para eliminar redundancia y optimizar recursos.
**Conceptos importantes que faltan:**
1. La importancia del ciclo TDD en el desarrollo de software no se explica con claridad.
2. No se menciona la secuencia correcta en la que se deben realizar las tres partes del ciclo TDD.
3. No se explica cómo el ciclo TDD promueve un desarrollo proactivo y asegura que el código cumpla con las especificaciones definidas inicialmente.
**Nota:** 6/10
La respuesta proporcionada muestra un buen esfuerzo por describir el ciclo TDD y su importancia en el desarrollo de software, pero faltan detalles y precisiones importantes. Es necesario mejorar la claridad y la precisión en la descripción de cada parte del ciclo TDD y destacar la importancia de este enfoque en el desarrollo de software.&lt;|eot_id|&gt;</t>
  </si>
  <si>
    <t>Respuesta: La comparacion de TDD con el enfoque tradicional testing se puede observar ventajas y desventajas en ambos lados.
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
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</si>
  <si>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**Evaluación de la respuesta**
La respuesta proporcionada es un intento de comparar Test-Driven Development (TDD) con el enfoque tradicional de testing en el desarrollo de software. A continuación, se presentan los conceptos correctamente mencionados, errores detectados y conceptos importantes que faltan:
**Conceptos correctamente mencionados:**
* La respuesta menciona ventajas y desventajas de ambos enfoques.
* Se destaca la importancia de la experiencia, documentación y financiación para realizar TDD de manera efectiva.
* Se menciona que TDD es beneficioso para proyectos grandes que requieren documentación y seguimiento exhaustivo.
**Errores detectados:**
* La respuesta no proporciona una descripción clara y concisa de las ventajas y desventajas de TDD y el enfoque tradicional de testing.
* No se menciona la importancia de la calidad del código y la robustez del software en el contexto de TDD.
* Se presenta una visión simplista de la comparación entre TDD y el enfoque tradicional, sin considerar las complejidades y variaciones que pueden ocurrir en diferentes contextos.
* La respuesta no se basa en la información proporcionada en la documentación ideal, lo que sugiere una falta de comprensión de los principios básicos de TDD.
**Conceptos importantes que faltan:**
* La importancia de escribir tests antes del código en TDD.
* La importancia de la refactoring en TDD.
* La relación entre TDD y la calidad del código y la robustez del software.
* La posibilidad de utilizar TDD en proyectos pequeños y medianos.
**Calificación: 4/10**
La respuesta proporcionada no demuestra una comprensión profunda de los principios de TDD y su aplicación en el desarrollo de software. Aunque se mencionan algunos aspectos correctos, la respuesta es demasiado superficial y no aborda los conceptos clave de TDD de manera efectiva.&lt;|eot_id|&gt;</t>
  </si>
  <si>
    <t>Respuesta: Las buenas practicas del TDD serian que se documenta todas las funcionalidades y se documenta que test tiene que pasar cada una de ellas para que se de por correcta haciendo asi que la calidad del software cumpla casi siempre el resultado esperado y descrito en la documentacion.
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</si>
  <si>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**Evaluación de la respuesta**
La respuesta proporcionada describe algunas buenas prácticas en TDD, pero no de manera completa ni precisa. A continuación, se presentan los conceptos correctamente mencionados, los errores detectados y los conceptos importantes que faltan:
**Conceptos correctamente mencionados:**
* La importancia de documentar las funcionalidades y los tests asociados.
* La idea de que la documentación ayuda a garantizar que la calidad del software cumpla con los resultados esperados.
**Errores detectados:**
* La respuesta no menciona la importancia de escribir solo los tests necesarios para que fallen, lo que es una buena práctica clave en TDD.
* No se menciona la importancia de evitar la duplicación de código y refactorizar regularmente, lo que es otro aspecto fundamental de TDD.
* La respuesta sugiere que la documentación es lo único que garantiza la calidad del software, lo que no es del todo cierto. La prueba y la refactorización también son fundamentales.
**Conceptos importantes que faltan:**
* La importancia de escribir tests antes de implementar el código (principio de TDD).
* La importancia de refactorizar regularmente para mantener el código limpio y eficiente.
* La importancia de evitar la duplicación de código y la complejidad innecesaria.
**Calificación:** 6/10
**Justificación:** La respuesta proporcionada tiene algunos conceptos correctos, pero no es completa ni precisa. La respuesta no aborda algunos de los aspectos más importantes de TDD, como la escritura de tests antes de implementar el código y la refactorización regular. Además, la respuesta sugiere que la documentación es lo único que garantiza la calidad del software, lo que no es del todo cierto.&lt;|eot_id|&gt;</t>
  </si>
  <si>
    <t>Respuesta: 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</si>
  <si>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**Evaluación de la respuesta**
La respuesta proporcionada ofrece una comprensión básica de la importancia de validar entradas en el contexto de TDD y su relación con la robustez del software. A continuación, se presentan los conceptos correctamente mencionados, errores detectados y conceptos importantes que faltan:
**Conceptos correctamente mencionados:**
* La importancia de validar entradas en TDD para evitar errores y fallos en el código.
* La necesidad de validar que los datos devueltos por una función no sean nulos.
* La importancia de validar que los datos sean del tipo esperado (por ejemplo, un array completo de un objeto).
**Errores detectados:**
* La respuesta no menciona explícitamente la relación entre la validación de entradas y la robustez del software en términos de prevenir errores en tiempo de ejecución.
* La respuesta no destaca la importancia de la validación en TDD en términos de mejorar la calidad del código y facilitar el mantenimiento.
* La respuesta utiliza un lenguaje un poco confuso en algunas partes, lo que puede dificultar la comprensión.
**Conceptos importantes que faltan:**
* La explicación de cómo la validación en TDD ayuda a prevenir errores y comportamientos inesperados en el software.
* La mención de cómo la validación en TDD se relaciona con la reducción de la complejidad del código y mejora de su mantenibilidad.
* La explicación de cómo la validación en TDD se integra con otros aspectos de la metodología TDD, como la escritura de tests y el refactoring.
**Calificación: 7/10**
La respuesta ofrece una comprensión básica de la importancia de la validación de entradas en TDD, pero necesita mejorar en términos de claridad, precisión y profundidad de la explicación.&lt;|eot_id|&gt;</t>
  </si>
  <si>
    <t>Respuesta: 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</si>
  <si>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**Evaluación de la respuesta**
La respuesta proporcionada describe el ciclo TDD (Desarrollo Dirigido por Pruebas) de manera general, aunque con algunos errores y omisiones. A continuación, se presentan los conceptos correctamente mencionados, los errores detectados y los conceptos importantes que faltan:
**Conceptos correctamente mencionados:**
* El ciclo TDD consta de tres etapas: Rojo, Verde y Refactor.
* La etapa Roja se refiere a la escritura de tests que fallan debido a la falta de implementación de la funcionalidad.
* La etapa Verde se refiere a la implementación del código mínimo necesario para que los tests pasen.
* La etapa de Refactor se refiere a la mejora del código manteniendo los tests en verde.
**Errores detectados:**
* La respuesta describe el ciclo TDD de manera lineal, sin mencionar la iteración continua entre las etapas. En realidad, el ciclo TDD es un proceso iterativo, donde se repiten las etapas Rojo, Verde y Refactor hasta que se alcance la versión final del código.
* La respuesta no menciona la importancia de escribir tests que fallen en la etapa Roja, sino que describe la etapa como "añadir código para probar la fase roja", lo que es incorrecto.
* La respuesta no menciona la importancia de la iteración y la mejora continua en el proceso de desarrollo.
**Conceptos importantes que faltan:**
* La importancia de escribir tests que cubran todos los casos de uso y escenarios posibles.
* La importancia de la automatización de los tests para asegurar la consistencia y la eficiencia en el proceso de desarrollo.
* La importancia de la refactorización continua para mantener el código limpio y mantenible.
**Nota:** 6/10
La respuesta proporcionada muestra una comprensión básica del ciclo TDD, pero falta claridad y precisión en la descripción de las etapas y la importancia del proceso. La respuesta también omite conceptos importantes relacionados con la iteración, la automatización y la refactorización.&lt;|eot_id|&gt;</t>
  </si>
  <si>
    <t>Respuesta: 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</si>
  <si>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**Evaluación de la respuesta**
La respuesta proporcionada es una buena aproximación a la pregunta, pero no es completamente correcta. A continuación, se presentan los conceptos correctamente mencionados, los errores detectados y los conceptos importantes que faltan:
**Conceptos correctamente mencionados:**
* La respuesta menciona la diferencia fundamental entre TDD y el enfoque tradicional de testing en el desarrollo de software.
* Destaca la ventaja de TDD en términos de identificar más fácilmente los errores en el código.
* Menciona la importancia de la fase de "verde" en TDD para identificar errores en el código.
**Errores detectados:**
* La respuesta no menciona la secuencia correcta de TDD, que es: escribir un test que falla, desarrollar el código necesario para que el test pase y refactorizar el código.
* No se menciona la importancia de la fase de "refactor" en TDD para mejorar la calidad del código.
* La respuesta no es clara en cuanto a la diferencia en la secuencia de desarrollo entre TDD y el enfoque tradicional.
**Conceptos importantes que faltan:**
* No se menciona la importancia de escribir tests antes del código en TDD.
* No se menciona la importancia de la iteración y la repetición en TDD para asegurar la calidad del código.
* No se menciona la relación entre TDD y la robustez del software.
**Calificación: 6/10**
La respuesta proporcionada es una buena aproximación, pero requiere más claridad y precisión en cuanto a la secuencia de TDD y la importancia de cada fase. También es importante mencionar conceptos importantes que faltan, como la importancia de escribir tests antes del código y la relación entre TDD y la robustez del software.&lt;|eot_id|&gt;</t>
  </si>
  <si>
    <t>Respuesta: 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</si>
  <si>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**Evaluación de la respuesta**
La respuesta proporcionada describe las buenas prácticas en TDD, pero no de manera clara y precisa. A continuación, se presentan los conceptos correctamente mencionados, los errores detectados y los conceptos importantes que faltan:
**Conceptos correctamente mencionados:**
* La respuesta menciona las tres fases del ciclo TDD: Rojo, Verde y Refactor.
* Se menciona que en la fase Roja, los tests deben fallar.
* En la fase Verde, se debe implementar el código necesario para que los tests pasen.
**Errores detectados:**
* La respuesta no describe con claridad la importancia de cada fase y cómo se relacionan entre sí.
* No se menciona que la fase Verde no es solo implementar código, sino que se debe desarrollar el mínimo código necesario para que los tests pasen.
* La fase de Refactor no se describe de manera clara, ya que se menciona que se debe "modificar o implementar el código necesario", lo que puede llevar a confusiones.
**Conceptos importantes que faltan:**
* No se menciona que la fase Roja es crucial para identificar errores y asegurarse de que los tests sean efectivos.
* No se describe la importancia de la iteración entre las fases y la necesidad de refactorear el código para mantener su calidad y mantenibilidad.
* No se menciona cómo las buenas prácticas en TDD impactan en la calidad del software, como la reducción de errores y la mejora de la mantenibilidad.
**Calificación: 6/10**
La respuesta proporcionada muestra una comprensión básica de las fases del ciclo TDD, pero necesita mejorar en términos de claridad y precisión. Es importante enfatizar la importancia de cada fase y cómo se relacionan entre sí, así como describir la importancia de la iteración y la refactoreación para mantener la calidad del software.&lt;|eot_id|&gt;</t>
  </si>
  <si>
    <t>Respuesta: 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</si>
  <si>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**Evaluación de la respuesta**
La respuesta proporcionada aborda la importancia de validar entradas en el contexto de TDD y su relación con la robustez del software. A continuación, se presentan los conceptos correctamente mencionados, los errores detectados y los conceptos importantes que faltan:
**Conceptos correctamente mencionados:**
1. La importancia de validar entradas en TDD para evitar que los tests de en verde puedan fallar debido a entradas no previstas.
2. La relación entre la validación de entradas y la robustez del software.
3. La necesidad de contemplar la validación de varias entradas.
**Errores detectados:**
1. La respuesta no menciona explícitamente el objetivo de la validación de entradas en TDD, que es prevenir errores y comportamientos inesperados en el software.
2. No se destaca la importancia de la validación de entradas para mejorar la calidad del código y facilitar su mantenimiento.
3. La respuesta no proporciona ejemplos concretos de cómo la validación de entradas puede afectar la robustez del software.
**Conceptos importantes que faltan:**
1. La relación entre la validación de entradas y la seguridad del software.
2. La importancia de la validación de entradas en la fase de diseño del software.
3. Ejemplos concretos de cómo la validación de entradas puede ser implementada en la fase de desarrollo.
**Calificación: 6/10**
La respuesta proporcionada muestra una buena comprensión de la importancia de la validación de entradas en TDD y su relación con la robustez del software. Sin embargo, falta claridad y profundidad en la explicación, y no se mencionan conceptos importantes como la seguridad y el diseño del software. Con un poco más de desarrollo y ejemplos concretos, la respuesta podría ser más completa y efectiva.&lt;|eot_id|&gt;</t>
  </si>
  <si>
    <t>Respuesta: 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</si>
  <si>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**Nota:** 7/10
**Conceptos correctamente mencionados:**
* El ciclo TDD se enfoca en la metodología de desarrollo de software.
* Se menciona la existencia de tres fases: cycle-red, cycle-green y refactor.
* Se destaca la importancia de escribir tests que fallan primero y luego escribir el código mínimo para que pasen los tests.
**Errores detectados:**
* La respuesta no menciona explícitamente el nombre "Test Driven Development" (TDD), aunque se menciona la sigla "TDD".
* La descripción de las fases del ciclo TDD no es precisa. La fase "cycle-red" no es un término estándar en TDD, y la fase "cycle-green" no es una fase real del ciclo TDD. La fase "refactor" es correcta, pero no se describe de manera clara.
* La respuesta no menciona la importancia de la fase de refactor en la mejora del código.
* La respuesta no proporciona una explicación clara y concisa sobre por qué el TDD es importante en el desarrollo de software.
**Conceptos importantes que faltan:**
* La importancia de escribir tests antes de escribir el código.
* La relación entre los tests y la lógica de negocio de la aplicación.
* La ventaja de que el TDD promueve un desarrollo más eficiente y un mantenimiento más fácil.
**Sugerencias de mejora:**
* Aclarar la descripción de las fases del ciclo TDD.
* Agregar más detalles sobre la importancia de la fase de refactor.
* Proporcionar una explicación clara y concisa sobre por qué el TDD es importante en el desarrollo de software.
* Incluir la importancia de escribir tests antes de escribir el código y la relación entre los tests y la lógica de negocio de la aplicación.&lt;|eot_id|&gt;</t>
  </si>
  <si>
    <t>Respuesta: 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</si>
  <si>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**Evaluación de la respuesta**
La respuesta proporcionada es una buena aproximación a la comparación entre TDD (Desarrollo Guiado por Pruebas) y el enfoque tradicional de testing en el desarrollo de software. A continuación, se presentan los conceptos correctamente mencionados, los errores detectados y los conceptos importantes que faltan:
**Conceptos correctamente mencionados:**
* La importancia de los tests en el enfoque de TDD.
* La diferencia fundamental entre TDD y el desarrollo de tests tradicional en cuanto a la secuencia y propósito de las pruebas.
* La importancia de escribir tests de manera previa al desarrollo del código en TDD.
**Errores detectados:**
* La respuesta no menciona explícitamente la importancia de la validación de entradas en TDD y su relación con la robustez del software.
* No se menciona la importancia de la refactorización en TDD para mantener el código limpio y fácil de mantener.
* La respuesta utiliza un lenguaje un poco confuso en algunos puntos, como "desarrollo realizaco" en lugar de "desarrollo".
**Conceptos importantes que faltan:**
* La importancia de escribir solo los tests necesarios para que fallen en la primera fase del TDD.
* La importancia de evitar la duplicación de código en TDD.
* La relación entre TDD y la calidad del software, incluyendo la mejora de la mantenibilidad y la reducción de la complejidad del código.
**Calificación: 7/10**
La respuesta proporcionada es una buena aproximación, pero necesita ser refinada para incluir conceptos importantes y evitar errores de gramática y lógica. La respuesta muestra una buena comprensión del enfoque de TDD y su diferencia con el desarrollo de tests tradicional, pero necesita ser más detallada y clara en algunos puntos.&lt;|eot_id|&gt;</t>
  </si>
  <si>
    <t>Respuesta: 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</si>
  <si>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**Evaluación de la respuesta**
La respuesta proporcionada describe algunas buenas prácticas en TDD, pero no cubre todos los aspectos importantes. A continuación, se presentan los conceptos correctamente mencionados, los errores detectados y los conceptos importantes que faltan:
**Conceptos correctamente mencionados:**
* La importancia de la granularidad (o atomicidad) de los tests, es decir, que cada test debe abordar funcionalidades mínimas.
* La importancia de la independencia de los tests, es decir, que cada test debe comprobar una parte de software independiente y no depender de otros tests.
* La estructuración de los tests en formato AAA (Arrange, Act y Assert) como una buena práctica.
* La importancia de no emplear más de un assert dentro de cada test.
**Errores detectados:**
* La respuesta no menciona la importancia de escribir solo los tests necesarios para que fallen, lo que es una de las prácticas clave en TDD.
* No se menciona la necesidad de refactorizar regularmente, lo que es fundamental para mantener la calidad del código.
* La respuesta no menciona la importancia de evitar la duplicación de código, lo que es una de las prácticas clave en TDD.
**Conceptos importantes que faltan:**
* La importancia de escribir tests antes de implementar el código, lo que es una de las características clave de TDD.
* La importancia de que los tests sean obligatorios y ayuden a prevenir errores desde el inicio.
* La importancia de que los tests sean rápidos y fáciles de ejecutar, lo que es fundamental para mantener la productividad en el desarrollo.
**Nota:** 6/10
La respuesta proporcionada muestra una buena comprensión de algunas de las buenas prácticas en TDD, pero no cubre todos los aspectos importantes. La respuesta necesita ser más completa y detallada para reflejar la complejidad y la profundidad del tema.&lt;|eot_id|&gt;</t>
  </si>
  <si>
    <t>Respuesta: 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</si>
  <si>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**Evaluación de la respuesta**
La respuesta proporcionada aborda parcialmente la importancia de validar entradas en el contexto de TDD y su relación con la robustez del software. A continuación, se presentan los conceptos correctamente mencionados, los errores detectados y los conceptos importantes que faltan:
**Conceptos correctamente mencionados:**
* La importancia de validar entradas en el contexto de TDD.
* La relación entre la validación de entradas y la robustez del software.
* La necesidad de comprobar que las peticiones HTTP y el cuerpo de estas cumplan con la estructura definida.
**Errores detectados:**
* La respuesta no menciona explícitamente la importancia de escribir tests para validar las entradas antes de implementar la lógica del negocio.
* No se menciona la reducción de errores y comportamientos inesperados en el software como resultado de la validación de entradas.
* La respuesta se centra principalmente en la validación de peticiones HTTP y no aborda otros tipos de entradas que pueden ser válidas en el contexto de TDD.
**Conceptos importantes que faltan:**
* La importancia de validar entradas para prevenir ataques de inyección de código o datos maliciosos.
* La relación entre la validación de entradas y la seguridad del software.
* La necesidad de documentar y comunicar las expectativas de entradas válidas a los desarrolladores y usuarios del software.
**Nota:** 7/10
La respuesta proporcionada es buena, pero podría ser mejorada con más detalles y conceptos relacionados con la importancia de la validación de entradas en el contexto de TDD y su relación con la robustez del software.&lt;|eot_id|&gt;</t>
  </si>
  <si>
    <t>Respuesta: 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</si>
  <si>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**Evaluación de la respuesta**
La respuesta proporcionada describe el ciclo TDD (Test-Driven Development) de manera simplificada, pero con errores conceptuales y falta de claridad. A continuación, se presentan los conceptos correctamente mencionados, los errores detectados y los conceptos importantes que faltan:
**Conceptos correctamente mencionados:**
* El ciclo TDD se compone de tres etapas: fallida (rojo), verde y refactor.
* La primera etapa implica escribir una prueba que falla.
**Errores detectados:**
* La descripción de la primera etapa es incorrecta. En lugar de "mandar una prueba fallida", se debería mencionar que se escribe un test que falla porque la funcionalidad aún no ha sido implementada.
* La segunda etapa se describe como "sobre la prueba que has hecho MAL (red)", lo que es ambiguo y no claro. En lugar de "MAL (red)", se debería mencionar "verde", que es el estado deseado cuando la prueba pasa.
* La tercera etapa se describe como "modificar el código para que realice lo que tu quieres", lo que es demasiado vago. En lugar de eso, se debería mencionar que se refactoring el código para mantenerlo limpio y eficiente.
**Conceptos importantes que faltan:**
* No se menciona la importancia del ciclo TDD en el desarrollo de software, como su capacidad para promover un desarrollo proactivo y asegurar que el código cumpla con las especificaciones definidas inicialmente por los tests.
* No se explica cómo el ciclo TDD ayuda a prevenir errores y mejorar la calidad del código.
**Calificación: 4/10**
La respuesta proporcionada es incompleta y contiene errores conceptuales. Aunque menciona los tres pasos del ciclo TDD, no los describe de manera clara y precisa. Además, no aborda la importancia del ciclo TDD en el desarrollo de software.&lt;|eot_id|&gt;</t>
  </si>
  <si>
    <t>Respuesta: 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</si>
  <si>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**Evaluación de la respuesta**
La respuesta proporcionada muestra una comprensión básica de la diferencia entre TDD (Desarrollo Dirigido por Pruebas) y el enfoque tradicional de testing en el desarrollo de software. Sin embargo, hay algunos conceptos importantes que faltan o se presentan de manera incompleta.
**Conceptos correctamente mencionados:**
* La respuesta menciona que en el enfoque tradicional, se hace el test después de hacer el código.
* También menciona que en TDD, se hace el test antes de hacer el código, y se verifica si solo con lo necesario funciona.
**Errores detectados:**
* La respuesta no explica con claridad la secuencia de eventos en TDD, es decir, la etapa de "Rojo" (escribir un test que falla), la etapa de "Verde" (desarrollar el mínimo código necesario para que el test pase) y la etapa de "Refactor" (mejorar el código manteniendo todos los tests en verde).
* La respuesta no menciona la importancia de la validación de entradas en TDD, que es un aspecto crucial en la robustez del software.
* La respuesta no menciona las buenas prácticas en TDD, como escribir solo los tests necesarios para que fallen, evitar la duplicación de código y refactorizar regularmente.
**Conceptos importantes que faltan:**
* La respuesta no menciona la importancia de que los tests en TDD sean obligatorios y ayuden a prevenir errores desde el inicio.
* No se menciona la diferencia en la secuencia y propósito entre TDD y el enfoque tradicional de testing.
**Calificación: 6/10**
La respuesta muestra una comprensión básica de la diferencia entre TDD y el enfoque tradicional de testing, pero necesita más profundidad y claridad en la explicación. La respuesta no menciona algunos conceptos importantes y no proporciona ejemplos concretos para ilustrar la diferencia entre ambas metodologías.&lt;|eot_id|&gt;</t>
  </si>
  <si>
    <t>Respuesta: 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</si>
  <si>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**Evaluación de la respuesta**
La respuesta proporcionada aborda la pregunta sobre las buenas prácticas en TDD y su impacto en la calidad del software, aunque no es completamente precisa y detallada. A continuación, se presentan los conceptos correctamente mencionados, los errores detectados y los conceptos importantes que faltan:
**Conceptos correctamente mencionados:**
* La importancia de tener un código bien elaborado y sin fallos como resultado de seguir buenas prácticas en TDD.
* La idea de que las buenas prácticas en TDD se relacionan con las pruebas, específicamente con las pruebas unitarias y de implementación.
* La idea de que se simplifican problemas al realizar pruebas en base a otras pruebas anteriores.
**Errores detectados:**
* La respuesta no menciona explícitamente la importancia de escribir solo los tests necesarios para que fallen, evitar la duplicación de código y refactorizar regularmente, que son conceptos clave en TDD.
* No se menciona la importancia de la refactorización en el ciclo de TDD.
* La respuesta no es clara en cuanto a cómo las pruebas unitarias y de implementación se relacionan con la calidad del software.
**Conceptos importantes que faltan:**
* La importancia de que los tests sean obligatorios en TDD y no opcionales.
* La idea de que TDD promueve un desarrollo proactivo y asegura que el código producido cumple con las especificaciones definidas inicialmente por los tests.
* La importancia de que las pruebas sean escritas antes del código y no después.
**Nota: 6/10**
La respuesta proporcionada muestra una comprensión básica de las buenas prácticas en TDD, pero no es detallada ni precisa. Es importante mencionar que la respuesta no menciona algunos conceptos clave en TDD, lo que reduce su valor.&lt;|eot_id|&gt;</t>
  </si>
  <si>
    <t>Respuesta: No lo se</t>
  </si>
  <si>
    <t>**Evaluación de la respuesta**
La respuesta proporcionada no muestra una comprensión clara de la importancia de validar entradas en el contexto de TDD y su relación con la robustez del software.
**Conceptos correctamente mencionados:** Ninguno
**Errores detectados:**
* La respuesta no menciona el concepto de TDD (Desarrollo Dirigido por Pruebas) ni su relación con la validación de entradas.
* No se explica cómo la validación de entradas ayuda a prevenir errores y comportamientos inesperados en el software.
* No se menciona cómo la validación de entradas contribuye a la robustez del software.
**Conceptos importantes que faltan:**
* La importancia de la validación de entradas en TDD para asegurar que el código cumpla con las especificaciones y no produzca errores.
* La relación entre la validación de entradas y la robustez del software, incluyendo la minimización de errores en tiempo de ejecución y la mejora de la calidad del código.
**Calificación:** 0/10
**Justificación:** La respuesta no muestra una comprensión clara de la importancia de validar entradas en TDD y su relación con la robustez del software, lo que la convierte en una respuesta incompleta y errónea.&lt;|eot_id|&gt;</t>
  </si>
  <si>
    <t>Respuesta: 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</si>
  <si>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**Evaluación de la respuesta**
La respuesta proporcionada describe el ciclo TDD (Test-Driven Development) de manera simplificada, pero con algunos errores conceptuales y omisiones importantes. A continuación, se presentan los conceptos correctamente mencionados, los errores detectados y los conceptos importantes que faltan:
**Conceptos correctamente mencionados:**
1. El ciclo TDD se compone de tres etapas: red, verde y refactor.
2. La etapa "rojo" se refiere a la creación de un test que falla debido a la falta de implementación de la funcionalidad.
3. La etapa "verde" se refiere a la implementación de código que hace que el test pase.
4. La etapa de "refactor" se refiere a la optimización del código.
**Errores detectados:**
1. La etapa "rojo" no se refiere a crear un código erróneo, sino a escribir un test que falla porque la funcionalidad aún no ha sido implementada.
2. La etapa "verde" no se refiere a crear un código que cumpla con la función solicitada, sino a desarrollar el mínimo código necesario para que el test pase.
3. La etapa de "refactor" no se refiere a optimizar el código sobre el test que ha dado correcto, sino a mejorar el código manteniendo todos los tests en verde.
**Conceptos importantes que faltan:**
1. La importancia de escribir tests antes del código en el ciclo TDD.
2. La importancia de que el test falla porque la funcionalidad aún no ha sido implementada.
3. La importancia de que el test sea obligatorio y no opcional en el ciclo TDD.
4. La importancia de que el código se refactorice manteniendo todos los tests en verde.
**Calificación: 4/10**
La respuesta proporcionada muestra una comprensión básica del ciclo TDD, pero requiere correcciones importantes para reflejar la exactitud conceptual y la importancia de cada etapa en el ciclo.&lt;|eot_id|&gt;</t>
  </si>
  <si>
    <t>Respuesta: El TDD al estar estructura en tres fases, que son RED,GREEN,REFACTOR,permite un mayor control de versiones a la hora de hacer los diferentes test de funcionalidad,lo que permite una mayor facilidad de documentanción,en testing,en control de fechas de entrega.
Con un enfoque más tradicional hacer las tres fases del tdd seria muy complicado por el tiempo que llevaria,más todo el tema de recursos que tendria que usar el usuario.</t>
  </si>
  <si>
    <t>**Evaluación de la respuesta**
La respuesta proporcionada no aborda completamente la pregunta sobre la comparación entre TDD y el enfoque tradicional de testing en el desarrollo de software. A continuación, se presentan los conceptos correctamente mencionados, los errores detectados y los conceptos importantes que faltan:
**Conceptos correctamente mencionados:**
* La respuesta menciona las tres fases del ciclo TDD (RED, GREEN, REFACTOR), lo que indica que el estudiante tiene una comprensión básica de la estructura del TDD.
* La respuesta también menciona la ventaja de tener un mayor control de versiones en el TDD, lo que es un beneficio importante en la gestión de proyectos de software.
**Errores detectados:**
* La respuesta no aborda la pregunta principal de comparar TDD con un enfoque tradicional de testing, limitándose a describir las ventajas del TDD sin contrastarlas con las ventajas del enfoque tradicional.
* La respuesta no menciona las desventajas del TDD, como la mayor complejidad inicial o el tiempo adicional necesario para escribir tests antes de implementar el código.
* La respuesta no menciona la importancia de la validación de entradas en el TDD, que es un concepto clave en la pregunta original.
**Conceptos importantes que faltan:**
* La respuesta no menciona la secuencia de TDD (escribir tests antes del código) y cómo se diferencia de la secuencia tradicional (desarrollar código y luego realizar pruebas).
* La respuesta no menciona la importancia de la robustez del software y cómo el TDD contribuye a lograrla.
* La respuesta no menciona la relación entre el TDD y la calidad del software, como la mejora de la mantenibilidad y la comprensión del código.
**Calificación:** 4/10
La respuesta proporcionada muestra una comprensión básica del TDD, pero no aborda completamente la pregunta y omite conceptos importantes. La respuesta necesita mejorar en la comparación con el enfoque tradicional de testing y en la descripción de la importancia de la validación de entradas y la robustez del software.&lt;|eot_id|&gt;</t>
  </si>
  <si>
    <t>Respuesta: 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
Y tambien las buenas practicas de TDD vendrian con su correspodiente documentación mostrando las diferentes fase en las que se encuentra el codigo y dicendo los nuevos parametros que se han seguido para que el codigo pueda funcionar correctamente.</t>
  </si>
  <si>
    <t>**Evaluación de la respuesta**
La respuesta proporcionada describe las buenas prácticas en TDD (Test-Driven Development) y su impacto en la calidad del software, aunque con algunos errores y omisiones. A continuación, se presentan los conceptos correctamente mencionados, los errores detectados y los conceptos importantes que faltan:
**Conceptos correctamente mencionados:**
1. Las tres fases del ciclo TDD: RED (código no funcional), GREEN (código que funciona) y REFACTOR (optimización del código).
2. La importancia de la documentación en TDD.
**Errores detectados:**
1. La respuesta no menciona explícitamente la importancia de escribir tests antes de implementar el código, lo que es un aspecto clave en TDD.
2. La respuesta no destaca la necesidad de refactorizar el código para mejorar su mantenibilidad y escalabilidad.
3. La respuesta no menciona la importancia de validar las entradas y la salida de los tests.
4. La respuesta no es clara en la descripción de la fase de REFACTOR, lo que puede llevar a confusiones sobre el propósito de esta etapa.
**Conceptos importantes que faltan:**
1. La importancia de escribir tests que fallen (RED) para guiar el desarrollo del código.
2. La necesidad de evitar la duplicación de código y la complejidad en el código.
3. La importancia de la retroalimentación y la revisión de los tests para asegurarse de que el código se está desarrollando de manera correcta.
**Calificación: 6/10**
La respuesta proporcionada muestra una comprensión básica de las buenas prácticas en TDD, pero falta claridad y detalle en algunos aspectos clave. La respuesta necesita ser más completa y precisa para reflejar la complejidad y la importancia de TDD en la creación de software de alta calidad.&lt;|eot_id|&gt;</t>
  </si>
  <si>
    <t>Respuesta: Las entradas de contexto son importantes para evitar que haya problemas o errores en este mismo codigo,como pueden llegar ha ser las herratas o problemas a la hora de definir alguna que otra variable.</t>
  </si>
  <si>
    <t>**Evaluación de la respuesta**
La respuesta proporcionada aborda parcialmente la importancia de validar entradas en el contexto de TDD y su relación con la robustez del software. A continuación, se presentan los conceptos correctamente mencionados, los errores detectados y los conceptos importantes que faltan:
**Conceptos correctamente mencionados:**
* La importancia de validar entradas en TDD.
* La relación entre la validación de entradas y la robustez del software.
**Errores detectados:**
* La respuesta no proporciona una explicación clara y detallada sobre por qué la validación de entradas es importante en TDD.
* No se menciona cómo la validación de entradas ayuda a prevenir errores y comportamientos inesperados en el software.
* La respuesta utiliza términos genéricos como "problemas o errores" y "herratas" sin proporcionar ejemplos concretos.
**Conceptos importantes que faltan:**
* La importancia de escribir tests para validar las entradas antes de implementar la lógica del negocio.
* La relación entre la validación de entradas y la mejora de la calidad del código y su mantenibilidad.
* Ejemplos concretos de cómo la validación de entradas puede ayudar a prevenir errores y mejorar la robustez del software.
**Nota: 4/10**
La respuesta proporcionada es incompleta y no ofrece una explicación detallada y clara sobre la importancia de validar entradas en TDD. Sin embargo, reconoce la importancia de validar entradas y su relación con la robustez del software. Para mejorar, se recomienda proporcionar ejemplos concretos y una explicación más detallada sobre cómo la validación de entradas ayuda a prevenir errores y mejorar la calidad del código.&lt;|eot_id|&gt;</t>
  </si>
  <si>
    <t>Respuesta: 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</si>
  <si>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**Evaluación de la respuesta**
La respuesta proporcionada describe de manera general el ciclo Test Driven Development (TDD), pero no aborda completamente la importancia de este enfoque en el desarrollo de software. A continuación, se presentan los conceptos correctamente mencionados, los errores detectados y los conceptos importantes que faltan:
**Conceptos correctamente mencionados:**
* El ciclo TDD implica realizar pruebas al código a medida que se desarrollan las funcionalidades.
* La respuesta menciona la ventaja de realizar pruebas en tiempo real, lo que ayuda a evitar errores y ahorra tiempo.
**Errores detectados:**
* La respuesta no describe las tres etapas del ciclo TDD: Rojo, Verde y Refactor.
* No se menciona la importancia de escribir tests antes de implementar la funcionalidad.
* La respuesta no es clara en cuanto a cómo el ciclo TDD promueve un desarrollo proactivo y asegura que el código cumpla con las especificaciones definidas inicialmente.
**Conceptos importantes que faltan:**
* La respuesta no explica la importancia de la iteración y la refacción en el ciclo TDD.
* No se menciona cómo el ciclo TDD ayuda a mejorar la calidad del código y a reducir la complejidad.
**Nota:** 6/10
**Justificación:**
La respuesta proporcionada es una buena base para entender el ciclo TDD, pero falta profundidad y claridad en cuanto a su importancia y beneficios. La respuesta no menciona la importancia de escribir tests antes de implementar la funcionalidad, lo que es un aspecto clave del enfoque TDD. Además, no se explica cómo el ciclo TDD promueve un desarrollo proactivo y asegura que el código cumpla con las especificaciones definidas inicialmente. Sin embargo, la respuesta menciona la ventaja de realizar pruebas en tiempo real, lo que es un aspecto importante del enfoque TDD.&lt;|eot_id|&gt;</t>
  </si>
  <si>
    <t>Respuesta: 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</si>
  <si>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**Evaluación de la respuesta**
La respuesta proporcionada ofrece una comprensión básica de la diferencia entre TDD (Test Driven Development) y el enfoque tradicional de testing en el desarrollo de software. A continuación, se presentan los conceptos correctamente mencionados, los errores detectados y los conceptos importantes que faltan:
**Conceptos correctamente mencionados:**
* La respuesta menciona la principal diferencia entre TDD y el enfoque tradicional de testing, que es la secuencia en que se realizan las pruebas.
* Se destaca la eficiencia de TDD en comparación con el enfoque tradicional.
**Errores detectados:**
* La respuesta no menciona la importancia de que las pruebas en TDD se escriban antes del código, lo que es un aspecto clave de este enfoque.
* No se menciona la diferencia en el propósito de las pruebas en TDD y el enfoque tradicional, es decir, que en TDD las pruebas son obligatorias y ayudan a prevenir errores desde el inicio, mientras que en el enfoque tradicional, los tests pueden ser opcionales y se utilizan para validar el trabajo ya realizado.
**Conceptos importantes que faltan:**
* No se menciona la importancia de la iteración y la refactorización en TDD, que es un aspecto clave de este enfoque.
* No se destaca la mejora en la calidad y robustez del software que se logra con TDD en comparación con el enfoque tradicional.
**Calificación: 6/10**
La respuesta proporcionada ofrece una comprensión básica de la diferencia entre TDD y el enfoque tradicional de testing, pero no profundiza lo suficiente en los conceptos clave de TDD y no menciona algunos aspectos importantes de la diferencia entre ambos enfoques.&lt;|eot_id|&gt;</t>
  </si>
  <si>
    <t>Respuesta: La realización de pruebas continuamente es una de las buenas prácticas ya mediante el desarrollo y las pruebas estas verificando la funcionalidad del código y de esta manera se desarrolla un código con mams calidad.</t>
  </si>
  <si>
    <t>**Evaluación de la respuesta**
La respuesta proporcionada no aborda con precisión las buenas prácticas en TDD y su impacto en la calidad del software. A continuación, se presentan los conceptos correctos y errores detectados:
**Conceptos correctos:**
* La respuesta menciona la realización de pruebas continuamente, lo que es una práctica común en TDD.
* También se menciona que mediante el desarrollo y las pruebas se verifica la funcionalidad del código, lo que es un aspecto importante en TDD.
**Errores detectados:**
* La respuesta no menciona explícitamente las buenas prácticas en TDD, como escribir solo los tests necesarios para que fallen, evitar la duplicación de código y refactorizar regularmente.
* La respuesta no proporciona un enfoque claro sobre cómo la realización de pruebas continuamente contribuye a la calidad del software en el contexto de TDD.
* La respuesta contiene un error de ortografía ("mams" en lugar de "más").
**Conceptos importantes que faltan:**
* La respuesta no menciona la importancia de escribir tests antes del código en TDD.
* No se menciona la necesidad de refactorizar el código regularmente para mantener su calidad y legibilidad.
* No se aborda la relación entre las buenas prácticas en TDD y la creación de software de alta calidad.
**Calificación: 4/10**
La respuesta proporcionada no aborda con precisión las buenas prácticas en TDD y su impacto en la calidad del software. Aunque menciona la realización de pruebas continuamente, no proporciona un enfoque claro sobre cómo esta práctica contribuye a la calidad del software en el contexto de TDD.&lt;|eot_id|&gt;</t>
  </si>
  <si>
    <t>Respuesta: El ciclo TDD (Test Driven Development) es un método de desarrollo en el cual primero se desarrolla un test. Este fallara ya que no existe el codigo para que pase, despues se realizara el código para que este test pase y una vez lo tengamos refactorizamos para cubrir el máximo.
Es importante ya que sirve para mantener un desarrollo guiado.</t>
  </si>
  <si>
    <t>**Evaluación de la respuesta**
La respuesta proporcionada describe el ciclo TDD de manera básica, pero hay algunos conceptos importantes que faltan o se explican de manera incompleta. A continuación, se presentan los conceptos correctamente mencionados, los errores detectados y los conceptos importantes que faltan:
**Conceptos correctamente mencionados:**
* El ciclo TDD se describe como un método de desarrollo que implica escribir un test antes del código.
* Se menciona que el test falla inicialmente porque no existe el código para que pase.
* Se menciona que se realiza el código para que el test pase y se refactoring para mejorar el código.
**Errores detectados:**
* La respuesta no menciona explícitamente las tres etapas del ciclo TDD: Rojo, Verde y Refactor.
* No se explica con claridad el propósito de cada etapa.
* No se menciona la importancia de que el test sea el mínimo código necesario para que pase.
**Conceptos importantes que faltan:**
* No se explica por qué el ciclo TDD es importante en el desarrollo de software.
* No se menciona cómo el ciclo TDD promueve un desarrollo proactivo y asegura que el código cumpla con las especificaciones definidas inicialmente por los tests.
**Calificación: 6/10**
La respuesta proporcionada es básica y no aborda todos los conceptos importantes del ciclo TDD. Aunque menciona las tres etapas del ciclo, no se explica con claridad su propósito y no se menciona la importancia de que el test sea el mínimo código necesario para que pase. Sin embargo, la respuesta también menciona que el ciclo TDD es importante para mantener un desarrollo guiado, lo que es un concepto importante.
**Recomendaciones para mejorar:**
* Añadir una explicación clara de las tres etapas del ciclo TDD (Rojo, Verde y Refactor).
* Mencionar el propósito de cada etapa y su importancia en el desarrollo de software.
* Añadir ejemplos o analogías para ilustrar cómo el ciclo TDD promueve un desarrollo proactivo y asegura que el código cumpla con las especificaciones definidas inicialmente por los tests.
* Añadir más detalles sobre la importancia de que el test sea el mínimo código necesario para que pase.&lt;|eot_id|&gt;</t>
  </si>
  <si>
    <t>Respuesta: La diferencia es que en el TDD primero se desarrollan los test y posteriormente la funcionalidad, en el enfoque tradicional los test se hacen una vez tienes la funcionalidad desarrollada.</t>
  </si>
  <si>
    <t>**Evaluación de la respuesta**
La respuesta proporcionada es una descripción básica de la diferencia entre TDD (Desarrollo Guiado por Pruebas) y el enfoque tradicional de testing en el desarrollo de software. A continuación, se presentan los conceptos correctamente mencionados, los errores detectados y los conceptos importantes que faltan:
**Conceptos correctamente mencionados:**
* La respuesta destaca la diferencia en la secuencia entre TDD y el enfoque tradicional de testing, lo que es correcto.
* Se menciona que en TDD se desarrollan los tests antes de la funcionalidad, lo que es una característica clave de este enfoque.
**Errores detectados:**
* La respuesta es muy breve y no proporciona una explicación detallada de las ventajas y desventajas de cada enfoque.
* No se menciona el propósito de los tests en TDD, que es servir como especificación y guía para el desarrollo.
* No se destaca la importancia de los tests en TDD en la prevención de errores y la mejora de la calidad del software.
**Conceptos importantes que faltan:**
* No se menciona la importancia de refactorizar el código en TDD para mantener su calidad y simplicidad.
* No se destaca la diferencia en la frecuencia de errores en el software desarrollado con TDD en comparación con el enfoque tradicional.
* No se menciona la mejora en la mantenibilidad y la comprensión del código que se logra con TDD.
**Nota: 6/10**
La respuesta proporcionada es una buena base para empezar, pero necesita ser desarrollada y ampliada para reflejar una comprensión más profunda de las ventajas y desventajas de TDD en comparación con el enfoque tradicional de testing.&lt;|eot_id|&gt;</t>
  </si>
  <si>
    <t>Respuesta: Las buenas prácticas son desarrollar primero el test sin tener ninguna funcionalidad (red), una vez tengamos esto realizamos el código correspondiente para que el test pase (green) y terminamos refactorizando con los test unitarios para cubrir el codigo completo.</t>
  </si>
  <si>
    <t>**Evaluación de la respuesta**
La respuesta proporcionada describe algunas buenas prácticas en TDD, pero no cubre completamente el alcance del tema. A continuación, se presentan los conceptos correctamente mencionados, los errores detectados y los conceptos importantes que faltan:
**Conceptos correctamente mencionados:**
* La idea de desarrollar un test sin funcionalidad inicial (rojo)
* La creación de código para que el test pase (verde)
* La importancia de refactorizar con tests unitarios
**Errores detectados:**
* La respuesta no menciona la importancia de escribir solo los tests necesarios para que fallen, lo que es una buena práctica en TDD.
* No se menciona la importancia de evitar la duplicación de código en la refactorización.
* La respuesta no destaca la reducción de la complejidad del código y la mejora de su mantenibilidad como beneficios de las buenas prácticas en TDD.
**Conceptos importantes que faltan:**
* La importancia de mantener un enfoque incremental y iterativo en la refactorización.
* La necesidad de asegurarse de que los tests cubran todas las posibles situaciones y escenarios.
* La importancia de utilizar tests unitarios para garantizar la independencia de los componentes del software.
**Calificación: 6/10**
La respuesta proporcionada muestra una buena comprensión de los conceptos básicos de TDD, pero no aborda completamente la importancia de las buenas prácticas en la práctica de TDD. Con algunos ajustes y adiciones, la respuesta podría mejorar significativamente.&lt;|eot_id|&gt;</t>
  </si>
  <si>
    <t>Respuesta: Es importante validar las entradas porque asi los test pueden comprobar que tipo de entrada estas poniendo y en caso de poner algo prohibido estaria controlado</t>
  </si>
  <si>
    <t>**Evaluación de la respuesta**
La respuesta proporcionada es parcialmente correcta, pero no aborda completamente la importancia de validar entradas en el contexto de TDD y su relación con la robustez del software.
**Conceptos correctamente mencionados:**
* La importancia de validar las entradas en TDD.
* La necesidad de controlar las entradas prohibidas.
**Errores detectados:**
* La respuesta no explica claramente cómo la validación de entradas contribuye a la robustez del software.
* No se menciona la importancia de validar las entradas para prevenir errores y comportamientos inesperados en el software.
* La respuesta no proporciona ejemplos concretos de cómo la validación de entradas puede mejorar la robustez del software.
**Conceptos importantes que faltan:**
* La relación entre la validación de entradas y la seguridad del software.
* La importancia de la validación de entradas para mejorar la mantencibilidad y la comprensión del código.
* Ejemplos concretos de cómo la validación de entradas puede prevenir errores y mejorar la robustez del software.
**Calificación: 6/10**
La respuesta proporcionada es una buena base, pero necesita más desarrollo y profundidad para abordar completamente la importancia de la validación de entradas en el contexto de TDD y su relación con la robustez del software.&lt;|eot_id|&gt;</t>
  </si>
  <si>
    <t>Respuesta: 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</si>
  <si>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**Nota:** 8/10
**Conceptos correctamente mencionados:** 
- El ciclo TDD se compone de tres fases: Rojo, Verde y Refactor.
- La fase Rojo implica escribir un test que falla para una funcionalidad no implementada.
- La fase Verde implica implementar el código mínimo necesario para que el test pase.
- La fase Refactor implica mejorar el código.
**Errores detectados:**
- La descripción de la fase Refactor no es precisa, ya que no menciona que se debe mantener todos los tests en verde y mejorar el código, sino que simplemente se menciona "añadiendo checkeos y cosas varias que hagan el código más fiable".
- No se menciona explícitamente que el objetivo de la fase Refactor es mejorar la calidad y mantenibilidad del código, no solo su fiabilidad.
- La importancia del TDD se menciona de manera vaga, sin especificar cómo exactamente contribuye a la calidad del software.
**Conceptos importantes que faltan:**
- La importancia de escribir tests que fallan en la fase Rojo para asegurarse de que la funcionalidad no esté implementada.
- La importancia de mantener todos los tests en verde después de la fase Refactor.
- La relación entre el TDD y la creación de software de alta calidad, mantenible y escalable.
**Recomendación:**
- Añadir más detalles sobre la fase Refactor y su objetivo de mejorar la calidad y mantenibilidad del código.
- Especificar cómo el TDD contribuye a la creación de software de alta calidad, mantenible y escalable.
- Incluir ejemplos concretos de cómo el TDD se aplica en diferentes contextos de desarrollo de software.&lt;|eot_id|&gt;</t>
  </si>
  <si>
    <t>Respuesta: 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</si>
  <si>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**Evaluación de la respuesta**
La respuesta proporcionada ofrece una visión general de la diferencia entre TDD (Desarrollo Guiado por Pruebas) y un enfoque tradicional de testing en el desarrollo de software. A continuación, se presentan los conceptos correctamente mencionados, los errores detectados y los conceptos importantes que faltan:
**Conceptos correctamente mencionados:**
* La idea de que TDD enfatiza el testing como un pilar fundamental en el desarrollo de software.
* La diferencia en la secuencia entre TDD y el enfoque tradicional de testing, donde en TDD se centra en hacer tests antes de implementar funcionalidades.
**Errores detectados:**
* La respuesta no menciona explícitamente la importancia de escribir tests antes de implementar el código en TDD, lo que es un aspecto clave de la metodología.
* No se destaca la diferencia en el propósito de los tests en TDD y el enfoque tradicional, donde en TDD los tests son una guía para el desarrollo y en el enfoque tradicional se utilizan para validar el trabajo ya realizado.
**Conceptos importantes que faltan:**
* La importancia de refactorizar y mejorar el código en TDD para mantener la simplicidad y la claridad.
* La idea de que los tests en TDD no solo se centran en probar que el código no falle, sino que también se utilizan para asegurarse de que el código cumpla con las especificaciones y sea fácil de mantener.
**Calificación: 6/10**
La respuesta ofrece una visión general de la diferencia entre TDD y el enfoque tradicional de testing, pero no profundiza lo suficiente en los conceptos clave de TDD y no menciona algunos aspectos importantes de la metodología. Con un poco más de detalle y profundidad, la respuesta podría haber sido más completa y precisa.&lt;|eot_id|&gt;</t>
  </si>
  <si>
    <t>Respuesta: Las buenas practicas en TDD serian, primero desarrollar un test claro que pruebe lo que quieres implementar y sus diferentes casuisticas a contemplar, despues implementar un codigo claro, sencillo y sin cosas extra en la fase verde, para darte paso a mejorar en la fase de refractor
Su impacto es que quedan codigos mas robustos, con menos margen de error y con l gran mayoria de casuisticas extrañas cubiertas.</t>
  </si>
  <si>
    <t>**Evaluación de la respuesta**
La respuesta proporcionada describe algunas buenas prácticas en TDD, pero no es completamente precisa y omite algunos aspectos importantes. A continuación, se presentan los conceptos correctamente mencionados, los errores detectados y los conceptos importantes que faltan:
**Conceptos correctamente mencionados:**
* La importancia de desarrollar un test claro y específico antes de implementar el código.
* La necesidad de considerar diferentes casuísticas en los tests.
* La importancia de implementar código claro y sencillo en la fase de "verde".
* La necesidad de refactorizar el código en la fase de "refactor".
**Errores detectados:**
* La respuesta no menciona explícitamente la importancia de escribir solo los tests necesarios para que fallen, lo que es una buena práctica en TDD.
* No se menciona la importancia de evitar la duplicación de código en la fase de "verde".
* La respuesta no destaca la importancia de que el código sea lo más simple posible en la fase de "verde" para facilitar el refactor.
**Conceptos importantes que faltan:**
* No se menciona la importancia de refactorizar regularmente para mantener el código limpio y evitando la complejidad.
* No se destaca la importancia de que los tests sean obligatorios y ayuden a prevenir errores desde el inicio.
**Calificación: 7/10**
La respuesta proporcionada muestra una comprensión básica de las buenas prácticas en TDD, pero no es lo suficientemente detallada ni precisa. La respuesta podría ser mejorada con la inclusión de más detalles y conceptos importantes.
**Justificación de la calificación:**
La respuesta muestra una comprensión básica de las buenas prácticas en TDD, pero no es lo suficientemente detallada ni precisa. La respuesta podría ser mejorada con la inclusión de más detalles y conceptos importantes, como la importancia de escribir solo los tests necesarios para que fallen, evitar la duplicación de código y refactorizar regularmente. Además, la respuesta no destaca la importancia de que el código sea lo más simple posible en la fase de "verde" y no menciona la importancia de que los tests sean obligatorios y ayuden a prevenir errores desde el inicio.&lt;|eot_id|&gt;</t>
  </si>
  <si>
    <t>Respuesta: 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</si>
  <si>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**Evaluación de la respuesta**
La respuesta proporcionada aborda la importancia de validar entradas en el contexto de TDD, aunque no es tan completa ni precisa como la respuesta ideal. A continuación, se presentan los conceptos correctamente mencionados, los errores detectados y los conceptos importantes que faltan:
**Conceptos correctamente mencionados:**
* La importancia de validar entradas en TDD.
* La necesidad de considerar todos los posibles fallos por parte del usuario.
* La relación entre la validación de entradas y la robustez del software.
**Errores detectados:**
* La respuesta no menciona explícitamente que la validación de entradas ayuda a prevenir errores y comportamientos inesperados en el software.
* No se destaca la importancia de escribir tests para validar las entradas antes de implementar la lógica del negocio.
* La respuesta no es tan clara ni concisa como la respuesta ideal.
**Conceptos importantes que faltan:**
* La explicación de cómo la validación de entradas mejora la calidad del código y facilita el mantenimiento y la comprensión del mismo.
* La mención de que la validación de entradas no solo es importante para prevenir errores, sino que también ayuda a asegurar que el software cumple con las especificaciones definidas inicialmente por los tests.
**Calificación: 6/10**
La respuesta proporcionada es una buena base, pero necesita ser más completa y precisa para reflejar la importancia de la validación de entradas en el contexto de TDD y su relación con la robustez del software.&lt;|eot_id|&gt;</t>
  </si>
  <si>
    <t>Respuesta: 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</si>
  <si>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**Evaluación de la respuesta**
La respuesta proporcionada describe el ciclo TDD (Test-Driven Development) de manera general, pero contiene algunos errores y omisiones importantes. A continuación, se presentan los conceptos correctamente mencionados, los errores detectados y los conceptos importantes que faltan:
**Conceptos correctamente mencionados:**
* El ciclo TDD se describe como una forma distinta de desarrollar software.
* Se menciona la existencia de tres etapas: "roja", "verde" y "refactor".
* Se menciona que los tests deben ser mínimos pero efectivos.
**Errores detectados:**
* La descripción del ciclo TDD es confusa y no se menciona explícitamente la importancia de escribir los tests antes del código.
* Se menciona que la parte "roja" es la primera etapa, lo que es incorrecto, ya que la primera etapa es la escritura de los tests.
* Se menciona que el ciclo TDD es útil para desarrollos largos, pero no se explica por qué es así.
* No se menciona la importancia de que los tests sean independientes y no dependan del código existente.
**Conceptos importantes que faltan:**
* No se menciona la importancia de que los tests sean escritos antes del código.
* No se explica cómo el ciclo TDD promueve un desarrollo proactivo y asegura que el código cumpla con las especificaciones.
* No se menciona la importancia de la refactorización en la etapa final del ciclo.
**Calificación: 6/10**
La respuesta proporcionada muestra una comprensión básica del ciclo TDD, pero necesita mejorar en términos de claridad, precisión y profundidad. Es importante que los estudiantes comprendan la importancia de escribir tests antes del código, la importancia de la refactorización y cómo el ciclo TDD promueve un desarrollo proactivo.&lt;|eot_id|&gt;</t>
  </si>
  <si>
    <t>Respuesta: 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</si>
  <si>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**Evaluación de la respuesta**
La respuesta proporcionada muestra una comprensión básica de la diferencia entre TDD (Testing-Driven Development) y el enfoque tradicional de testing en el desarrollo de software. Sin embargo, hay algunos conceptos importantes que faltan o se presentan de manera incompleta.
**Conceptos correctamente mencionados:**
* La respuesta menciona que TDD es útil para desarrollos a largo plazo, lo que es cierto, ya que ayuda a crear un código más robusto y mantenible.
* También se menciona que en TDD se crean primero los objetivos que debe cumplir el código, lo que es un aspecto clave de la filosofía de TDD.
**Errores detectados:**
* La respuesta sugiere que TDD es menos eficiente para desarrollos a corto plazo, lo que no es necesariamente cierto. Aunque es cierto que TDD puede requerir más tiempo en el corto plazo, la inversión de tiempo a largo plazo puede ser compensada por la mejora en la calidad y mantenibilidad del código.
* La respuesta no menciona la importancia de la iteración y la retroalimentación en TDD, que es un aspecto clave de la metodología.
* No se menciona la ventaja de que en TDD se identifican errores y problemas en un momento temprano, lo que reduce el riesgo de errores graves en el futuro.
**Conceptos importantes que faltan:**
* La respuesta no menciona la importancia de la automatización de pruebas en TDD, que es un aspecto crucial para garantizar la calidad y la consistencia del código.
* No se menciona la relación entre TDD y la refactorización, que es un aspecto clave de la metodología para mantener el código limpio y fácil de mantener.
**Calificación: 6/10**
La respuesta muestra una comprensión básica de la diferencia entre TDD y el enfoque tradicional de testing, pero falta profundidad y precisión en algunos aspectos clave. La respuesta podría mejorar con la inclusión de más detalles y conceptos importantes relacionados con TDD.&lt;|eot_id|&gt;</t>
  </si>
  <si>
    <t>Respuesta: 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</si>
  <si>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**Evaluación de la respuesta**
La respuesta proporcionada describe algunas características básicas del TDD (Desarrollo Dirigido por Pruebas), pero no aborda completamente las buenas prácticas en TDD y su impacto en la calidad del software.
**Conceptos correctamente mencionados:**
* La creación de tests antes del código es un aspecto clave del TDD.
* La importancia de la validación de tests.
**Errores detectados:**
* La respuesta no menciona la importancia de refactorizar el código regularmente.
* No se enfatiza la necesidad de escribir tests solo para los escenarios más críticos y no para cubrir todas las posibilidades y escenarios.
* La respuesta no destaca la importancia de mantener el código simple y evitando la duplicación de código.
**Conceptos importantes que faltan:**
* La importancia de escribir tests solo para lo que se quiere probar, y no para cubrir todos los escenarios posibles.
* La necesidad de refactorizar el código regularmente para mantener su simplicidad y eficiencia.
* La importancia de mantener un equilibrio entre la cantidad de tests y la complejidad del código.
**Calificación: 4/10**
La respuesta proporcionada tiene algunos aspectos correctos, pero no aborda completamente las buenas prácticas en TDD y su impacto en la calidad del software. Es importante recordar que el TDD no es solo sobre crear tests, sino también sobre escribir código simple, evitando la duplicación y refactorizar regularmente para mantener la calidad del software.&lt;|eot_id|&gt;</t>
  </si>
  <si>
    <t>Respuesta: 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</si>
  <si>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**Evaluación de la respuesta**
La respuesta proporcionada muestra una comprensión básica de la importancia de validar entradas en el contexto de TDD, pero no aborda completamente la cuestión. A continuación, se presentan los conceptos correctamente mencionados, los errores detectados y los conceptos importantes que faltan:
**Conceptos correctamente mencionados:**
1. La importancia de validar entradas en el contexto de TDD.
2. La relación entre la validación de entradas y la robustez del software.
3. La idea de que los tests deben procesar entradas que no produzcan errores.
**Errores detectados:**
1. La respuesta no explica claramente cómo la validación de entradas contribuye al desarrollo óptimo en TDD.
2. No se menciona la importancia de validar entradas para prevenir errores en tiempo de ejecución.
3. La respuesta no destaca la ventaja de que la validación de entradas facilita el mantenimiento y la comprensión del software.
**Conceptos importantes que faltan:**
1. La importancia de escribir tests para validar las entradas antes de implementar la lógica del negocio.
2. La relación entre la validación de entradas y la prevención de errores inesperados en el software.
3. La idea de que la validación de entradas es un aspecto crucial para la creación de software robusto y de alta calidad.
**Calificación: 6/10**
La respuesta proporcionada muestra una comprensión básica de la importancia de validar entradas en el contexto de TDD, pero no aborda completamente la cuestión. La respuesta necesita ser más detallada y precisa para reflejar la importancia de la validación de entradas en la creación de software robusto y de alta calidad.&lt;|eot_id|&gt;</t>
  </si>
  <si>
    <t>Respuesta: El ciclo TDD es un tipo de desarrollo en donde primero se crean los tests que debe pasar el código que vamos a escribir y luego se desarrolla el código que pasará esos tests. 
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</si>
  <si>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**Evaluación de la respuesta**
La respuesta proporcionada describe de manera general el ciclo TDD y su importancia en el desarrollo de software, pero hay algunos conceptos y detalles que no están completamente claros o no están presentes.
**Conceptos correctamente mencionados:**
*   El ciclo TDD se inicia con la creación de tests antes de desarrollar el código.
*   La fase de refactor es parte del ciclo TDD.
*   La importancia de desarrollar con tests desde el primer momento.
**Errores detectados:**
*   La respuesta no menciona explícitamente las tres etapas del ciclo TDD: Rojo, Verde y Refactor.
*   No se explica claramente cómo se relacionan las fases del ciclo TDD.
*   La respuesta no menciona la importancia de la fase de "Verde" en la que se desarrolla el código para que pase los tests.
**Conceptos importantes que faltan:**
*   No se menciona la importancia de que los tests fallen al inicio (etapa Rojo) para poder desarrollar el código.
*   No se explica cómo la fase de refactor mejora el código.
*   No se menciona la importancia de mantener los tests en verde para asegurar la calidad del código.
**Calificación: 6/10**
La respuesta proporcionada no es completa y no explica todos los conceptos importantes del ciclo TDD. Sin embargo, reconoce la importancia de desarrollar con tests desde el primer momento y menciona la fase de refactor.&lt;|eot_id|&gt;</t>
  </si>
  <si>
    <t>Respuesta: 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
Con TDD se generan todas esas situaciones y casuísticas antes de empezar el desarrollo, esto lleva a un código más sólido desde la primera iteración con TDD y en un producto final más completo y seguro.</t>
  </si>
  <si>
    <t>**Evaluación de la respuesta**
La respuesta proporcionada presenta una comprensión básica de la diferencia entre el enfoque tradicional de testing y el desarrollo dirigido por pruebas (TDD). A continuación, se presentan los conceptos correctamente mencionados, los errores detectados y los conceptos importantes que faltan:
**Conceptos correctamente mencionados:**
1. La diferencia en la secuencia de testing entre el enfoque tradicional y TDD.
2. La importancia de generar casos de prueba y casuísticas antes de empezar el desarrollo con TDD.
3. La ventaja de TDD en términos de generar un código más sólido y un producto final más completo y seguro.
**Errores detectados:**
1. La respuesta no menciona explícitamente la diferencia en el propósito de los tests entre el enfoque tradicional y TDD.
2. No se menciona la importancia de la iteración y la refactorización en TDD.
3. La respuesta no proporciona ejemplos concretos de cómo TDD puede prevenir errores y cambios constantes en el producto final.
**Conceptos importantes que faltan:**
1. La importancia de la especificación y la guía que los tests proporcionan en TDD.
2. La diferencia en la frecuencia y la obligatoriedad de los tests en TDD y enfoque tradicional.
3. La relación entre TDD y la calidad del código y la robustez del software.
**Calificación:** 6/10
La respuesta presenta una comprensión básica de la diferencia entre el enfoque tradicional de testing y TDD, pero faltan detalles importantes y conceptos clave para una evaluación más completa.&lt;|eot_id|&gt;</t>
  </si>
  <si>
    <t>Respuesta: 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</si>
  <si>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**Evaluación de la respuesta**
La respuesta proporcionada describe algunas buenas prácticas en TDD, pero no cubre todos los aspectos importantes de la temática. A continuación, se presentan los conceptos correctamente mencionados, los errores detectados y los conceptos importantes que faltan:
**Conceptos correctamente mencionados:**
* La importancia de generar tests que cubran todos los casos y situaciones a los que va a estar expuesto el programa.
* La necesidad de probar tanto las request con datos válidos como aquellos que no son válidos en el contexto de una API.
* La calidad que se consigue usando TDD es mayor que con un desarrollo tradicional.
**Errores detectados:**
* La respuesta no menciona explícitamente la importancia de escribir solo los tests necesarios para que fallen, evitar la duplicación de código y refactorizar regularmente, que son buenas prácticas clave en TDD.
* No se menciona la importancia de la secuencia de TDD, es decir, escribir tests antes del código, y cómo esto ayuda a prevenir errores desde el inicio.
**Conceptos importantes que faltan:**
* La importancia de la refactorización en TDD y cómo ayuda a mantener el código limpio y mantenible.
* La relación entre TDD y la robustez del software, es decir, cómo la validación de entradas y la prueba de casos ayudan a prevenir errores y comportamientos inesperados.
* La importancia de la claridad y la concisión en la escritura de tests, y cómo esto ayuda a garantizar que los tests sean fáciles de entender y mantener.
**Nota:** 7/10
La respuesta proporcionada es buena, pero no cubre todos los aspectos importantes de las buenas prácticas en TDD. Se necesitan algunos ajustes para incluir la importancia de la secuencia de TDD, la refactorización y la claridad en la escritura de tests.&lt;|eot_id|&gt;</t>
  </si>
  <si>
    <t>Respuesta: 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
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</si>
  <si>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**Evaluación de la respuesta**
La respuesta proporcionada aborda la importancia de validar entradas en el contexto de TDD y su relación con la robustez del software. A continuación, se presentan los conceptos correctamente mencionados, errores detectados y conceptos importantes que faltan, así como una calificación numérica entre 0 y 10.
**Conceptos correctamente mencionados:**
* La importancia de validar entradas para asegurarse de que los datos sean válidos antes de procesarlos.
* La importancia de la validación en la fase de refactorización del código en TDD.
* La relación entre la validación de entradas y la robustez del software.
**Errores detectados:**
* La respuesta no menciona explícitamente la importancia de escribir tests para validar las entradas en TDD, lo que es un aspecto clave de la metodología.
* No se menciona la relación entre la validación de entradas y la previsión de errores en tiempo de ejecución.
* La respuesta no es tan clara y concisa como la respuesta ideal, lo que dificulta la comprensión de los conceptos.
**Conceptos importantes que faltan:**
* La importancia de escribir tests para validar las entradas en TDD.
* La relación entre la validación de entradas y la mejora de la calidad del código.
* Un ejemplo concreto de cómo la validación de entradas puede prevenir errores en el software.
**Calificación numérica: 7/10**
La respuesta proporcionada es buena, pero no es perfecta. Menciona conceptos importantes y aborda la importancia de la validación de entradas en TDD, pero no es tan clara y concisa como la respuesta ideal. También faltan algunos conceptos importantes y no se mencionan ejemplos concretos.&lt;|eot_id|&gt;</t>
  </si>
  <si>
    <t>Respuesta: La importancia de Test-Driven Development es escribir la menor cantidad de líneas de código para que sea capaz de pasar los test, es decir, para cumplir los objetivos exactos del código</t>
  </si>
  <si>
    <t>**Evaluación de la respuesta**
La respuesta proporcionada no aborda adecuadamente el ciclo TDD y su importancia en el desarrollo de software. A continuación, se presentan los conceptos correctamente mencionados, los errores detectados y los conceptos importantes que faltan:
**Conceptos correctamente mencionados:**
* La respuesta menciona la importancia de Test-Driven Development (TDD), aunque no la define de manera clara.
* Se menciona la idea de escribir código para que pueda pasar los tests, aunque no se aclara que esto es solo una parte del ciclo TDD.
**Errores detectados:**
* La respuesta no describe con precisión el ciclo TDD, que consta de tres etapas: escribir un test que falla, desarrollar el código mínimo necesario para que el test pase y refactorizar el código.
* La respuesta no menciona la importancia de la etapa de refactorización.
* La respuesta no explica por qué la escritura de código para que cumpla con los objetivos exactos del código es importante en TDD.
**Conceptos importantes que faltan:**
* La definición clara del ciclo TDD y sus tres etapas.
* La importancia de la etapa de refactorización en TDD.
* La relación entre TDD y la calidad del software, como la mejora de la confiabilidad, la reducción de errores y la mayor mantenibilidad del código.
**Nota:** 4/10
**Justificación:**
La respuesta proporcionada no aborda adecuadamente el ciclo TDD y su importancia en el desarrollo de software. Aunque menciona la importancia de escribir código para que cumpla con los objetivos exactos del código, no describe con precisión el ciclo TDD y no explica la importancia de la etapa de refactorización. Por lo tanto, la nota es 4/10.&lt;|eot_id|&gt;</t>
  </si>
  <si>
    <t>Respuesta: 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</si>
  <si>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**Evaluación de la respuesta**
La respuesta proporcionada es parcialmente correcta, pero requiere algunas correcciones y aclaraciones para reflejar con precisión la diferencia entre TDD y el enfoque tradicional de testing en el desarrollo de software.
**Conceptos correctamente mencionados:**
* El enfoque TDD se basa en una secuencia en la que se crea un test que falla porque no hay código escrito.
* El objetivo de TDD es escribir código que pueda cumplir con el test.
* El enfoque tradicional de testing implica escribir el código primero y luego realizar pruebas.
**Errores detectados:**
* La respuesta no menciona la tercera etapa del ciclo TDD, que es el refactor, donde se mejora el código manteniendo todos los tests en verde.
* La respuesta no destaca la importancia de escribir solo los tests necesarios para que fallen, lo que es una buena práctica en TDD.
* La respuesta no menciona la diferencia en la secuencia de eventos entre TDD y el enfoque tradicional, donde en TDD los tests se escriben antes del código y en el enfoque tradicional se escriben después.
**Conceptos importantes que faltan:**
* La importancia de la robustez del software y la necesidad de validar entradas en el contexto de TDD.
* Las buenas prácticas en TDD, como evitar la duplicación de código y refactorizar regularmente.
* El impacto de TDD en la calidad del software, como la mejora de la mantención y comprensión del código.
**Nota: 6/10**
La respuesta proporcionada es clara y concisa, pero requiere algunas correcciones y aclaraciones para reflejar con precisión la diferencia entre TDD y el enfoque tradicional de testing en el desarrollo de software.&lt;|eot_id|&gt;</t>
  </si>
  <si>
    <t>Respuesta: Creación de test antes del desarrollo. Permite que el código sea más eficiente debido a que el desarrollo se ajusta a los test que definen los objetivos que debe alcanzar la aplicación. Te permite ser más consciente del código que uno está desarrollando</t>
  </si>
  <si>
    <t>**Evaluación de la respuesta**
La respuesta proporcionada describe algunas buenas prácticas en TDD, pero no aborda completamente el tema. A continuación, se presentan los conceptos correctamente mencionados, los errores detectados y los conceptos importantes que faltan:
**Conceptos correctamente mencionados:**
1. Creación de tests antes del desarrollo: Esto es un aspecto clave de la TDD, ya que permite que los desarrolladores escriban tests que definen los objetivos y requisitos del software antes de comenzar a desarrollar el código.
2. Eficiencia del código: La creación de tests antes del desarrollo puede ayudar a que el código sea más eficiente, ya que se ajusta a los tests que definen los objetivos que debe alcanzar la aplicación.
**Errores detectados:**
1. Falta de mención de la importancia de escribir solo los tests necesarios: La respuesta no menciona la importancia de escribir solo los tests necesarios para que fallen, lo que puede ayudar a mantener el desarrollo enfocado y evitar la sobrecarga de tests innecesarios.
2. Falta de mención de la importancia del refactorización: La respuesta no menciona la importancia de refactorizar regularmente el código para mantenerlo limpio y eficiente.
3. Falta de mención de la relación con la robustez del software: La respuesta no menciona cómo la TDD ayuda a crear un software más robusto y de alta calidad, ya que cada unidad de código está respaldada por pruebas que garantizan su correcto funcionamiento.
**Conceptos importantes que faltan:**
1. Evitar la duplicación de código: La respuesta no menciona la importancia de evitar la duplicación de código en la TDD, lo que puede ayudar a mantener el código limpio y eficiente.
2. Impacto en la mantenibilidad: La respuesta no menciona cómo la TDD ayuda a mejorar la mantenibilidad del software, ya que cada unidad de código está respaldada por pruebas que garantizan su correcto funcionamiento.
**Calificación: 6/10**
La respuesta proporcionada describe algunas buenas prácticas en TDD, pero no aborda completamente el tema. Se necesitan más detalles y conceptos para obtener una calificación más alta.&lt;|eot_id|&gt;</t>
  </si>
  <si>
    <t>Respuesta: 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</si>
  <si>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**Nota:** 8/10
**Conceptos correctamente mencionados:**
* La importancia de validar entradas en el contexto de TDD.
* La relación entre la validación de entradas y la robustez del software.
* La necesidad de validar los tipos de datos de entrada para evitar problemas.
**Errores detectados:**
* La respuesta no menciona explícitamente el ciclo de TDD y cómo la validación de entradas se integra en él.
* La explicación es un poco confusa en algunos puntos, especialmente cuando se refiere a la relación entre la validación de entradas y la robustez del software.
* La respuesta no proporciona ejemplos concretos para ilustrar la importancia de la validación de entradas.
**Conceptos importantes que faltan:**
* La importancia de validar entradas para prevenir errores y comportamientos inesperados en el software.
* La relación entre la validación de entradas y la facilidad de mantenimiento y comprensión del código.
* La necesidad de refactorizar el código después de la validación de entradas para asegurar la robustez del software.
**Recomendación:**
La respuesta proporciona una buena base para explicar la importancia de la validación de entradas en el contexto de TDD, pero necesita ser más clara y concisa en algunos puntos. Se recomienda agregar ejemplos concretos y enfatizar la importancia de la validación de entradas para prevenir errores y mejorar la robustez del software.&lt;|eot_id|&gt;</t>
  </si>
  <si>
    <t>Respuesta: 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</si>
  <si>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**Evaluación de la respuesta**
La respuesta proporcionada describe de manera general el ciclo TDD (Test-Driven Development), pero no es exactamente precisa en algunos detalles y carece de claridad en algunos puntos. A continuación, se presentan los conceptos correctamente mencionados, los errores detectados y los conceptos importantes que faltan:
**Conceptos correctamente mencionados:**
* La respuesta menciona las tres etapas del ciclo TDD: red (fase de falla), verde (fase de desarrollo) y refactor (fase de mejora).
* Se menciona la importancia de que el código pase de rojo a verde, lo que indica que el test ha sido aprobado.
**Errores detectados:**
* La respuesta no describe con precisión la fase de rojo: en realidad, la fase de rojo se refiere a escribir un test que falla porque la funcionalidad aún no ha sido implementada, no a crear un código en el ControllerTest.
* La respuesta no menciona la importancia de que el test sea específico y cubra un caso de uso específico, lo que es fundamental en TDD.
* La respuesta no destaca la importancia de que el código se refactorice para mantenerlo limpio y eficiente.
**Conceptos importantes que faltan:**
* La respuesta no menciona la importancia de que el test sea independiente y no dependa de la implementación del código.
* No se destaca la importancia de que el test sea ejecutable y no requiera la creación de un contexto complejo para ejecutarse.
* No se menciona la importancia de que el código se mantenga simple y fácil de entender después de cada refactor.
**Calificación:** 6/10
La respuesta proporcionada es básica y no muestra una comprensión profunda del ciclo TDD. Aunque menciona las tres etapas del ciclo, no describe con precisión la fase de rojo y no destaca la importancia de la especificidad y la independencia de los tests.&lt;|eot_id|&gt;</t>
  </si>
  <si>
    <t>Respuesta: 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  que falla.</t>
  </si>
  <si>
    <t>**Evaluación de la respuesta**
La respuesta proporcionada muestra una comprensión básica de la diferencia entre TDD (Desarrollo Guiado por Pruebas) y el enfoque tradicional de testing en el desarrollo de software. Sin embargo, hay algunos conceptos importantes que no están claros o están mal representados.
**Conceptos correctos mencionados:**
* La existencia de diferentes fases en TDD (rojo, verde)
* La importancia de ver el progreso de pasar de rojo a verde en TDD
* La diferencia en la secuencia de desarrollo entre TDD y el enfoque tradicional
**Errores detectados:**
* La respuesta no menciona explícitamente la importancia de escribir tests antes del código en TDD.
* La descripción de la fase de refactoring en TDD es confusa y no menciona su importancia en mantener el código limpio y eficiente.
* La respuesta no menciona la ventaja de que los tests en TDD son obligatorios y ayudan a prevenir errores desde el inicio.
**Conceptos importantes que faltan:**
* La importancia de escribir tests de unidad y de integración en TDD.
* La necesidad de refactorizar el código regularmente para mantener su calidad y eficiencia.
* La relación entre TDD y la robustez del software.
**Calificación: 6/10**
La respuesta proporcionada muestra una comprensión básica de la diferencia entre TDD y el enfoque tradicional de testing, pero falta claridad y detalle en algunos conceptos importantes. Es importante mejorar la respuesta para reflejar una comprensión más profunda de TDD y sus beneficios.&lt;|eot_id|&gt;</t>
  </si>
  <si>
    <t>Respuesta: Para que una práctica sea buena en TDD, se debe ir poco a poco con los cambios y siguiendo cada uno de los pasos, porque si haces primero la fase de refactor, aunque pase en verde ya vas a perder el enfoque de haberlo hecho de manera progresiva.</t>
  </si>
  <si>
    <t>**Evaluación de la respuesta**
La respuesta proporcionada describe algunas buenas prácticas en TDD, pero no cubre completamente el tema. A continuación, se presentan los conceptos correctamente mencionados, los errores detectados y los conceptos importantes que faltan:
**Conceptos correctamente mencionados:**
* La importancia de ir poco a poco con los cambios en TDD.
* La importancia de seguir cada uno de los pasos del ciclo TDD.
**Errores detectados:**
* La respuesta no menciona explícitamente las buenas prácticas en TDD, como escribir solo los tests necesarios para que fallen, evitar la duplicación de código y refactorizar regularmente.
* La respuesta no explica con claridad cómo estas prácticas mejoran la calidad del software.
**Conceptos importantes que faltan:**
* La importancia de escribir tests que cubran todos los casos de uso y escenarios posibles.
* La necesidad de mantener la simplicidad y la claridad en el código y los tests.
* El impacto de las buenas prácticas en TDD en la mantenibilidad y la escalabilidad del software.
**Nota: 6/10**
La respuesta proporcionada es parcialmente correcta, pero no cubre completamente el tema. La falta de claridad y detalle en la explicación de las buenas prácticas en TDD y su impacto en la calidad del software reduce la nota. Sin embargo, la respuesta demuestra una comprensión básica del ciclo TDD y la importancia de ir poco a poco con los cambios.&lt;|eot_id|&gt;</t>
  </si>
  <si>
    <t>Respuesta: no tengo idea, escribo para no dejarlo en blanco y me salte el mensaje</t>
  </si>
  <si>
    <t>**Evaluación de la respuesta**
La respuesta proporcionada no muestra una comprensión clara de la importancia de validar entradas en el contexto de TDD y su relación con la robustez del software.
**Conceptos incorrectos o ausentes**
* No se menciona la importancia de validar entradas en TDD para prevenir errores y comportamientos inesperados en el software.
* No se relaciona la validación de entradas con la robustez del software, que es un concepto clave en TDD.
* No se menciona cómo la validación de entradas puede mejorar la calidad del código y facilitar su mantenimiento.
**Conceptos importantes que faltan**
* La importancia de escribir tests para validar las entradas antes de implementar la lógica del negocio.
* La relación entre la validación de entradas y la prevención de errores en tiempo de ejecución.
* La importancia de la validación de entradas para mejorar la comprensión y el mantenimiento del código.
**Nota:** 2/10
**Justificación:** La respuesta no muestra una comprensión clara de la importancia de validar entradas en TDD y su relación con la robustez del software. La respuesta parece ser un intento de "no dejar en blanco" el mensaje, pero no proporciona información relevante o precisa sobre el tema.&lt;|eot_id|&gt;</t>
  </si>
  <si>
    <t>**Nota:** 7/10
**Conceptos correctamente mencionados:**
* La importancia de validar entradas en el contexto de TDD.
* La necesidad de verificar datos para evitar errores y comportamientos inesperados en el software.
**Errores detectados:**
* La respuesta no menciona explícitamente cómo la validación de entradas se relaciona con la robustez del software.
* La respuesta se centra más en la importancia de la validación en general, en lugar de enfocarse específicamente en el contexto de TDD.
* La respuesta no proporciona ejemplos concretos de cómo la validación de entradas puede mejorar la robustez del software en un proyecto que utiliza TDD.
**Conceptos importantes que faltan:**
* La relación entre la validación de entradas y la prevención de errores en tiempo de ejecución.
* El impacto de la validación en la calidad y mantenibilidad del software.
* Ejemplos concretos de cómo la validación de entradas puede mejorar la robustez del software en un proyecto que utiliza TDD.
**Sugerencias para mejorar la respuesta:**
* Añadir ejemplos concretos de cómo la validación de entradas puede mejorar la robustez del software en un proyecto que utiliza TDD.
* Enfatizar la importancia de la validación de entradas en el contexto de TDD y cómo se relaciona con la prevención de errores en tiempo de ejecución.
* Proporcionar más detalles sobre cómo la validación de entradas puede mejorar la calidad y mantenibilidad del software en un proyecto que utiliza TDD.&lt;|eot_id|&gt;</t>
  </si>
  <si>
    <t>**Evaluación de la respuesta**
La respuesta proporcionada aborda la importancia de validar entradas en el contexto de TDD, pero no lo hace de manera completa y precisa. A continuación, se presentan los conceptos correctamente mencionados, los errores detectados y los conceptos importantes que faltan:
**Conceptos correctamente mencionados:**
* La importancia de validar entradas en TDD para implementar código con datos verificados.
* El ejemplo de validación de datos, como la edad de un alumno y el ID de un estudiante.
**Errores detectados:**
* La respuesta no menciona explícitamente cómo la validación de entradas se relaciona con la robustez del software.
* No se proporciona un ejemplo claro y conciso de cómo la validación de entradas puede prevenir errores en el software.
* La respuesta se centra más en la importancia de la validación de datos en general, en lugar de enfocarse en el contexto específico de TDD.
**Conceptos importantes que faltan:**
* La relación entre la validación de entradas y la reducción de errores en tiempo de ejecución.
* El impacto de la validación de entradas en la calidad del código y la facilidad de mantenimiento.
* La importancia de la validación de entradas en la etapa de Refactor del ciclo TDD.
**Calificación: 6/10**
La respuesta proporcionada muestra una comprensión básica de la importancia de la validación de entradas en TDD, pero no aborda los conceptos más importantes y no proporciona ejemplos claros y concisos. Para mejorar, la respuesta debería enfocarse en la relación entre la validación de entradas y la robustez del software, y proporcionar ejemplos más detallados y precisos.&lt;|eot_id|&gt;</t>
  </si>
  <si>
    <t>**Evaluación de la respuesta**
La respuesta proporcionada aborda parcialmente la importancia de validar entradas en el contexto de TDD y su relación con la robustez del software. A continuación, se presentan los conceptos correctamente mencionados, los errores detectados y los conceptos importantes que faltan:
**Conceptos correctamente mencionados:**
* La importancia de validar entradas en TDD para implementar código con datos verificados.
* La necesidad de verificar datos como la edad de un alumno o el ID de un estudiante para evitar errores.
* La importancia de validar datos para realizar un buen proyecto y software.
**Errores detectados:**
* La respuesta no menciona explícitamente la relación entre la validación de entradas y la robustez del software.
* La respuesta no explica cómo la validación de entradas ayuda a prevenir errores y comportamientos inesperados en el software.
* La respuesta no menciona la importancia de la validación de entradas en la mejora de la calidad del código y su mantenibilidad.
**Conceptos importantes que faltan:**
* La explicación de cómo la validación de entradas ayuda a minimizar los casos de errores en tiempo de ejecución.
* La mención de cómo la validación de entradas se relaciona con la seguridad del software.
* La explicación de cómo la validación de entradas se integra con el ciclo TDD y cómo se refleja en la mejora de la calidad del software.
**Nota:** 6/10
**Justificación:**
La respuesta proporcionada es básica y no aborda completamente la importancia de la validación de entradas en el contexto de TDD. Aunque menciona algunos conceptos correctos, falta una explicación más detallada y profunda de la relación entre la validación de entradas y la robustez del software. Se recomienda mejorar la respuesta para incluir conceptos adicionales y proporcionar una explicación más clara y completa.&lt;|eot_id|&gt;</t>
  </si>
  <si>
    <t>**Evaluación de la respuesta**
La respuesta proporcionada muestra un buen entendimiento de la importancia de validar entradas en el contexto de TDD (Desarrollo Dirigido por Pruebas). A continuación, se presentan los conceptos correctamente mencionados, los errores detectados y los conceptos importantes que faltan:
**Conceptos correctamente mencionados:**
* La importancia de validar entradas en TDD para implementar código con datos verificados.
* La necesidad de verificar la validez de datos como años de edad, ID de estudiantes, etc.
* La importancia de validar datos para realizar un buen proyecto y software.
**Errores detectados:**
* La respuesta no menciona explícitamente cómo la validación de entradas se relaciona con la robustez del software.
* La respuesta no proporciona ejemplos concretos de cómo la validación de entradas puede afectar la robustez del software.
* La respuesta no menciona la importancia de la validación de entradas en la etapa de refactorización del ciclo TDD.
**Conceptos importantes que faltan:**
* La respuesta no menciona la importancia de validar entradas en la etapa de escritura de tests, donde se definen las condiciones de validación.
* No se menciona la importancia de utilizar patrones de validación como Try-Catch o validación de datos con librerías específicas.
* No se proporciona información sobre cómo la validación de entradas puede mejorar la seguridad del software.
**Nota:** 7/10
La respuesta muestra un buen entendimiento de la importancia de validar entradas en TDD, pero falta profundidad y ejemplos concretos para respaldar la importancia de esta práctica. La respuesta también no menciona algunos conceptos importantes relacionados con la validación de entradas y su relación con la robustez del software.&lt;|eot_id|&gt;</t>
  </si>
  <si>
    <t>**Evaluación de la respuesta**
La respuesta proporcionada es parcialmente correcta y muestra una comprensión básica de la importancia de validar entradas en el contexto de TDD (Desarrollo Dirigido por Pruebas). A continuación, se presentan los conceptos correctamente mencionados, errores detectados y conceptos importantes que faltan:
**Conceptos correctamente mencionados:**
1. La importancia de validar entradas en TDD para implementar código con datos verificados.
2. La necesidad de verificar datos como la edad de un alumno o el ID de un estudiante para evitar errores.
**Errores detectados:**
1. La respuesta no menciona explícitamente la relación entre la validación de entradas y la robustez del software.
2. La explicación es un poco vaga y no proporciona ejemplos concretos de cómo la validación de entradas puede afectar la robustez del software.
3. La respuesta no menciona la importancia de la validación de entradas en términos de prevenir errores y comportamientos inesperados en el software.
**Conceptos importantes que faltan:**
1. La explicación de cómo la validación de entradas puede ayudar a prevenir errores y mejorar la seguridad del software.
2. La mención de cómo la validación de entradas se relaciona con la calidad del código y la facilidad de mantenimiento.
3. La explicación de cómo la validación de entradas se integra con el ciclo TDD para garantizar la robustez del software.
**Nota:** 6/10
**Justificación:** La respuesta proporcionada es parcialmente correcta, pero requiere más detalles y ejemplos concretos para demostrar una comprensión más profunda de la importancia de la validación de entradas en el contexto de TDD y su relación con la robustez del software.&lt;|eot_id|&gt;</t>
  </si>
  <si>
    <t>nota con justificacion previa</t>
  </si>
  <si>
    <t>Solamente nota</t>
  </si>
  <si>
    <t>diferencia entre n generadas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</si>
</sst>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b/>
      <color theme="1"/>
      <name val="Arial"/>
    </font>
    <font>
      <color theme="1"/>
      <name val="Arial"/>
    </font>
  </fonts>
  <fills count="4">
    <fill>
      <patternFill patternType="none"/>
    </fill>
    <fill>
      <patternFill patternType="lightGray"/>
    </fill>
    <fill>
      <patternFill patternType="solid">
        <fgColor rgb="FFFFE599"/>
        <bgColor rgb="FFFFE599"/>
      </patternFill>
    </fill>
    <fill>
      <patternFill patternType="solid">
        <fgColor theme="0"/>
        <bgColor theme="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vertical="bottom"/>
    </xf>
    <xf borderId="0" fillId="2" fontId="3" numFmtId="0" xfId="0" applyAlignment="1" applyFill="1" applyFont="1">
      <alignment vertical="bottom"/>
    </xf>
    <xf borderId="0" fillId="2" fontId="3" numFmtId="0" xfId="0" applyAlignment="1" applyFont="1">
      <alignment horizontal="right" vertical="bottom"/>
    </xf>
    <xf borderId="0" fillId="0" fontId="1" numFmtId="3" xfId="0" applyAlignment="1" applyFont="1" applyNumberFormat="1">
      <alignment readingOrder="0"/>
    </xf>
    <xf borderId="0" fillId="0" fontId="3" numFmtId="0" xfId="0" applyAlignment="1" applyFont="1">
      <alignment horizontal="right" vertical="bottom"/>
    </xf>
    <xf borderId="0" fillId="0" fontId="3" numFmtId="4" xfId="0" applyAlignment="1" applyFont="1" applyNumberFormat="1">
      <alignment horizontal="right" vertical="bottom"/>
    </xf>
    <xf borderId="0" fillId="2" fontId="3" numFmtId="2" xfId="0" applyAlignment="1" applyFont="1" applyNumberFormat="1">
      <alignment horizontal="right" vertical="bottom"/>
    </xf>
    <xf borderId="0" fillId="2" fontId="3" numFmtId="9" xfId="0" applyAlignment="1" applyFont="1" applyNumberFormat="1">
      <alignment horizontal="right" vertical="bottom"/>
    </xf>
    <xf borderId="0" fillId="2" fontId="3" numFmtId="164" xfId="0" applyAlignment="1" applyFont="1" applyNumberFormat="1">
      <alignment horizontal="right" vertical="bottom"/>
    </xf>
    <xf borderId="0" fillId="2" fontId="3" numFmtId="10" xfId="0" applyAlignment="1" applyFont="1" applyNumberFormat="1">
      <alignment horizontal="right" vertical="bottom"/>
    </xf>
    <xf borderId="0" fillId="3" fontId="3" numFmtId="0" xfId="0" applyAlignment="1" applyFill="1" applyFont="1">
      <alignment horizontal="right" vertical="bottom"/>
    </xf>
    <xf borderId="0" fillId="3" fontId="3" numFmtId="2" xfId="0" applyAlignment="1" applyFont="1" applyNumberFormat="1">
      <alignment horizontal="right" vertical="bottom"/>
    </xf>
    <xf borderId="0" fillId="3" fontId="3" numFmtId="9" xfId="0" applyAlignment="1" applyFont="1" applyNumberFormat="1">
      <alignment horizontal="right" vertical="bottom"/>
    </xf>
    <xf borderId="0" fillId="3" fontId="3" numFmtId="164" xfId="0" applyAlignment="1" applyFont="1" applyNumberFormat="1">
      <alignment horizontal="right" vertical="bottom"/>
    </xf>
    <xf borderId="0" fillId="3" fontId="3" numFmtId="10" xfId="0" applyAlignment="1" applyFont="1" applyNumberFormat="1">
      <alignment horizontal="righ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 frente a COINCIDENCIA EXACTA</a:t>
            </a:r>
          </a:p>
        </c:rich>
      </c:tx>
      <c:overlay val="0"/>
    </c:title>
    <c:plotArea>
      <c:layout/>
      <c:lineChart>
        <c:varyColors val="0"/>
        <c:ser>
          <c:idx val="0"/>
          <c:order val="0"/>
          <c:spPr>
            <a:ln cmpd="sng">
              <a:solidFill>
                <a:srgbClr val="4285F4"/>
              </a:solidFill>
            </a:ln>
          </c:spPr>
          <c:marker>
            <c:symbol val="none"/>
          </c:marker>
          <c:cat>
            <c:strRef>
              <c:f>'respuestaIdeal-variasPreguntas-'!$A$2:$A$304</c:f>
            </c:strRef>
          </c:cat>
          <c:val>
            <c:numRef>
              <c:f>'respuestaIdeal-variasPreguntas-'!$I$2:$I$304</c:f>
              <c:numCache/>
            </c:numRef>
          </c:val>
          <c:smooth val="0"/>
        </c:ser>
        <c:axId val="906732224"/>
        <c:axId val="1773788703"/>
      </c:lineChart>
      <c:catAx>
        <c:axId val="9067322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COINCIDENCIA EXACTA</a:t>
                </a:r>
              </a:p>
            </c:rich>
          </c:tx>
          <c:overlay val="0"/>
        </c:title>
        <c:numFmt formatCode="General" sourceLinked="1"/>
        <c:majorTickMark val="none"/>
        <c:minorTickMark val="none"/>
        <c:spPr/>
        <c:txPr>
          <a:bodyPr/>
          <a:lstStyle/>
          <a:p>
            <a:pPr lvl="0">
              <a:defRPr b="0">
                <a:solidFill>
                  <a:srgbClr val="000000"/>
                </a:solidFill>
                <a:latin typeface="+mn-lt"/>
              </a:defRPr>
            </a:pPr>
          </a:p>
        </c:txPr>
        <c:crossAx val="1773788703"/>
      </c:catAx>
      <c:valAx>
        <c:axId val="17737887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20%</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673222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cat>
            <c:strRef>
              <c:f>'respuestaIdeal-variasPreguntas-'!$A$2:$A$304</c:f>
            </c:strRef>
          </c:cat>
          <c:val>
            <c:numRef>
              <c:f>'respuestaIdeal-variasPreguntas-'!$J$2:$J$304</c:f>
              <c:numCache/>
            </c:numRef>
          </c:val>
          <c:smooth val="1"/>
        </c:ser>
        <c:ser>
          <c:idx val="1"/>
          <c:order val="1"/>
          <c:spPr>
            <a:ln cmpd="sng">
              <a:solidFill>
                <a:srgbClr val="00FFFF">
                  <a:alpha val="100000"/>
                </a:srgbClr>
              </a:solidFill>
              <a:prstDash val="solid"/>
            </a:ln>
          </c:spPr>
          <c:marker>
            <c:symbol val="none"/>
          </c:marker>
          <c:cat>
            <c:strRef>
              <c:f>'respuestaIdeal-variasPreguntas-'!$A$2:$A$304</c:f>
            </c:strRef>
          </c:cat>
          <c:val>
            <c:numRef>
              <c:f>'respuestaIdeal-variasPreguntas-'!$G$2:$G$304</c:f>
              <c:numCache/>
            </c:numRef>
          </c:val>
          <c:smooth val="1"/>
        </c:ser>
        <c:ser>
          <c:idx val="2"/>
          <c:order val="2"/>
          <c:spPr>
            <a:ln cmpd="sng">
              <a:solidFill>
                <a:srgbClr val="FBBC04"/>
              </a:solidFill>
            </a:ln>
          </c:spPr>
          <c:marker>
            <c:symbol val="none"/>
          </c:marker>
          <c:cat>
            <c:strRef>
              <c:f>'respuestaIdeal-variasPreguntas-'!$A$2:$A$304</c:f>
            </c:strRef>
          </c:cat>
          <c:val>
            <c:numRef>
              <c:f>'respuestaIdeal-variasPreguntas-'!$E$2:$E$304</c:f>
              <c:numCache/>
            </c:numRef>
          </c:val>
          <c:smooth val="1"/>
        </c:ser>
        <c:axId val="1026534021"/>
        <c:axId val="1661466271"/>
      </c:lineChart>
      <c:catAx>
        <c:axId val="10265340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COINCIDENCIA EXACTA</a:t>
                </a:r>
              </a:p>
            </c:rich>
          </c:tx>
          <c:overlay val="0"/>
        </c:title>
        <c:numFmt formatCode="General" sourceLinked="1"/>
        <c:majorTickMark val="none"/>
        <c:minorTickMark val="none"/>
        <c:spPr/>
        <c:txPr>
          <a:bodyPr/>
          <a:lstStyle/>
          <a:p>
            <a:pPr lvl="0">
              <a:defRPr b="0">
                <a:solidFill>
                  <a:srgbClr val="000000"/>
                </a:solidFill>
                <a:latin typeface="+mn-lt"/>
              </a:defRPr>
            </a:pPr>
          </a:p>
        </c:txPr>
        <c:crossAx val="1661466271"/>
      </c:catAx>
      <c:valAx>
        <c:axId val="16614662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20%</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653402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diferencia entre n generadas frente a Solamente nota</a:t>
            </a:r>
          </a:p>
        </c:rich>
      </c:tx>
      <c:overlay val="0"/>
    </c:title>
    <c:plotArea>
      <c:layout/>
      <c:lineChart>
        <c:ser>
          <c:idx val="0"/>
          <c:order val="0"/>
          <c:tx>
            <c:strRef>
              <c:f>'Hoja 1'!$C$1</c:f>
            </c:strRef>
          </c:tx>
          <c:spPr>
            <a:ln cmpd="sng">
              <a:solidFill>
                <a:srgbClr val="4285F4"/>
              </a:solidFill>
            </a:ln>
          </c:spPr>
          <c:marker>
            <c:symbol val="none"/>
          </c:marker>
          <c:val>
            <c:numRef>
              <c:f>'Hoja 1'!$C$2:$C$304</c:f>
              <c:numCache/>
            </c:numRef>
          </c:val>
          <c:smooth val="1"/>
        </c:ser>
        <c:ser>
          <c:idx val="1"/>
          <c:order val="1"/>
          <c:tx>
            <c:strRef>
              <c:f>'Hoja 1'!$A$1</c:f>
            </c:strRef>
          </c:tx>
          <c:spPr>
            <a:ln cmpd="sng" w="38100">
              <a:solidFill>
                <a:srgbClr val="B6D7A8">
                  <a:alpha val="100000"/>
                </a:srgbClr>
              </a:solidFill>
            </a:ln>
          </c:spPr>
          <c:marker>
            <c:symbol val="none"/>
          </c:marker>
          <c:val>
            <c:numRef>
              <c:f>'Hoja 1'!$A$2:$A$304</c:f>
              <c:numCache/>
            </c:numRef>
          </c:val>
          <c:smooth val="1"/>
        </c:ser>
        <c:axId val="1756121462"/>
        <c:axId val="908386081"/>
      </c:lineChart>
      <c:catAx>
        <c:axId val="17561214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Solamente nota</a:t>
                </a:r>
              </a:p>
            </c:rich>
          </c:tx>
          <c:overlay val="0"/>
        </c:title>
        <c:numFmt formatCode="General" sourceLinked="1"/>
        <c:majorTickMark val="none"/>
        <c:minorTickMark val="none"/>
        <c:spPr/>
        <c:txPr>
          <a:bodyPr/>
          <a:lstStyle/>
          <a:p>
            <a:pPr lvl="0">
              <a:defRPr b="0">
                <a:solidFill>
                  <a:srgbClr val="000000"/>
                </a:solidFill>
                <a:latin typeface="+mn-lt"/>
              </a:defRPr>
            </a:pPr>
          </a:p>
        </c:txPr>
        <c:crossAx val="908386081"/>
      </c:catAx>
      <c:valAx>
        <c:axId val="9083860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diferencia entre n generadas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612146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485775</xdr:colOff>
      <xdr:row>2</xdr:row>
      <xdr:rowOff>457200</xdr:rowOff>
    </xdr:from>
    <xdr:ext cx="149352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828675</xdr:colOff>
      <xdr:row>3</xdr:row>
      <xdr:rowOff>247650</xdr:rowOff>
    </xdr:from>
    <xdr:ext cx="16525875" cy="416242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266700</xdr:colOff>
      <xdr:row>1</xdr:row>
      <xdr:rowOff>114300</xdr:rowOff>
    </xdr:from>
    <xdr:ext cx="17945100" cy="3533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4" max="4" width="43.13"/>
  </cols>
  <sheetData>
    <row r="1">
      <c r="A1" s="1" t="s">
        <v>0</v>
      </c>
      <c r="B1" s="1" t="s">
        <v>1</v>
      </c>
      <c r="C1" s="1" t="s">
        <v>2</v>
      </c>
      <c r="D1" s="1" t="s">
        <v>3</v>
      </c>
      <c r="E1" s="1" t="s">
        <v>4</v>
      </c>
      <c r="F1" s="1" t="s">
        <v>5</v>
      </c>
      <c r="H1" s="2" t="s">
        <v>6</v>
      </c>
      <c r="I1" s="2" t="s">
        <v>7</v>
      </c>
      <c r="J1" s="3"/>
      <c r="K1" s="3"/>
      <c r="L1" s="3"/>
      <c r="M1" s="4" t="s">
        <v>8</v>
      </c>
      <c r="N1" s="4" t="s">
        <v>9</v>
      </c>
      <c r="O1" s="4" t="s">
        <v>10</v>
      </c>
      <c r="P1" s="4" t="s">
        <v>11</v>
      </c>
      <c r="Q1" s="5">
        <v>1.0</v>
      </c>
      <c r="R1" s="5">
        <v>2.0</v>
      </c>
      <c r="S1" s="5">
        <v>3.0</v>
      </c>
      <c r="T1" s="5">
        <v>4.0</v>
      </c>
      <c r="U1" s="5">
        <v>5.0</v>
      </c>
      <c r="V1" s="5">
        <v>-1.0</v>
      </c>
      <c r="W1" s="5">
        <v>-2.0</v>
      </c>
      <c r="X1" s="5">
        <v>-3.0</v>
      </c>
      <c r="Y1" s="5">
        <v>-4.0</v>
      </c>
      <c r="Z1" s="5">
        <v>-5.0</v>
      </c>
      <c r="AA1" s="4" t="s">
        <v>12</v>
      </c>
    </row>
    <row r="2">
      <c r="A2" s="1">
        <v>0.0</v>
      </c>
      <c r="B2" s="1" t="s">
        <v>13</v>
      </c>
      <c r="C2" s="1" t="s">
        <v>14</v>
      </c>
      <c r="D2" s="1" t="s">
        <v>15</v>
      </c>
      <c r="E2" s="1">
        <v>9.0</v>
      </c>
      <c r="F2" s="6">
        <v>4.5565773487091E16</v>
      </c>
      <c r="G2" s="1">
        <f>IFERROR(__xludf.DUMMYFUNCTION("VALUE(REGEXEXTRACT(D2,""([0-9]+)[ ]*/[ ]*10""))"),6.0)</f>
        <v>6</v>
      </c>
      <c r="H2" s="7">
        <f t="shared" ref="H2:H304" si="1">ABS(I2)</f>
        <v>3</v>
      </c>
      <c r="I2" s="8">
        <f t="shared" ref="I2:I304" si="2">E2-G2</f>
        <v>3</v>
      </c>
      <c r="J2" s="7">
        <v>7.0</v>
      </c>
      <c r="K2" s="3"/>
      <c r="L2" s="3"/>
      <c r="M2" s="5">
        <f>MAX(H2:H304)</f>
        <v>7</v>
      </c>
      <c r="N2" s="9">
        <f>AVERAGE(H2:H304)</f>
        <v>1.610561056</v>
      </c>
      <c r="O2" s="9">
        <f>AVERAGE(I1:I304)</f>
        <v>0.2442244224</v>
      </c>
      <c r="P2" s="10">
        <f>COUNTIF(I2:I304, 0) / COUNT(I2:I304)
</f>
        <v>0.204620462</v>
      </c>
      <c r="Q2" s="11">
        <f>COUNTIF(I2:I304, 1) / COUNT(I2:I304)</f>
        <v>0.1848184818</v>
      </c>
      <c r="R2" s="12">
        <f>COUNTIF(I2:I304, 2) / COUNT(I2:I304)</f>
        <v>0.1254125413</v>
      </c>
      <c r="S2" s="12">
        <f>COUNTIF(I2:I304, 3) / COUNT(I2:I304)</f>
        <v>0.102310231</v>
      </c>
      <c r="T2" s="12">
        <f>COUNTIF(I2:I304, 4) / COUNT(I2:I304)</f>
        <v>0.04620462046</v>
      </c>
      <c r="U2" s="12">
        <f>COUNTIF(I1:I304, 5) / COUNT(I2:I72)</f>
        <v>0</v>
      </c>
      <c r="V2" s="12">
        <f>COUNTIF(I2:I304, -1) / COUNT(I2:I304)</f>
        <v>0.1584158416</v>
      </c>
      <c r="W2" s="12">
        <f>COUNTIF(I2:I304, -2) / COUNT(I2:I304)</f>
        <v>0.08910891089</v>
      </c>
      <c r="X2" s="12">
        <f>COUNTIF(I2:I304, -3) / COUNT(I2:I304)</f>
        <v>0.05280528053</v>
      </c>
      <c r="Y2" s="12">
        <f>COUNTIF(I2:I304, -4) / COUNT(I2:I304)</f>
        <v>0.01650165017</v>
      </c>
      <c r="Z2" s="12">
        <f>COUNTIF(I2:I304, -5) / COUNT(I2:I304)</f>
        <v>0.003300330033</v>
      </c>
      <c r="AA2" s="12">
        <f>COUNTIF(H2:H304, "&lt;=1") / COUNT(H2:H304)</f>
        <v>0.5478547855</v>
      </c>
    </row>
    <row r="3">
      <c r="A3" s="1">
        <v>1.0</v>
      </c>
      <c r="B3" s="1" t="s">
        <v>16</v>
      </c>
      <c r="C3" s="1" t="s">
        <v>17</v>
      </c>
      <c r="D3" s="1" t="s">
        <v>18</v>
      </c>
      <c r="E3" s="1">
        <v>7.0</v>
      </c>
      <c r="F3" s="6">
        <v>4.36932744979858E15</v>
      </c>
      <c r="G3" s="1">
        <f>IFERROR(__xludf.DUMMYFUNCTION("VALUE(REGEXEXTRACT(D3,""([0-9]+)[ ]*/[ ]*10""))"),6.0)</f>
        <v>6</v>
      </c>
      <c r="H3" s="7">
        <f t="shared" si="1"/>
        <v>1</v>
      </c>
      <c r="I3" s="8">
        <f t="shared" si="2"/>
        <v>1</v>
      </c>
      <c r="J3" s="7">
        <v>6.0</v>
      </c>
      <c r="K3" s="3"/>
      <c r="L3" s="3"/>
      <c r="M3" s="13"/>
      <c r="N3" s="14"/>
      <c r="O3" s="14"/>
      <c r="P3" s="15"/>
      <c r="Q3" s="16"/>
      <c r="R3" s="17"/>
      <c r="S3" s="17"/>
      <c r="T3" s="17"/>
      <c r="U3" s="17"/>
      <c r="V3" s="17"/>
      <c r="W3" s="17"/>
      <c r="X3" s="17"/>
      <c r="Y3" s="17"/>
      <c r="Z3" s="17"/>
      <c r="AA3" s="17"/>
    </row>
    <row r="4" ht="138.0" customHeight="1">
      <c r="A4" s="1">
        <v>2.0</v>
      </c>
      <c r="B4" s="1" t="s">
        <v>19</v>
      </c>
      <c r="C4" s="1" t="s">
        <v>20</v>
      </c>
      <c r="D4" s="1" t="s">
        <v>21</v>
      </c>
      <c r="E4" s="1">
        <v>6.0</v>
      </c>
      <c r="F4" s="6">
        <v>4.64229266643524E15</v>
      </c>
      <c r="G4" s="1">
        <f>IFERROR(__xludf.DUMMYFUNCTION("VALUE(REGEXEXTRACT(D4,""([0-9]+)[ ]*/[ ]*10""))"),7.0)</f>
        <v>7</v>
      </c>
      <c r="H4" s="7">
        <f t="shared" si="1"/>
        <v>1</v>
      </c>
      <c r="I4" s="8">
        <f t="shared" si="2"/>
        <v>-1</v>
      </c>
      <c r="J4" s="7">
        <v>8.0</v>
      </c>
    </row>
    <row r="5" ht="75.0" customHeight="1">
      <c r="A5" s="1">
        <v>3.0</v>
      </c>
      <c r="B5" s="1" t="s">
        <v>22</v>
      </c>
      <c r="C5" s="1" t="s">
        <v>23</v>
      </c>
      <c r="D5" s="1" t="s">
        <v>24</v>
      </c>
      <c r="E5" s="1">
        <v>7.0</v>
      </c>
      <c r="F5" s="6">
        <v>4.18089935779571E15</v>
      </c>
      <c r="G5" s="1">
        <f>IFERROR(__xludf.DUMMYFUNCTION("VALUE(REGEXEXTRACT(D5,""([0-9]+)[ ]*/[ ]*10""))"),6.0)</f>
        <v>6</v>
      </c>
      <c r="H5" s="7">
        <f t="shared" si="1"/>
        <v>1</v>
      </c>
      <c r="I5" s="8">
        <f t="shared" si="2"/>
        <v>1</v>
      </c>
      <c r="J5" s="7">
        <v>5.0</v>
      </c>
    </row>
    <row r="6">
      <c r="A6" s="1">
        <v>4.0</v>
      </c>
      <c r="B6" s="1" t="s">
        <v>25</v>
      </c>
      <c r="C6" s="1" t="s">
        <v>14</v>
      </c>
      <c r="D6" s="1" t="s">
        <v>26</v>
      </c>
      <c r="E6" s="1">
        <v>8.0</v>
      </c>
      <c r="F6" s="6">
        <v>4.46241698265075E15</v>
      </c>
      <c r="G6" s="1">
        <f>IFERROR(__xludf.DUMMYFUNCTION("VALUE(REGEXEXTRACT(D6,""([0-9]+)[ ]*/[ ]*10""))"),7.0)</f>
        <v>7</v>
      </c>
      <c r="H6" s="7">
        <f t="shared" si="1"/>
        <v>1</v>
      </c>
      <c r="I6" s="8">
        <f t="shared" si="2"/>
        <v>1</v>
      </c>
      <c r="J6" s="7">
        <v>8.0</v>
      </c>
    </row>
    <row r="7">
      <c r="A7" s="1">
        <v>5.0</v>
      </c>
      <c r="B7" s="1" t="s">
        <v>27</v>
      </c>
      <c r="C7" s="1" t="s">
        <v>17</v>
      </c>
      <c r="D7" s="1" t="s">
        <v>28</v>
      </c>
      <c r="E7" s="1">
        <v>6.0</v>
      </c>
      <c r="F7" s="6">
        <v>4.03656291961669E15</v>
      </c>
      <c r="G7" s="1">
        <f>IFERROR(__xludf.DUMMYFUNCTION("VALUE(REGEXEXTRACT(D7,""([0-9]+)[ ]*/[ ]*10""))"),6.0)</f>
        <v>6</v>
      </c>
      <c r="H7" s="7">
        <f t="shared" si="1"/>
        <v>0</v>
      </c>
      <c r="I7" s="8">
        <f t="shared" si="2"/>
        <v>0</v>
      </c>
      <c r="J7" s="7">
        <v>4.0</v>
      </c>
    </row>
    <row r="8">
      <c r="A8" s="1">
        <v>6.0</v>
      </c>
      <c r="B8" s="1" t="s">
        <v>29</v>
      </c>
      <c r="C8" s="1" t="s">
        <v>20</v>
      </c>
      <c r="D8" s="1" t="s">
        <v>30</v>
      </c>
      <c r="E8" s="1">
        <v>8.0</v>
      </c>
      <c r="F8" s="6">
        <v>4.4271591424942E15</v>
      </c>
      <c r="G8" s="1">
        <f>IFERROR(__xludf.DUMMYFUNCTION("VALUE(REGEXEXTRACT(D8,""([0-9]+)[ ]*/[ ]*10""))"),7.0)</f>
        <v>7</v>
      </c>
      <c r="H8" s="7">
        <f t="shared" si="1"/>
        <v>1</v>
      </c>
      <c r="I8" s="8">
        <f t="shared" si="2"/>
        <v>1</v>
      </c>
      <c r="J8" s="7">
        <v>8.0</v>
      </c>
    </row>
    <row r="9">
      <c r="A9" s="1">
        <v>7.0</v>
      </c>
      <c r="B9" s="1" t="s">
        <v>31</v>
      </c>
      <c r="C9" s="1" t="s">
        <v>23</v>
      </c>
      <c r="D9" s="1" t="s">
        <v>32</v>
      </c>
      <c r="E9" s="1">
        <v>7.0</v>
      </c>
      <c r="F9" s="6">
        <v>4.0543821811676E16</v>
      </c>
      <c r="G9" s="1">
        <f>IFERROR(__xludf.DUMMYFUNCTION("VALUE(REGEXEXTRACT(D9,""([0-9]+)[ ]*/[ ]*10""))"),6.0)</f>
        <v>6</v>
      </c>
      <c r="H9" s="7">
        <f t="shared" si="1"/>
        <v>1</v>
      </c>
      <c r="I9" s="8">
        <f t="shared" si="2"/>
        <v>1</v>
      </c>
      <c r="J9" s="7">
        <v>8.0</v>
      </c>
    </row>
    <row r="10">
      <c r="A10" s="1">
        <v>8.0</v>
      </c>
      <c r="B10" s="1" t="s">
        <v>33</v>
      </c>
      <c r="C10" s="1" t="s">
        <v>14</v>
      </c>
      <c r="D10" s="1" t="s">
        <v>34</v>
      </c>
      <c r="E10" s="1">
        <v>10.0</v>
      </c>
      <c r="F10" s="6">
        <v>3.73326458930969E16</v>
      </c>
      <c r="G10" s="1">
        <f>IFERROR(__xludf.DUMMYFUNCTION("VALUE(REGEXEXTRACT(D10,""([0-9]+)[ ]*/[ ]*10""))"),6.0)</f>
        <v>6</v>
      </c>
      <c r="H10" s="7">
        <f t="shared" si="1"/>
        <v>4</v>
      </c>
      <c r="I10" s="8">
        <f t="shared" si="2"/>
        <v>4</v>
      </c>
      <c r="J10" s="7">
        <v>7.0</v>
      </c>
    </row>
    <row r="11">
      <c r="A11" s="1">
        <v>9.0</v>
      </c>
      <c r="B11" s="1" t="s">
        <v>35</v>
      </c>
      <c r="C11" s="1" t="s">
        <v>17</v>
      </c>
      <c r="D11" s="1" t="s">
        <v>36</v>
      </c>
      <c r="E11" s="1">
        <v>9.0</v>
      </c>
      <c r="F11" s="6">
        <v>4.58983342647552E15</v>
      </c>
      <c r="G11" s="1">
        <f>IFERROR(__xludf.DUMMYFUNCTION("VALUE(REGEXEXTRACT(D11,""([0-9]+)[ ]*/[ ]*10""))"),6.0)</f>
        <v>6</v>
      </c>
      <c r="H11" s="7">
        <f t="shared" si="1"/>
        <v>3</v>
      </c>
      <c r="I11" s="8">
        <f t="shared" si="2"/>
        <v>3</v>
      </c>
      <c r="J11" s="7">
        <v>8.0</v>
      </c>
    </row>
    <row r="12">
      <c r="A12" s="1">
        <v>10.0</v>
      </c>
      <c r="B12" s="1" t="s">
        <v>37</v>
      </c>
      <c r="C12" s="1" t="s">
        <v>20</v>
      </c>
      <c r="D12" s="1" t="s">
        <v>38</v>
      </c>
      <c r="E12" s="1">
        <v>6.0</v>
      </c>
      <c r="F12" s="6">
        <v>4.38877980709075E15</v>
      </c>
      <c r="G12" s="1">
        <f>IFERROR(__xludf.DUMMYFUNCTION("VALUE(REGEXEXTRACT(D12,""([0-9]+)[ ]*/[ ]*10""))"),6.0)</f>
        <v>6</v>
      </c>
      <c r="H12" s="7">
        <f t="shared" si="1"/>
        <v>0</v>
      </c>
      <c r="I12" s="8">
        <f t="shared" si="2"/>
        <v>0</v>
      </c>
      <c r="J12" s="7">
        <v>5.0</v>
      </c>
    </row>
    <row r="13">
      <c r="A13" s="1">
        <v>11.0</v>
      </c>
      <c r="B13" s="1" t="s">
        <v>39</v>
      </c>
      <c r="C13" s="1" t="s">
        <v>14</v>
      </c>
      <c r="D13" s="1" t="s">
        <v>40</v>
      </c>
      <c r="E13" s="1">
        <v>10.0</v>
      </c>
      <c r="F13" s="6">
        <v>4.73948631286621E15</v>
      </c>
      <c r="G13" s="1">
        <f>IFERROR(__xludf.DUMMYFUNCTION("VALUE(REGEXEXTRACT(D13,""([0-9]+)[ ]*/[ ]*10""))"),7.0)</f>
        <v>7</v>
      </c>
      <c r="H13" s="7">
        <f t="shared" si="1"/>
        <v>3</v>
      </c>
      <c r="I13" s="8">
        <f t="shared" si="2"/>
        <v>3</v>
      </c>
      <c r="J13" s="7">
        <v>8.0</v>
      </c>
    </row>
    <row r="14">
      <c r="A14" s="1">
        <v>12.0</v>
      </c>
      <c r="B14" s="1" t="s">
        <v>41</v>
      </c>
      <c r="C14" s="1" t="s">
        <v>17</v>
      </c>
      <c r="D14" s="1" t="s">
        <v>42</v>
      </c>
      <c r="E14" s="1">
        <v>8.0</v>
      </c>
      <c r="F14" s="6">
        <v>4.43518242835998E15</v>
      </c>
      <c r="G14" s="1">
        <f>IFERROR(__xludf.DUMMYFUNCTION("VALUE(REGEXEXTRACT(D14,""([0-9]+)[ ]*/[ ]*10""))"),7.0)</f>
        <v>7</v>
      </c>
      <c r="H14" s="7">
        <f t="shared" si="1"/>
        <v>1</v>
      </c>
      <c r="I14" s="8">
        <f t="shared" si="2"/>
        <v>1</v>
      </c>
      <c r="J14" s="7">
        <v>8.0</v>
      </c>
    </row>
    <row r="15">
      <c r="A15" s="1">
        <v>13.0</v>
      </c>
      <c r="B15" s="1" t="s">
        <v>43</v>
      </c>
      <c r="C15" s="1" t="s">
        <v>20</v>
      </c>
      <c r="D15" s="1" t="s">
        <v>44</v>
      </c>
      <c r="E15" s="1">
        <v>6.0</v>
      </c>
      <c r="F15" s="6">
        <v>4.27972033023834E15</v>
      </c>
      <c r="G15" s="1">
        <f>IFERROR(__xludf.DUMMYFUNCTION("VALUE(REGEXEXTRACT(D15,""([0-9]+)[ ]*/[ ]*10""))"),6.0)</f>
        <v>6</v>
      </c>
      <c r="H15" s="7">
        <f t="shared" si="1"/>
        <v>0</v>
      </c>
      <c r="I15" s="8">
        <f t="shared" si="2"/>
        <v>0</v>
      </c>
      <c r="J15" s="7">
        <v>8.0</v>
      </c>
    </row>
    <row r="16">
      <c r="A16" s="1">
        <v>14.0</v>
      </c>
      <c r="B16" s="1" t="s">
        <v>45</v>
      </c>
      <c r="C16" s="1" t="s">
        <v>23</v>
      </c>
      <c r="D16" s="1" t="s">
        <v>46</v>
      </c>
      <c r="E16" s="1">
        <v>3.0</v>
      </c>
      <c r="F16" s="6">
        <v>3.5937772989273E15</v>
      </c>
      <c r="G16" s="1">
        <f>IFERROR(__xludf.DUMMYFUNCTION("VALUE(REGEXEXTRACT(D16,""([0-9]+)[ ]*/[ ]*10""))"),6.0)</f>
        <v>6</v>
      </c>
      <c r="H16" s="7">
        <f t="shared" si="1"/>
        <v>3</v>
      </c>
      <c r="I16" s="8">
        <f t="shared" si="2"/>
        <v>-3</v>
      </c>
      <c r="J16" s="7">
        <v>8.0</v>
      </c>
    </row>
    <row r="17">
      <c r="A17" s="1">
        <v>15.0</v>
      </c>
      <c r="B17" s="1" t="s">
        <v>47</v>
      </c>
      <c r="C17" s="1" t="s">
        <v>14</v>
      </c>
      <c r="D17" s="1" t="s">
        <v>48</v>
      </c>
      <c r="E17" s="1">
        <v>9.0</v>
      </c>
      <c r="F17" s="6">
        <v>5.18053755760192E15</v>
      </c>
      <c r="G17" s="1">
        <f>IFERROR(__xludf.DUMMYFUNCTION("VALUE(REGEXEXTRACT(D17,""([0-9]+)[ ]*/[ ]*10""))"),6.0)</f>
        <v>6</v>
      </c>
      <c r="H17" s="7">
        <f t="shared" si="1"/>
        <v>3</v>
      </c>
      <c r="I17" s="8">
        <f t="shared" si="2"/>
        <v>3</v>
      </c>
      <c r="J17" s="7">
        <v>7.0</v>
      </c>
    </row>
    <row r="18">
      <c r="A18" s="1">
        <v>16.0</v>
      </c>
      <c r="B18" s="1" t="s">
        <v>49</v>
      </c>
      <c r="C18" s="1" t="s">
        <v>17</v>
      </c>
      <c r="D18" s="1" t="s">
        <v>50</v>
      </c>
      <c r="E18" s="1">
        <v>6.0</v>
      </c>
      <c r="F18" s="6">
        <v>3.88104546070098E15</v>
      </c>
      <c r="G18" s="1">
        <f>IFERROR(__xludf.DUMMYFUNCTION("VALUE(REGEXEXTRACT(D18,""([0-9]+)[ ]*/[ ]*10""))"),4.0)</f>
        <v>4</v>
      </c>
      <c r="H18" s="7">
        <f t="shared" si="1"/>
        <v>2</v>
      </c>
      <c r="I18" s="8">
        <f t="shared" si="2"/>
        <v>2</v>
      </c>
      <c r="J18" s="7">
        <v>5.0</v>
      </c>
    </row>
    <row r="19">
      <c r="A19" s="1">
        <v>17.0</v>
      </c>
      <c r="B19" s="1" t="s">
        <v>51</v>
      </c>
      <c r="C19" s="1" t="s">
        <v>20</v>
      </c>
      <c r="D19" s="1" t="s">
        <v>52</v>
      </c>
      <c r="E19" s="1">
        <v>3.0</v>
      </c>
      <c r="F19" s="6">
        <v>3.58466079235076E15</v>
      </c>
      <c r="G19" s="1">
        <f>IFERROR(__xludf.DUMMYFUNCTION("VALUE(REGEXEXTRACT(D19,""([0-9]+)[ ]*/[ ]*10""))"),6.0)</f>
        <v>6</v>
      </c>
      <c r="H19" s="7">
        <f t="shared" si="1"/>
        <v>3</v>
      </c>
      <c r="I19" s="8">
        <f t="shared" si="2"/>
        <v>-3</v>
      </c>
      <c r="J19" s="7">
        <v>4.0</v>
      </c>
    </row>
    <row r="20">
      <c r="A20" s="1">
        <v>18.0</v>
      </c>
      <c r="B20" s="1" t="s">
        <v>53</v>
      </c>
      <c r="C20" s="1" t="s">
        <v>23</v>
      </c>
      <c r="D20" s="1" t="s">
        <v>54</v>
      </c>
      <c r="E20" s="1">
        <v>6.0</v>
      </c>
      <c r="F20" s="6">
        <v>4.66092584133148E15</v>
      </c>
      <c r="G20" s="1">
        <f>IFERROR(__xludf.DUMMYFUNCTION("VALUE(REGEXEXTRACT(D20,""([0-9]+)[ ]*/[ ]*10""))"),6.0)</f>
        <v>6</v>
      </c>
      <c r="H20" s="7">
        <f t="shared" si="1"/>
        <v>0</v>
      </c>
      <c r="I20" s="8">
        <f t="shared" si="2"/>
        <v>0</v>
      </c>
      <c r="J20" s="7">
        <v>6.0</v>
      </c>
    </row>
    <row r="21">
      <c r="A21" s="1">
        <v>19.0</v>
      </c>
      <c r="B21" s="1" t="s">
        <v>55</v>
      </c>
      <c r="C21" s="1" t="s">
        <v>14</v>
      </c>
      <c r="D21" s="1" t="s">
        <v>56</v>
      </c>
      <c r="E21" s="1">
        <v>10.0</v>
      </c>
      <c r="F21" s="6">
        <v>4.21638975143432E15</v>
      </c>
      <c r="G21" s="1">
        <f>IFERROR(__xludf.DUMMYFUNCTION("VALUE(REGEXEXTRACT(D21,""([0-9]+)[ ]*/[ ]*10""))"),7.0)</f>
        <v>7</v>
      </c>
      <c r="H21" s="7">
        <f t="shared" si="1"/>
        <v>3</v>
      </c>
      <c r="I21" s="8">
        <f t="shared" si="2"/>
        <v>3</v>
      </c>
      <c r="J21" s="7">
        <v>7.0</v>
      </c>
    </row>
    <row r="22">
      <c r="A22" s="1">
        <v>20.0</v>
      </c>
      <c r="B22" s="1" t="s">
        <v>57</v>
      </c>
      <c r="C22" s="1" t="s">
        <v>17</v>
      </c>
      <c r="D22" s="1" t="s">
        <v>58</v>
      </c>
      <c r="E22" s="1">
        <v>10.0</v>
      </c>
      <c r="F22" s="6">
        <v>4.12262578010559E15</v>
      </c>
      <c r="G22" s="1">
        <f>IFERROR(__xludf.DUMMYFUNCTION("VALUE(REGEXEXTRACT(D22,""([0-9]+)[ ]*/[ ]*10""))"),7.0)</f>
        <v>7</v>
      </c>
      <c r="H22" s="7">
        <f t="shared" si="1"/>
        <v>3</v>
      </c>
      <c r="I22" s="8">
        <f t="shared" si="2"/>
        <v>3</v>
      </c>
      <c r="J22" s="7">
        <v>6.0</v>
      </c>
    </row>
    <row r="23">
      <c r="A23" s="1">
        <v>21.0</v>
      </c>
      <c r="B23" s="1" t="s">
        <v>59</v>
      </c>
      <c r="C23" s="1" t="s">
        <v>20</v>
      </c>
      <c r="D23" s="1" t="s">
        <v>60</v>
      </c>
      <c r="E23" s="1">
        <v>9.0</v>
      </c>
      <c r="F23" s="6">
        <v>3.99721312522888E15</v>
      </c>
      <c r="G23" s="1">
        <f>IFERROR(__xludf.DUMMYFUNCTION("VALUE(REGEXEXTRACT(D23,""([0-9]+)[ ]*/[ ]*10""))"),7.0)</f>
        <v>7</v>
      </c>
      <c r="H23" s="7">
        <f t="shared" si="1"/>
        <v>2</v>
      </c>
      <c r="I23" s="8">
        <f t="shared" si="2"/>
        <v>2</v>
      </c>
      <c r="J23" s="7">
        <v>8.0</v>
      </c>
    </row>
    <row r="24">
      <c r="A24" s="1">
        <v>22.0</v>
      </c>
      <c r="B24" s="1" t="s">
        <v>61</v>
      </c>
      <c r="C24" s="1" t="s">
        <v>23</v>
      </c>
      <c r="D24" s="1" t="s">
        <v>62</v>
      </c>
      <c r="E24" s="1">
        <v>5.0</v>
      </c>
      <c r="F24" s="6">
        <v>2.93491010665893E16</v>
      </c>
      <c r="G24" s="1">
        <f>IFERROR(__xludf.DUMMYFUNCTION("VALUE(REGEXEXTRACT(D24,""([0-9]+)[ ]*/[ ]*10""))"),8.0)</f>
        <v>8</v>
      </c>
      <c r="H24" s="7">
        <f t="shared" si="1"/>
        <v>3</v>
      </c>
      <c r="I24" s="8">
        <f t="shared" si="2"/>
        <v>-3</v>
      </c>
      <c r="J24" s="7">
        <v>8.0</v>
      </c>
    </row>
    <row r="25">
      <c r="A25" s="1">
        <v>23.0</v>
      </c>
      <c r="B25" s="1" t="s">
        <v>63</v>
      </c>
      <c r="C25" s="1" t="s">
        <v>14</v>
      </c>
      <c r="D25" s="1" t="s">
        <v>64</v>
      </c>
      <c r="E25" s="1">
        <v>5.0</v>
      </c>
      <c r="F25" s="6">
        <v>4.12755630016326E15</v>
      </c>
      <c r="G25" s="1">
        <f>IFERROR(__xludf.DUMMYFUNCTION("VALUE(REGEXEXTRACT(D25,""([0-9]+)[ ]*/[ ]*10""))"),6.0)</f>
        <v>6</v>
      </c>
      <c r="H25" s="7">
        <f t="shared" si="1"/>
        <v>1</v>
      </c>
      <c r="I25" s="8">
        <f t="shared" si="2"/>
        <v>-1</v>
      </c>
      <c r="J25" s="7">
        <v>7.0</v>
      </c>
    </row>
    <row r="26">
      <c r="A26" s="1">
        <v>24.0</v>
      </c>
      <c r="B26" s="1" t="s">
        <v>65</v>
      </c>
      <c r="C26" s="1" t="s">
        <v>17</v>
      </c>
      <c r="D26" s="1" t="s">
        <v>66</v>
      </c>
      <c r="E26" s="1">
        <v>7.0</v>
      </c>
      <c r="F26" s="6">
        <v>4.51224837303161E15</v>
      </c>
      <c r="G26" s="1">
        <f>IFERROR(__xludf.DUMMYFUNCTION("VALUE(REGEXEXTRACT(D26,""([0-9]+)[ ]*/[ ]*10""))"),6.0)</f>
        <v>6</v>
      </c>
      <c r="H26" s="7">
        <f t="shared" si="1"/>
        <v>1</v>
      </c>
      <c r="I26" s="8">
        <f t="shared" si="2"/>
        <v>1</v>
      </c>
      <c r="J26" s="7">
        <v>5.0</v>
      </c>
    </row>
    <row r="27">
      <c r="A27" s="1">
        <v>25.0</v>
      </c>
      <c r="B27" s="1" t="s">
        <v>67</v>
      </c>
      <c r="C27" s="1" t="s">
        <v>20</v>
      </c>
      <c r="D27" s="1" t="s">
        <v>68</v>
      </c>
      <c r="E27" s="1">
        <v>6.0</v>
      </c>
      <c r="F27" s="6">
        <v>4.38742170333862E15</v>
      </c>
      <c r="G27" s="1">
        <f>IFERROR(__xludf.DUMMYFUNCTION("VALUE(REGEXEXTRACT(D27,""([0-9]+)[ ]*/[ ]*10""))"),6.0)</f>
        <v>6</v>
      </c>
      <c r="H27" s="7">
        <f t="shared" si="1"/>
        <v>0</v>
      </c>
      <c r="I27" s="8">
        <f t="shared" si="2"/>
        <v>0</v>
      </c>
      <c r="J27" s="7">
        <v>6.0</v>
      </c>
    </row>
    <row r="28">
      <c r="A28" s="1">
        <v>26.0</v>
      </c>
      <c r="B28" s="1" t="s">
        <v>69</v>
      </c>
      <c r="C28" s="1" t="s">
        <v>23</v>
      </c>
      <c r="D28" s="1" t="s">
        <v>70</v>
      </c>
      <c r="E28" s="1">
        <v>4.0</v>
      </c>
      <c r="F28" s="6">
        <v>3.72630927562713E15</v>
      </c>
      <c r="G28" s="1">
        <f>IFERROR(__xludf.DUMMYFUNCTION("VALUE(REGEXEXTRACT(D28,""([0-9]+)[ ]*/[ ]*10""))"),6.0)</f>
        <v>6</v>
      </c>
      <c r="H28" s="7">
        <f t="shared" si="1"/>
        <v>2</v>
      </c>
      <c r="I28" s="8">
        <f t="shared" si="2"/>
        <v>-2</v>
      </c>
      <c r="J28" s="7">
        <v>8.0</v>
      </c>
    </row>
    <row r="29">
      <c r="A29" s="1">
        <v>27.0</v>
      </c>
      <c r="B29" s="1" t="s">
        <v>71</v>
      </c>
      <c r="C29" s="1" t="s">
        <v>14</v>
      </c>
      <c r="D29" s="1" t="s">
        <v>72</v>
      </c>
      <c r="E29" s="1">
        <v>8.0</v>
      </c>
      <c r="F29" s="6">
        <v>4.32403051853179E15</v>
      </c>
      <c r="G29" s="1">
        <f>IFERROR(__xludf.DUMMYFUNCTION("VALUE(REGEXEXTRACT(D29,""([0-9]+)[ ]*/[ ]*10""))"),6.0)</f>
        <v>6</v>
      </c>
      <c r="H29" s="7">
        <f t="shared" si="1"/>
        <v>2</v>
      </c>
      <c r="I29" s="8">
        <f t="shared" si="2"/>
        <v>2</v>
      </c>
      <c r="J29" s="7">
        <v>6.0</v>
      </c>
    </row>
    <row r="30">
      <c r="A30" s="1">
        <v>28.0</v>
      </c>
      <c r="B30" s="1" t="s">
        <v>73</v>
      </c>
      <c r="C30" s="1" t="s">
        <v>17</v>
      </c>
      <c r="D30" s="1" t="s">
        <v>74</v>
      </c>
      <c r="E30" s="1">
        <v>6.0</v>
      </c>
      <c r="F30" s="6">
        <v>4.39797782897949E15</v>
      </c>
      <c r="G30" s="1">
        <f>IFERROR(__xludf.DUMMYFUNCTION("VALUE(REGEXEXTRACT(D30,""([0-9]+)[ ]*/[ ]*10""))"),4.0)</f>
        <v>4</v>
      </c>
      <c r="H30" s="7">
        <f t="shared" si="1"/>
        <v>2</v>
      </c>
      <c r="I30" s="8">
        <f t="shared" si="2"/>
        <v>2</v>
      </c>
      <c r="J30" s="7">
        <v>4.0</v>
      </c>
    </row>
    <row r="31">
      <c r="A31" s="1">
        <v>29.0</v>
      </c>
      <c r="B31" s="1" t="s">
        <v>75</v>
      </c>
      <c r="C31" s="1" t="s">
        <v>20</v>
      </c>
      <c r="D31" s="1" t="s">
        <v>76</v>
      </c>
      <c r="E31" s="1">
        <v>6.0</v>
      </c>
      <c r="F31" s="6">
        <v>4.08233385086059E15</v>
      </c>
      <c r="G31" s="1">
        <f>IFERROR(__xludf.DUMMYFUNCTION("VALUE(REGEXEXTRACT(D31,""([0-9]+)[ ]*/[ ]*10""))"),6.0)</f>
        <v>6</v>
      </c>
      <c r="H31" s="7">
        <f t="shared" si="1"/>
        <v>0</v>
      </c>
      <c r="I31" s="8">
        <f t="shared" si="2"/>
        <v>0</v>
      </c>
      <c r="J31" s="7">
        <v>8.0</v>
      </c>
    </row>
    <row r="32">
      <c r="A32" s="1">
        <v>30.0</v>
      </c>
      <c r="B32" s="1" t="s">
        <v>77</v>
      </c>
      <c r="C32" s="1" t="s">
        <v>23</v>
      </c>
      <c r="D32" s="1" t="s">
        <v>78</v>
      </c>
      <c r="E32" s="1">
        <v>5.0</v>
      </c>
      <c r="F32" s="6">
        <v>5.20189228057861E15</v>
      </c>
      <c r="G32" s="1">
        <f>IFERROR(__xludf.DUMMYFUNCTION("VALUE(REGEXEXTRACT(D32,""([0-9]+)[ ]*/[ ]*10""))"),7.0)</f>
        <v>7</v>
      </c>
      <c r="H32" s="7">
        <f t="shared" si="1"/>
        <v>2</v>
      </c>
      <c r="I32" s="8">
        <f t="shared" si="2"/>
        <v>-2</v>
      </c>
      <c r="J32" s="7">
        <v>7.0</v>
      </c>
    </row>
    <row r="33">
      <c r="A33" s="1">
        <v>31.0</v>
      </c>
      <c r="B33" s="1" t="s">
        <v>79</v>
      </c>
      <c r="C33" s="1" t="s">
        <v>14</v>
      </c>
      <c r="D33" s="1" t="s">
        <v>80</v>
      </c>
      <c r="E33" s="1">
        <v>10.0</v>
      </c>
      <c r="F33" s="6">
        <v>4.38475308418273E15</v>
      </c>
      <c r="G33" s="1">
        <f>IFERROR(__xludf.DUMMYFUNCTION("VALUE(REGEXEXTRACT(D33,""([0-9]+)[ ]*/[ ]*10""))"),6.0)</f>
        <v>6</v>
      </c>
      <c r="H33" s="7">
        <f t="shared" si="1"/>
        <v>4</v>
      </c>
      <c r="I33" s="8">
        <f t="shared" si="2"/>
        <v>4</v>
      </c>
      <c r="J33" s="7">
        <v>8.0</v>
      </c>
    </row>
    <row r="34">
      <c r="A34" s="1">
        <v>32.0</v>
      </c>
      <c r="B34" s="1" t="s">
        <v>81</v>
      </c>
      <c r="C34" s="1" t="s">
        <v>17</v>
      </c>
      <c r="D34" s="1" t="s">
        <v>82</v>
      </c>
      <c r="E34" s="1">
        <v>4.0</v>
      </c>
      <c r="F34" s="6">
        <v>6.07881467342376E15</v>
      </c>
      <c r="G34" s="1">
        <f>IFERROR(__xludf.DUMMYFUNCTION("VALUE(REGEXEXTRACT(D34,""([0-9]+)[ ]*/[ ]*10""))"),6.0)</f>
        <v>6</v>
      </c>
      <c r="H34" s="7">
        <f t="shared" si="1"/>
        <v>2</v>
      </c>
      <c r="I34" s="8">
        <f t="shared" si="2"/>
        <v>-2</v>
      </c>
      <c r="J34" s="7">
        <v>7.0</v>
      </c>
    </row>
    <row r="35">
      <c r="A35" s="1">
        <v>33.0</v>
      </c>
      <c r="B35" s="1" t="s">
        <v>83</v>
      </c>
      <c r="C35" s="1" t="s">
        <v>20</v>
      </c>
      <c r="D35" s="1" t="s">
        <v>84</v>
      </c>
      <c r="E35" s="1">
        <v>3.0</v>
      </c>
      <c r="F35" s="6">
        <v>4.30319995880126E16</v>
      </c>
      <c r="G35" s="1">
        <f>IFERROR(__xludf.DUMMYFUNCTION("VALUE(REGEXEXTRACT(D35,""([0-9]+)[ ]*/[ ]*10""))"),6.0)</f>
        <v>6</v>
      </c>
      <c r="H35" s="7">
        <f t="shared" si="1"/>
        <v>3</v>
      </c>
      <c r="I35" s="8">
        <f t="shared" si="2"/>
        <v>-3</v>
      </c>
      <c r="J35" s="7">
        <v>8.0</v>
      </c>
    </row>
    <row r="36">
      <c r="A36" s="1">
        <v>34.0</v>
      </c>
      <c r="B36" s="1" t="s">
        <v>85</v>
      </c>
      <c r="C36" s="1" t="s">
        <v>23</v>
      </c>
      <c r="D36" s="1" t="s">
        <v>86</v>
      </c>
      <c r="E36" s="1">
        <v>4.0</v>
      </c>
      <c r="F36" s="6">
        <v>3.76742706298828E15</v>
      </c>
      <c r="G36" s="1">
        <f>IFERROR(__xludf.DUMMYFUNCTION("VALUE(REGEXEXTRACT(D36,""([0-9]+)[ ]*/[ ]*10""))"),4.0)</f>
        <v>4</v>
      </c>
      <c r="H36" s="7">
        <f t="shared" si="1"/>
        <v>0</v>
      </c>
      <c r="I36" s="8">
        <f t="shared" si="2"/>
        <v>0</v>
      </c>
      <c r="J36" s="7">
        <v>4.0</v>
      </c>
    </row>
    <row r="37">
      <c r="A37" s="1">
        <v>35.0</v>
      </c>
      <c r="B37" s="1" t="s">
        <v>87</v>
      </c>
      <c r="C37" s="1" t="s">
        <v>14</v>
      </c>
      <c r="D37" s="1" t="s">
        <v>88</v>
      </c>
      <c r="E37" s="1">
        <v>9.0</v>
      </c>
      <c r="F37" s="6">
        <v>4.15090577602386E15</v>
      </c>
      <c r="G37" s="1">
        <f>IFERROR(__xludf.DUMMYFUNCTION("VALUE(REGEXEXTRACT(D37,""([0-9]+)[ ]*/[ ]*10""))"),7.0)</f>
        <v>7</v>
      </c>
      <c r="H37" s="7">
        <f t="shared" si="1"/>
        <v>2</v>
      </c>
      <c r="I37" s="8">
        <f t="shared" si="2"/>
        <v>2</v>
      </c>
      <c r="J37" s="7">
        <v>8.0</v>
      </c>
    </row>
    <row r="38">
      <c r="A38" s="1">
        <v>36.0</v>
      </c>
      <c r="B38" s="1" t="s">
        <v>89</v>
      </c>
      <c r="C38" s="1" t="s">
        <v>17</v>
      </c>
      <c r="D38" s="1" t="s">
        <v>90</v>
      </c>
      <c r="E38" s="1">
        <v>10.0</v>
      </c>
      <c r="F38" s="6">
        <v>4.86686301231384E15</v>
      </c>
      <c r="G38" s="1">
        <f>IFERROR(__xludf.DUMMYFUNCTION("VALUE(REGEXEXTRACT(D38,""([0-9]+)[ ]*/[ ]*10""))"),6.0)</f>
        <v>6</v>
      </c>
      <c r="H38" s="7">
        <f t="shared" si="1"/>
        <v>4</v>
      </c>
      <c r="I38" s="8">
        <f t="shared" si="2"/>
        <v>4</v>
      </c>
      <c r="J38" s="7">
        <v>8.0</v>
      </c>
    </row>
    <row r="39">
      <c r="A39" s="1">
        <v>37.0</v>
      </c>
      <c r="B39" s="1" t="s">
        <v>91</v>
      </c>
      <c r="C39" s="1" t="s">
        <v>20</v>
      </c>
      <c r="D39" s="1" t="s">
        <v>92</v>
      </c>
      <c r="E39" s="1">
        <v>8.0</v>
      </c>
      <c r="F39" s="6">
        <v>4.342973446846E15</v>
      </c>
      <c r="G39" s="1">
        <f>IFERROR(__xludf.DUMMYFUNCTION("VALUE(REGEXEXTRACT(D39,""([0-9]+)[ ]*/[ ]*10""))"),6.0)</f>
        <v>6</v>
      </c>
      <c r="H39" s="7">
        <f t="shared" si="1"/>
        <v>2</v>
      </c>
      <c r="I39" s="8">
        <f t="shared" si="2"/>
        <v>2</v>
      </c>
      <c r="J39" s="7">
        <v>7.0</v>
      </c>
    </row>
    <row r="40">
      <c r="A40" s="1">
        <v>38.0</v>
      </c>
      <c r="B40" s="1" t="s">
        <v>93</v>
      </c>
      <c r="C40" s="1" t="s">
        <v>23</v>
      </c>
      <c r="D40" s="1" t="s">
        <v>94</v>
      </c>
      <c r="E40" s="1">
        <v>3.0</v>
      </c>
      <c r="F40" s="6">
        <v>4.47199611663818E16</v>
      </c>
      <c r="G40" s="1">
        <f>IFERROR(__xludf.DUMMYFUNCTION("VALUE(REGEXEXTRACT(D40,""([0-9]+)[ ]*/[ ]*10""))"),4.0)</f>
        <v>4</v>
      </c>
      <c r="H40" s="7">
        <f t="shared" si="1"/>
        <v>1</v>
      </c>
      <c r="I40" s="8">
        <f t="shared" si="2"/>
        <v>-1</v>
      </c>
      <c r="J40" s="7">
        <v>4.0</v>
      </c>
    </row>
    <row r="41">
      <c r="A41" s="1">
        <v>39.0</v>
      </c>
      <c r="B41" s="1" t="s">
        <v>95</v>
      </c>
      <c r="C41" s="1" t="s">
        <v>14</v>
      </c>
      <c r="D41" s="1" t="s">
        <v>96</v>
      </c>
      <c r="E41" s="1">
        <v>7.0</v>
      </c>
      <c r="F41" s="6">
        <v>3.96131923198699E16</v>
      </c>
      <c r="G41" s="1">
        <f>IFERROR(__xludf.DUMMYFUNCTION("VALUE(REGEXEXTRACT(D41,""([0-9]+)[ ]*/[ ]*10""))"),7.0)</f>
        <v>7</v>
      </c>
      <c r="H41" s="7">
        <f t="shared" si="1"/>
        <v>0</v>
      </c>
      <c r="I41" s="8">
        <f t="shared" si="2"/>
        <v>0</v>
      </c>
      <c r="J41" s="7">
        <v>7.0</v>
      </c>
    </row>
    <row r="42">
      <c r="A42" s="1">
        <v>40.0</v>
      </c>
      <c r="B42" s="1" t="s">
        <v>97</v>
      </c>
      <c r="C42" s="1" t="s">
        <v>17</v>
      </c>
      <c r="D42" s="1" t="s">
        <v>98</v>
      </c>
      <c r="E42" s="1">
        <v>6.0</v>
      </c>
      <c r="F42" s="6">
        <v>5.68222849369049E15</v>
      </c>
      <c r="G42" s="1">
        <f>IFERROR(__xludf.DUMMYFUNCTION("VALUE(REGEXEXTRACT(D42,""([0-9]+)[ ]*/[ ]*10""))"),6.0)</f>
        <v>6</v>
      </c>
      <c r="H42" s="7">
        <f t="shared" si="1"/>
        <v>0</v>
      </c>
      <c r="I42" s="8">
        <f t="shared" si="2"/>
        <v>0</v>
      </c>
      <c r="J42" s="7">
        <v>6.0</v>
      </c>
    </row>
    <row r="43">
      <c r="A43" s="1">
        <v>41.0</v>
      </c>
      <c r="B43" s="1" t="s">
        <v>99</v>
      </c>
      <c r="C43" s="1" t="s">
        <v>20</v>
      </c>
      <c r="D43" s="1" t="s">
        <v>100</v>
      </c>
      <c r="E43" s="1">
        <v>6.0</v>
      </c>
      <c r="F43" s="6">
        <v>4.53344678878784E15</v>
      </c>
      <c r="G43" s="1">
        <f>IFERROR(__xludf.DUMMYFUNCTION("VALUE(REGEXEXTRACT(D43,""([0-9]+)[ ]*/[ ]*10""))"),6.0)</f>
        <v>6</v>
      </c>
      <c r="H43" s="7">
        <f t="shared" si="1"/>
        <v>0</v>
      </c>
      <c r="I43" s="8">
        <f t="shared" si="2"/>
        <v>0</v>
      </c>
      <c r="J43" s="7">
        <v>5.0</v>
      </c>
    </row>
    <row r="44">
      <c r="A44" s="1">
        <v>42.0</v>
      </c>
      <c r="B44" s="1" t="s">
        <v>101</v>
      </c>
      <c r="C44" s="1" t="s">
        <v>23</v>
      </c>
      <c r="D44" s="1" t="s">
        <v>102</v>
      </c>
      <c r="E44" s="1">
        <v>5.0</v>
      </c>
      <c r="F44" s="6">
        <v>5.00046684741973E15</v>
      </c>
      <c r="G44" s="1">
        <f>IFERROR(__xludf.DUMMYFUNCTION("VALUE(REGEXEXTRACT(D44,""([0-9]+)[ ]*/[ ]*10""))"),6.0)</f>
        <v>6</v>
      </c>
      <c r="H44" s="7">
        <f t="shared" si="1"/>
        <v>1</v>
      </c>
      <c r="I44" s="8">
        <f t="shared" si="2"/>
        <v>-1</v>
      </c>
      <c r="J44" s="7">
        <v>4.0</v>
      </c>
    </row>
    <row r="45">
      <c r="A45" s="1">
        <v>43.0</v>
      </c>
      <c r="B45" s="1" t="s">
        <v>103</v>
      </c>
      <c r="C45" s="1" t="s">
        <v>14</v>
      </c>
      <c r="D45" s="1" t="s">
        <v>104</v>
      </c>
      <c r="E45" s="1">
        <v>6.0</v>
      </c>
      <c r="F45" s="6">
        <v>5.24504785537719E15</v>
      </c>
      <c r="G45" s="1">
        <f>IFERROR(__xludf.DUMMYFUNCTION("VALUE(REGEXEXTRACT(D45,""([0-9]+)[ ]*/[ ]*10""))"),6.0)</f>
        <v>6</v>
      </c>
      <c r="H45" s="7">
        <f t="shared" si="1"/>
        <v>0</v>
      </c>
      <c r="I45" s="8">
        <f t="shared" si="2"/>
        <v>0</v>
      </c>
      <c r="J45" s="7">
        <v>8.0</v>
      </c>
    </row>
    <row r="46">
      <c r="A46" s="1">
        <v>44.0</v>
      </c>
      <c r="B46" s="1" t="s">
        <v>105</v>
      </c>
      <c r="C46" s="1" t="s">
        <v>17</v>
      </c>
      <c r="D46" s="1" t="s">
        <v>106</v>
      </c>
      <c r="E46" s="1">
        <v>7.0</v>
      </c>
      <c r="F46" s="6">
        <v>4.55330302715301E15</v>
      </c>
      <c r="G46" s="1">
        <f>IFERROR(__xludf.DUMMYFUNCTION("VALUE(REGEXEXTRACT(D46,""([0-9]+)[ ]*/[ ]*10""))"),6.0)</f>
        <v>6</v>
      </c>
      <c r="H46" s="7">
        <f t="shared" si="1"/>
        <v>1</v>
      </c>
      <c r="I46" s="8">
        <f t="shared" si="2"/>
        <v>1</v>
      </c>
      <c r="J46" s="7">
        <v>5.0</v>
      </c>
    </row>
    <row r="47">
      <c r="A47" s="1">
        <v>45.0</v>
      </c>
      <c r="B47" s="1" t="s">
        <v>107</v>
      </c>
      <c r="C47" s="1" t="s">
        <v>20</v>
      </c>
      <c r="D47" s="1" t="s">
        <v>108</v>
      </c>
      <c r="E47" s="1">
        <v>4.0</v>
      </c>
      <c r="F47" s="6">
        <v>3.82747688293457E14</v>
      </c>
      <c r="G47" s="1">
        <f>IFERROR(__xludf.DUMMYFUNCTION("VALUE(REGEXEXTRACT(D47,""([0-9]+)[ ]*/[ ]*10""))"),6.0)</f>
        <v>6</v>
      </c>
      <c r="H47" s="7">
        <f t="shared" si="1"/>
        <v>2</v>
      </c>
      <c r="I47" s="8">
        <f t="shared" si="2"/>
        <v>-2</v>
      </c>
      <c r="J47" s="7">
        <v>6.0</v>
      </c>
    </row>
    <row r="48">
      <c r="A48" s="1">
        <v>46.0</v>
      </c>
      <c r="B48" s="1" t="s">
        <v>109</v>
      </c>
      <c r="C48" s="1" t="s">
        <v>23</v>
      </c>
      <c r="D48" s="1" t="s">
        <v>110</v>
      </c>
      <c r="E48" s="1">
        <v>3.0</v>
      </c>
      <c r="F48" s="6">
        <v>4.18730654716491E15</v>
      </c>
      <c r="G48" s="1">
        <f>IFERROR(__xludf.DUMMYFUNCTION("VALUE(REGEXEXTRACT(D48,""([0-9]+)[ ]*/[ ]*10""))"),4.0)</f>
        <v>4</v>
      </c>
      <c r="H48" s="7">
        <f t="shared" si="1"/>
        <v>1</v>
      </c>
      <c r="I48" s="8">
        <f t="shared" si="2"/>
        <v>-1</v>
      </c>
      <c r="J48" s="7">
        <v>4.0</v>
      </c>
    </row>
    <row r="49">
      <c r="A49" s="1">
        <v>47.0</v>
      </c>
      <c r="B49" s="1" t="s">
        <v>111</v>
      </c>
      <c r="C49" s="1" t="s">
        <v>14</v>
      </c>
      <c r="D49" s="1" t="s">
        <v>112</v>
      </c>
      <c r="E49" s="1">
        <v>10.0</v>
      </c>
      <c r="F49" s="6">
        <v>4.62146413326263E15</v>
      </c>
      <c r="G49" s="1">
        <f>IFERROR(__xludf.DUMMYFUNCTION("VALUE(REGEXEXTRACT(D49,""([0-9]+)[ ]*/[ ]*10""))"),7.0)</f>
        <v>7</v>
      </c>
      <c r="H49" s="7">
        <f t="shared" si="1"/>
        <v>3</v>
      </c>
      <c r="I49" s="8">
        <f t="shared" si="2"/>
        <v>3</v>
      </c>
      <c r="J49" s="7">
        <v>8.0</v>
      </c>
    </row>
    <row r="50">
      <c r="A50" s="1">
        <v>48.0</v>
      </c>
      <c r="B50" s="1" t="s">
        <v>113</v>
      </c>
      <c r="C50" s="1" t="s">
        <v>17</v>
      </c>
      <c r="D50" s="1" t="s">
        <v>114</v>
      </c>
      <c r="E50" s="1">
        <v>8.0</v>
      </c>
      <c r="F50" s="6">
        <v>4.84156644344329E15</v>
      </c>
      <c r="G50" s="1">
        <f>IFERROR(__xludf.DUMMYFUNCTION("VALUE(REGEXEXTRACT(D50,""([0-9]+)[ ]*/[ ]*10""))"),7.0)</f>
        <v>7</v>
      </c>
      <c r="H50" s="7">
        <f t="shared" si="1"/>
        <v>1</v>
      </c>
      <c r="I50" s="8">
        <f t="shared" si="2"/>
        <v>1</v>
      </c>
      <c r="J50" s="7">
        <v>7.0</v>
      </c>
    </row>
    <row r="51">
      <c r="A51" s="1">
        <v>49.0</v>
      </c>
      <c r="B51" s="1" t="s">
        <v>115</v>
      </c>
      <c r="C51" s="1" t="s">
        <v>20</v>
      </c>
      <c r="D51" s="1" t="s">
        <v>116</v>
      </c>
      <c r="E51" s="1">
        <v>6.0</v>
      </c>
      <c r="F51" s="6">
        <v>5.12415883541107E15</v>
      </c>
      <c r="G51" s="1">
        <f>IFERROR(__xludf.DUMMYFUNCTION("VALUE(REGEXEXTRACT(D51,""([0-9]+)[ ]*/[ ]*10""))"),7.0)</f>
        <v>7</v>
      </c>
      <c r="H51" s="7">
        <f t="shared" si="1"/>
        <v>1</v>
      </c>
      <c r="I51" s="8">
        <f t="shared" si="2"/>
        <v>-1</v>
      </c>
      <c r="J51" s="7">
        <v>8.0</v>
      </c>
    </row>
    <row r="52">
      <c r="A52" s="1">
        <v>50.0</v>
      </c>
      <c r="B52" s="1" t="s">
        <v>117</v>
      </c>
      <c r="C52" s="1" t="s">
        <v>23</v>
      </c>
      <c r="D52" s="1" t="s">
        <v>118</v>
      </c>
      <c r="E52" s="1">
        <v>3.0</v>
      </c>
      <c r="F52" s="6">
        <v>3.70578458309173E15</v>
      </c>
      <c r="G52" s="1">
        <f>IFERROR(__xludf.DUMMYFUNCTION("VALUE(REGEXEXTRACT(D52,""([0-9]+)[ ]*/[ ]*10""))"),6.0)</f>
        <v>6</v>
      </c>
      <c r="H52" s="7">
        <f t="shared" si="1"/>
        <v>3</v>
      </c>
      <c r="I52" s="8">
        <f t="shared" si="2"/>
        <v>-3</v>
      </c>
      <c r="J52" s="7">
        <v>4.0</v>
      </c>
    </row>
    <row r="53">
      <c r="A53" s="1">
        <v>51.0</v>
      </c>
      <c r="B53" s="1" t="s">
        <v>119</v>
      </c>
      <c r="C53" s="1" t="s">
        <v>14</v>
      </c>
      <c r="D53" s="1" t="s">
        <v>120</v>
      </c>
      <c r="E53" s="1">
        <v>6.0</v>
      </c>
      <c r="F53" s="6">
        <v>5.40268924236297E15</v>
      </c>
      <c r="G53" s="1">
        <f>IFERROR(__xludf.DUMMYFUNCTION("VALUE(REGEXEXTRACT(D53,""([0-9]+)[ ]*/[ ]*10""))"),4.0)</f>
        <v>4</v>
      </c>
      <c r="H53" s="7">
        <f t="shared" si="1"/>
        <v>2</v>
      </c>
      <c r="I53" s="8">
        <f t="shared" si="2"/>
        <v>2</v>
      </c>
      <c r="J53" s="7">
        <v>8.0</v>
      </c>
    </row>
    <row r="54">
      <c r="A54" s="1">
        <v>52.0</v>
      </c>
      <c r="B54" s="1" t="s">
        <v>121</v>
      </c>
      <c r="C54" s="1" t="s">
        <v>17</v>
      </c>
      <c r="D54" s="1" t="s">
        <v>122</v>
      </c>
      <c r="E54" s="1">
        <v>6.0</v>
      </c>
      <c r="F54" s="6">
        <v>4.39478912353515E15</v>
      </c>
      <c r="G54" s="1">
        <f>IFERROR(__xludf.DUMMYFUNCTION("VALUE(REGEXEXTRACT(D54,""([0-9]+)[ ]*/[ ]*10""))"),6.0)</f>
        <v>6</v>
      </c>
      <c r="H54" s="7">
        <f t="shared" si="1"/>
        <v>0</v>
      </c>
      <c r="I54" s="8">
        <f t="shared" si="2"/>
        <v>0</v>
      </c>
      <c r="J54" s="7">
        <v>5.0</v>
      </c>
    </row>
    <row r="55">
      <c r="A55" s="1">
        <v>53.0</v>
      </c>
      <c r="B55" s="1" t="s">
        <v>123</v>
      </c>
      <c r="C55" s="1" t="s">
        <v>20</v>
      </c>
      <c r="D55" s="1" t="s">
        <v>124</v>
      </c>
      <c r="E55" s="1">
        <v>6.0</v>
      </c>
      <c r="F55" s="6">
        <v>3.93378901481628E15</v>
      </c>
      <c r="G55" s="1">
        <f>IFERROR(__xludf.DUMMYFUNCTION("VALUE(REGEXEXTRACT(D55,""([0-9]+)[ ]*/[ ]*10""))"),6.0)</f>
        <v>6</v>
      </c>
      <c r="H55" s="7">
        <f t="shared" si="1"/>
        <v>0</v>
      </c>
      <c r="I55" s="8">
        <f t="shared" si="2"/>
        <v>0</v>
      </c>
      <c r="J55" s="7">
        <v>5.0</v>
      </c>
    </row>
    <row r="56">
      <c r="A56" s="1">
        <v>54.0</v>
      </c>
      <c r="B56" s="1" t="s">
        <v>125</v>
      </c>
      <c r="C56" s="1" t="s">
        <v>23</v>
      </c>
      <c r="D56" s="1" t="s">
        <v>126</v>
      </c>
      <c r="E56" s="1">
        <v>6.0</v>
      </c>
      <c r="F56" s="6">
        <v>4.33480067253112E15</v>
      </c>
      <c r="G56" s="1">
        <f>IFERROR(__xludf.DUMMYFUNCTION("VALUE(REGEXEXTRACT(D56,""([0-9]+)[ ]*/[ ]*10""))"),7.0)</f>
        <v>7</v>
      </c>
      <c r="H56" s="7">
        <f t="shared" si="1"/>
        <v>1</v>
      </c>
      <c r="I56" s="8">
        <f t="shared" si="2"/>
        <v>-1</v>
      </c>
      <c r="J56" s="7">
        <v>7.0</v>
      </c>
    </row>
    <row r="57">
      <c r="A57" s="1">
        <v>55.0</v>
      </c>
      <c r="B57" s="1" t="s">
        <v>127</v>
      </c>
      <c r="C57" s="1" t="s">
        <v>14</v>
      </c>
      <c r="D57" s="1" t="s">
        <v>128</v>
      </c>
      <c r="E57" s="1">
        <v>5.0</v>
      </c>
      <c r="F57" s="6">
        <v>4.16446287631988E15</v>
      </c>
      <c r="G57" s="1">
        <f>IFERROR(__xludf.DUMMYFUNCTION("VALUE(REGEXEXTRACT(D57,""([0-9]+)[ ]*/[ ]*10""))"),4.0)</f>
        <v>4</v>
      </c>
      <c r="H57" s="7">
        <f t="shared" si="1"/>
        <v>1</v>
      </c>
      <c r="I57" s="8">
        <f t="shared" si="2"/>
        <v>1</v>
      </c>
      <c r="J57" s="7">
        <v>8.0</v>
      </c>
    </row>
    <row r="58">
      <c r="A58" s="1">
        <v>56.0</v>
      </c>
      <c r="B58" s="1" t="s">
        <v>129</v>
      </c>
      <c r="C58" s="1" t="s">
        <v>17</v>
      </c>
      <c r="D58" s="1" t="s">
        <v>130</v>
      </c>
      <c r="E58" s="1">
        <v>7.0</v>
      </c>
      <c r="F58" s="6">
        <v>4.407031416893E16</v>
      </c>
      <c r="G58" s="1">
        <f>IFERROR(__xludf.DUMMYFUNCTION("VALUE(REGEXEXTRACT(D58,""([0-9]+)[ ]*/[ ]*10""))"),6.0)</f>
        <v>6</v>
      </c>
      <c r="H58" s="7">
        <f t="shared" si="1"/>
        <v>1</v>
      </c>
      <c r="I58" s="8">
        <f t="shared" si="2"/>
        <v>1</v>
      </c>
      <c r="J58" s="7">
        <v>8.0</v>
      </c>
    </row>
    <row r="59">
      <c r="A59" s="1">
        <v>57.0</v>
      </c>
      <c r="B59" s="1" t="s">
        <v>131</v>
      </c>
      <c r="C59" s="1" t="s">
        <v>20</v>
      </c>
      <c r="D59" s="1" t="s">
        <v>132</v>
      </c>
      <c r="E59" s="1">
        <v>7.0</v>
      </c>
      <c r="F59" s="6">
        <v>5.81907625198364E16</v>
      </c>
      <c r="G59" s="1">
        <f>IFERROR(__xludf.DUMMYFUNCTION("VALUE(REGEXEXTRACT(D59,""([0-9]+)[ ]*/[ ]*10""))"),7.0)</f>
        <v>7</v>
      </c>
      <c r="H59" s="7">
        <f t="shared" si="1"/>
        <v>0</v>
      </c>
      <c r="I59" s="8">
        <f t="shared" si="2"/>
        <v>0</v>
      </c>
      <c r="J59" s="7">
        <v>8.5</v>
      </c>
    </row>
    <row r="60">
      <c r="A60" s="1">
        <v>58.0</v>
      </c>
      <c r="B60" s="1" t="s">
        <v>133</v>
      </c>
      <c r="C60" s="1" t="s">
        <v>23</v>
      </c>
      <c r="D60" s="1" t="s">
        <v>134</v>
      </c>
      <c r="E60" s="1">
        <v>7.0</v>
      </c>
      <c r="F60" s="6">
        <v>3.76416466236114E15</v>
      </c>
      <c r="G60" s="1">
        <f>IFERROR(__xludf.DUMMYFUNCTION("VALUE(REGEXEXTRACT(D60,""([0-9]+)[ ]*/[ ]*10""))"),8.0)</f>
        <v>8</v>
      </c>
      <c r="H60" s="7">
        <f t="shared" si="1"/>
        <v>1</v>
      </c>
      <c r="I60" s="8">
        <f t="shared" si="2"/>
        <v>-1</v>
      </c>
      <c r="J60" s="7">
        <v>8.0</v>
      </c>
    </row>
    <row r="61">
      <c r="A61" s="1">
        <v>59.0</v>
      </c>
      <c r="B61" s="1" t="s">
        <v>135</v>
      </c>
      <c r="C61" s="1" t="s">
        <v>14</v>
      </c>
      <c r="D61" s="1" t="s">
        <v>136</v>
      </c>
      <c r="E61" s="1">
        <v>9.0</v>
      </c>
      <c r="F61" s="6">
        <v>4.96301727294921E15</v>
      </c>
      <c r="G61" s="1">
        <f>IFERROR(__xludf.DUMMYFUNCTION("VALUE(REGEXEXTRACT(D61,""([0-9]+)[ ]*/[ ]*10""))"),6.0)</f>
        <v>6</v>
      </c>
      <c r="H61" s="7">
        <f t="shared" si="1"/>
        <v>3</v>
      </c>
      <c r="I61" s="8">
        <f t="shared" si="2"/>
        <v>3</v>
      </c>
      <c r="J61" s="7">
        <v>8.0</v>
      </c>
    </row>
    <row r="62">
      <c r="A62" s="1">
        <v>60.0</v>
      </c>
      <c r="B62" s="1" t="s">
        <v>137</v>
      </c>
      <c r="C62" s="1" t="s">
        <v>17</v>
      </c>
      <c r="D62" s="1" t="s">
        <v>138</v>
      </c>
      <c r="E62" s="1">
        <v>10.0</v>
      </c>
      <c r="F62" s="6">
        <v>4.75448522567749E14</v>
      </c>
      <c r="G62" s="1">
        <f>IFERROR(__xludf.DUMMYFUNCTION("VALUE(REGEXEXTRACT(D62,""([0-9]+)[ ]*/[ ]*10""))"),6.0)</f>
        <v>6</v>
      </c>
      <c r="H62" s="7">
        <f t="shared" si="1"/>
        <v>4</v>
      </c>
      <c r="I62" s="8">
        <f t="shared" si="2"/>
        <v>4</v>
      </c>
      <c r="J62" s="7">
        <v>6.0</v>
      </c>
    </row>
    <row r="63">
      <c r="A63" s="1">
        <v>61.0</v>
      </c>
      <c r="B63" s="1" t="s">
        <v>139</v>
      </c>
      <c r="C63" s="1" t="s">
        <v>20</v>
      </c>
      <c r="D63" s="1" t="s">
        <v>140</v>
      </c>
      <c r="E63" s="1">
        <v>6.0</v>
      </c>
      <c r="F63" s="6">
        <v>5.48901560306549E15</v>
      </c>
      <c r="G63" s="1">
        <f>IFERROR(__xludf.DUMMYFUNCTION("VALUE(REGEXEXTRACT(D63,""([0-9]+)[ ]*/[ ]*10""))"),6.0)</f>
        <v>6</v>
      </c>
      <c r="H63" s="7">
        <f t="shared" si="1"/>
        <v>0</v>
      </c>
      <c r="I63" s="8">
        <f t="shared" si="2"/>
        <v>0</v>
      </c>
      <c r="J63" s="7">
        <v>7.0</v>
      </c>
    </row>
    <row r="64">
      <c r="A64" s="1">
        <v>62.0</v>
      </c>
      <c r="B64" s="1" t="s">
        <v>141</v>
      </c>
      <c r="C64" s="1" t="s">
        <v>23</v>
      </c>
      <c r="D64" s="1" t="s">
        <v>142</v>
      </c>
      <c r="E64" s="1">
        <v>7.0</v>
      </c>
      <c r="F64" s="6">
        <v>4.24828081130981E16</v>
      </c>
      <c r="G64" s="1">
        <f>IFERROR(__xludf.DUMMYFUNCTION("VALUE(REGEXEXTRACT(D64,""([0-9]+)[ ]*/[ ]*10""))"),6.0)</f>
        <v>6</v>
      </c>
      <c r="H64" s="7">
        <f t="shared" si="1"/>
        <v>1</v>
      </c>
      <c r="I64" s="8">
        <f t="shared" si="2"/>
        <v>1</v>
      </c>
      <c r="J64" s="7">
        <v>8.0</v>
      </c>
    </row>
    <row r="65">
      <c r="A65" s="1">
        <v>63.0</v>
      </c>
      <c r="B65" s="1" t="s">
        <v>143</v>
      </c>
      <c r="C65" s="1" t="s">
        <v>14</v>
      </c>
      <c r="D65" s="1" t="s">
        <v>144</v>
      </c>
      <c r="E65" s="1">
        <v>7.0</v>
      </c>
      <c r="F65" s="6">
        <v>5.16413989067077E16</v>
      </c>
      <c r="G65" s="1">
        <f>IFERROR(__xludf.DUMMYFUNCTION("VALUE(REGEXEXTRACT(D65,""([0-9]+)[ ]*/[ ]*10""))"),6.0)</f>
        <v>6</v>
      </c>
      <c r="H65" s="7">
        <f t="shared" si="1"/>
        <v>1</v>
      </c>
      <c r="I65" s="8">
        <f t="shared" si="2"/>
        <v>1</v>
      </c>
      <c r="J65" s="7">
        <v>4.5</v>
      </c>
    </row>
    <row r="66">
      <c r="A66" s="1">
        <v>64.0</v>
      </c>
      <c r="B66" s="1" t="s">
        <v>145</v>
      </c>
      <c r="C66" s="1" t="s">
        <v>17</v>
      </c>
      <c r="D66" s="1" t="s">
        <v>146</v>
      </c>
      <c r="E66" s="1">
        <v>9.0</v>
      </c>
      <c r="F66" s="6">
        <v>4.48044278621673E15</v>
      </c>
      <c r="G66" s="1">
        <f>IFERROR(__xludf.DUMMYFUNCTION("VALUE(REGEXEXTRACT(D66,""([0-9]+)[ ]*/[ ]*10""))"),6.0)</f>
        <v>6</v>
      </c>
      <c r="H66" s="7">
        <f t="shared" si="1"/>
        <v>3</v>
      </c>
      <c r="I66" s="8">
        <f t="shared" si="2"/>
        <v>3</v>
      </c>
      <c r="J66" s="7">
        <v>4.0</v>
      </c>
    </row>
    <row r="67">
      <c r="A67" s="1">
        <v>65.0</v>
      </c>
      <c r="B67" s="1" t="s">
        <v>147</v>
      </c>
      <c r="C67" s="1" t="s">
        <v>20</v>
      </c>
      <c r="D67" s="1" t="s">
        <v>148</v>
      </c>
      <c r="E67" s="1">
        <v>5.0</v>
      </c>
      <c r="F67" s="6">
        <v>3.8597676038742E16</v>
      </c>
      <c r="G67" s="1">
        <f>IFERROR(__xludf.DUMMYFUNCTION("VALUE(REGEXEXTRACT(D67,""([0-9]+)[ ]*/[ ]*10""))"),6.0)</f>
        <v>6</v>
      </c>
      <c r="H67" s="7">
        <f t="shared" si="1"/>
        <v>1</v>
      </c>
      <c r="I67" s="8">
        <f t="shared" si="2"/>
        <v>-1</v>
      </c>
      <c r="J67" s="7">
        <v>8.0</v>
      </c>
    </row>
    <row r="68">
      <c r="A68" s="1">
        <v>66.0</v>
      </c>
      <c r="B68" s="1" t="s">
        <v>149</v>
      </c>
      <c r="C68" s="1" t="s">
        <v>23</v>
      </c>
      <c r="D68" s="1" t="s">
        <v>150</v>
      </c>
      <c r="E68" s="1">
        <v>6.0</v>
      </c>
      <c r="F68" s="6">
        <v>4.4680439710617E16</v>
      </c>
      <c r="G68" s="1">
        <f>IFERROR(__xludf.DUMMYFUNCTION("VALUE(REGEXEXTRACT(D68,""([0-9]+)[ ]*/[ ]*10""))"),7.0)</f>
        <v>7</v>
      </c>
      <c r="H68" s="7">
        <f t="shared" si="1"/>
        <v>1</v>
      </c>
      <c r="I68" s="8">
        <f t="shared" si="2"/>
        <v>-1</v>
      </c>
      <c r="J68" s="7">
        <v>7.0</v>
      </c>
    </row>
    <row r="69">
      <c r="A69" s="1">
        <v>67.0</v>
      </c>
      <c r="B69" s="1" t="s">
        <v>151</v>
      </c>
      <c r="C69" s="1" t="s">
        <v>14</v>
      </c>
      <c r="D69" s="1" t="s">
        <v>152</v>
      </c>
      <c r="E69" s="1">
        <v>10.0</v>
      </c>
      <c r="F69" s="6">
        <v>4.86806237697601E15</v>
      </c>
      <c r="G69" s="1">
        <f>IFERROR(__xludf.DUMMYFUNCTION("VALUE(REGEXEXTRACT(D69,""([0-9]+)[ ]*/[ ]*10""))"),6.0)</f>
        <v>6</v>
      </c>
      <c r="H69" s="7">
        <f t="shared" si="1"/>
        <v>4</v>
      </c>
      <c r="I69" s="8">
        <f t="shared" si="2"/>
        <v>4</v>
      </c>
      <c r="J69" s="7">
        <v>6.0</v>
      </c>
    </row>
    <row r="70">
      <c r="A70" s="1">
        <v>68.0</v>
      </c>
      <c r="B70" s="1" t="s">
        <v>153</v>
      </c>
      <c r="C70" s="1" t="s">
        <v>17</v>
      </c>
      <c r="D70" s="1" t="s">
        <v>154</v>
      </c>
      <c r="E70" s="1">
        <v>10.0</v>
      </c>
      <c r="F70" s="6">
        <v>5.44804584980011E14</v>
      </c>
      <c r="G70" s="1">
        <f>IFERROR(__xludf.DUMMYFUNCTION("VALUE(REGEXEXTRACT(D70,""([0-9]+)[ ]*/[ ]*10""))"),6.0)</f>
        <v>6</v>
      </c>
      <c r="H70" s="7">
        <f t="shared" si="1"/>
        <v>4</v>
      </c>
      <c r="I70" s="8">
        <f t="shared" si="2"/>
        <v>4</v>
      </c>
      <c r="J70" s="7">
        <v>7.0</v>
      </c>
    </row>
    <row r="71">
      <c r="A71" s="1">
        <v>69.0</v>
      </c>
      <c r="B71" s="1" t="s">
        <v>155</v>
      </c>
      <c r="C71" s="1" t="s">
        <v>20</v>
      </c>
      <c r="D71" s="1" t="s">
        <v>156</v>
      </c>
      <c r="E71" s="1">
        <v>9.0</v>
      </c>
      <c r="F71" s="6">
        <v>4.07568809986114E15</v>
      </c>
      <c r="G71" s="1">
        <f>IFERROR(__xludf.DUMMYFUNCTION("VALUE(REGEXEXTRACT(D71,""([0-9]+)[ ]*/[ ]*10""))"),6.0)</f>
        <v>6</v>
      </c>
      <c r="H71" s="7">
        <f t="shared" si="1"/>
        <v>3</v>
      </c>
      <c r="I71" s="8">
        <f t="shared" si="2"/>
        <v>3</v>
      </c>
      <c r="J71" s="7">
        <v>8.0</v>
      </c>
    </row>
    <row r="72">
      <c r="A72" s="1">
        <v>70.0</v>
      </c>
      <c r="B72" s="1" t="s">
        <v>157</v>
      </c>
      <c r="C72" s="1" t="s">
        <v>23</v>
      </c>
      <c r="D72" s="1" t="s">
        <v>158</v>
      </c>
      <c r="E72" s="1">
        <v>2.0</v>
      </c>
      <c r="F72" s="6">
        <v>4.4593774318695E15</v>
      </c>
      <c r="G72" s="1">
        <f>IFERROR(__xludf.DUMMYFUNCTION("VALUE(REGEXEXTRACT(D72,""([0-9]+)[ ]*/[ ]*10""))"),6.0)</f>
        <v>6</v>
      </c>
      <c r="H72" s="7">
        <f t="shared" si="1"/>
        <v>4</v>
      </c>
      <c r="I72" s="8">
        <f t="shared" si="2"/>
        <v>-4</v>
      </c>
      <c r="J72" s="7">
        <v>4.0</v>
      </c>
    </row>
    <row r="73">
      <c r="A73" s="1">
        <v>71.0</v>
      </c>
      <c r="B73" s="1" t="s">
        <v>159</v>
      </c>
      <c r="C73" s="1" t="s">
        <v>14</v>
      </c>
      <c r="D73" s="1" t="s">
        <v>160</v>
      </c>
      <c r="E73" s="1">
        <v>10.0</v>
      </c>
      <c r="F73" s="6">
        <v>5.21466612815856E15</v>
      </c>
      <c r="G73" s="1">
        <f>IFERROR(__xludf.DUMMYFUNCTION("VALUE(REGEXEXTRACT(D73,""([0-9]+)[ ]*/[ ]*10""))"),6.0)</f>
        <v>6</v>
      </c>
      <c r="H73" s="7">
        <f t="shared" si="1"/>
        <v>4</v>
      </c>
      <c r="I73" s="8">
        <f t="shared" si="2"/>
        <v>4</v>
      </c>
      <c r="J73" s="7">
        <v>8.0</v>
      </c>
    </row>
    <row r="74">
      <c r="A74" s="1">
        <v>72.0</v>
      </c>
      <c r="B74" s="1" t="s">
        <v>161</v>
      </c>
      <c r="C74" s="1" t="s">
        <v>17</v>
      </c>
      <c r="D74" s="1" t="s">
        <v>162</v>
      </c>
      <c r="E74" s="1">
        <v>9.0</v>
      </c>
      <c r="F74" s="6">
        <v>4.44135582447052E14</v>
      </c>
      <c r="G74" s="1">
        <f>IFERROR(__xludf.DUMMYFUNCTION("VALUE(REGEXEXTRACT(D74,""([0-9]+)[ ]*/[ ]*10""))"),6.0)</f>
        <v>6</v>
      </c>
      <c r="H74" s="7">
        <f t="shared" si="1"/>
        <v>3</v>
      </c>
      <c r="I74" s="8">
        <f t="shared" si="2"/>
        <v>3</v>
      </c>
      <c r="J74" s="7">
        <v>6.0</v>
      </c>
    </row>
    <row r="75">
      <c r="A75" s="1">
        <v>73.0</v>
      </c>
      <c r="B75" s="1" t="s">
        <v>163</v>
      </c>
      <c r="C75" s="1" t="s">
        <v>20</v>
      </c>
      <c r="D75" s="1" t="s">
        <v>164</v>
      </c>
      <c r="E75" s="1">
        <v>5.0</v>
      </c>
      <c r="F75" s="6">
        <v>4.51754975318908E15</v>
      </c>
      <c r="G75" s="1">
        <f>IFERROR(__xludf.DUMMYFUNCTION("VALUE(REGEXEXTRACT(D75,""([0-9]+)[ ]*/[ ]*10""))"),4.0)</f>
        <v>4</v>
      </c>
      <c r="H75" s="7">
        <f t="shared" si="1"/>
        <v>1</v>
      </c>
      <c r="I75" s="8">
        <f t="shared" si="2"/>
        <v>1</v>
      </c>
      <c r="J75" s="7">
        <v>5.0</v>
      </c>
    </row>
    <row r="76">
      <c r="A76" s="1">
        <v>74.0</v>
      </c>
      <c r="B76" s="1" t="s">
        <v>165</v>
      </c>
      <c r="C76" s="1" t="s">
        <v>23</v>
      </c>
      <c r="D76" s="1" t="s">
        <v>166</v>
      </c>
      <c r="E76" s="1">
        <v>6.0</v>
      </c>
      <c r="F76" s="6">
        <v>3.71925349235534E15</v>
      </c>
      <c r="G76" s="1">
        <f>IFERROR(__xludf.DUMMYFUNCTION("VALUE(REGEXEXTRACT(D76,""([0-9]+)[ ]*/[ ]*10""))"),6.0)</f>
        <v>6</v>
      </c>
      <c r="H76" s="7">
        <f t="shared" si="1"/>
        <v>0</v>
      </c>
      <c r="I76" s="8">
        <f t="shared" si="2"/>
        <v>0</v>
      </c>
      <c r="J76" s="7">
        <v>8.0</v>
      </c>
    </row>
    <row r="77">
      <c r="A77" s="1">
        <v>75.0</v>
      </c>
      <c r="B77" s="1" t="s">
        <v>167</v>
      </c>
      <c r="C77" s="1" t="s">
        <v>14</v>
      </c>
      <c r="D77" s="1" t="s">
        <v>168</v>
      </c>
      <c r="E77" s="1">
        <v>7.0</v>
      </c>
      <c r="F77" s="6">
        <v>4.83940107822418E15</v>
      </c>
      <c r="G77" s="1">
        <f>IFERROR(__xludf.DUMMYFUNCTION("VALUE(REGEXEXTRACT(D77,""([0-9]+)[ ]*/[ ]*10""))"),6.0)</f>
        <v>6</v>
      </c>
      <c r="H77" s="7">
        <f t="shared" si="1"/>
        <v>1</v>
      </c>
      <c r="I77" s="8">
        <f t="shared" si="2"/>
        <v>1</v>
      </c>
      <c r="J77" s="7">
        <v>8.0</v>
      </c>
    </row>
    <row r="78">
      <c r="A78" s="1">
        <v>76.0</v>
      </c>
      <c r="B78" s="1" t="s">
        <v>169</v>
      </c>
      <c r="C78" s="1" t="s">
        <v>17</v>
      </c>
      <c r="D78" s="1" t="s">
        <v>170</v>
      </c>
      <c r="E78" s="1">
        <v>9.0</v>
      </c>
      <c r="F78" s="6">
        <v>4.27264504432678E15</v>
      </c>
      <c r="G78" s="1">
        <f>IFERROR(__xludf.DUMMYFUNCTION("VALUE(REGEXEXTRACT(D78,""([0-9]+)[ ]*/[ ]*10""))"),6.0)</f>
        <v>6</v>
      </c>
      <c r="H78" s="7">
        <f t="shared" si="1"/>
        <v>3</v>
      </c>
      <c r="I78" s="8">
        <f t="shared" si="2"/>
        <v>3</v>
      </c>
      <c r="J78" s="7">
        <v>8.0</v>
      </c>
    </row>
    <row r="79">
      <c r="A79" s="1">
        <v>77.0</v>
      </c>
      <c r="B79" s="1" t="s">
        <v>171</v>
      </c>
      <c r="C79" s="1" t="s">
        <v>20</v>
      </c>
      <c r="D79" s="1" t="s">
        <v>172</v>
      </c>
      <c r="E79" s="1">
        <v>5.0</v>
      </c>
      <c r="F79" s="6">
        <v>4.22215704917907E15</v>
      </c>
      <c r="G79" s="1">
        <f>IFERROR(__xludf.DUMMYFUNCTION("VALUE(REGEXEXTRACT(D79,""([0-9]+)[ ]*/[ ]*10""))"),6.0)</f>
        <v>6</v>
      </c>
      <c r="H79" s="7">
        <f t="shared" si="1"/>
        <v>1</v>
      </c>
      <c r="I79" s="8">
        <f t="shared" si="2"/>
        <v>-1</v>
      </c>
      <c r="J79" s="7">
        <v>8.0</v>
      </c>
    </row>
    <row r="80">
      <c r="A80" s="1">
        <v>78.0</v>
      </c>
      <c r="B80" s="1" t="s">
        <v>173</v>
      </c>
      <c r="C80" s="1" t="s">
        <v>23</v>
      </c>
      <c r="D80" s="1" t="s">
        <v>174</v>
      </c>
      <c r="E80" s="1">
        <v>7.0</v>
      </c>
      <c r="F80" s="6">
        <v>4.45545885562896E15</v>
      </c>
      <c r="G80" s="1">
        <f>IFERROR(__xludf.DUMMYFUNCTION("VALUE(REGEXEXTRACT(D80,""([0-9]+)[ ]*/[ ]*10""))"),7.0)</f>
        <v>7</v>
      </c>
      <c r="H80" s="7">
        <f t="shared" si="1"/>
        <v>0</v>
      </c>
      <c r="I80" s="8">
        <f t="shared" si="2"/>
        <v>0</v>
      </c>
      <c r="J80" s="7">
        <v>8.0</v>
      </c>
    </row>
    <row r="81">
      <c r="A81" s="1">
        <v>79.0</v>
      </c>
      <c r="B81" s="1" t="s">
        <v>175</v>
      </c>
      <c r="C81" s="1" t="s">
        <v>14</v>
      </c>
      <c r="D81" s="1" t="s">
        <v>176</v>
      </c>
      <c r="E81" s="1">
        <v>7.0</v>
      </c>
      <c r="F81" s="6">
        <v>4.20516080856323E16</v>
      </c>
      <c r="G81" s="1">
        <f>IFERROR(__xludf.DUMMYFUNCTION("VALUE(REGEXEXTRACT(D81,""([0-9]+)[ ]*/[ ]*10""))"),6.0)</f>
        <v>6</v>
      </c>
      <c r="H81" s="7">
        <f t="shared" si="1"/>
        <v>1</v>
      </c>
      <c r="I81" s="8">
        <f t="shared" si="2"/>
        <v>1</v>
      </c>
      <c r="J81" s="7">
        <v>7.0</v>
      </c>
    </row>
    <row r="82">
      <c r="A82" s="1">
        <v>80.0</v>
      </c>
      <c r="B82" s="1" t="s">
        <v>177</v>
      </c>
      <c r="C82" s="1" t="s">
        <v>17</v>
      </c>
      <c r="D82" s="1" t="s">
        <v>178</v>
      </c>
      <c r="E82" s="1">
        <v>10.0</v>
      </c>
      <c r="F82" s="6">
        <v>4.8679942369461E15</v>
      </c>
      <c r="G82" s="1">
        <f>IFERROR(__xludf.DUMMYFUNCTION("VALUE(REGEXEXTRACT(D82,""([0-9]+)[ ]*/[ ]*10""))"),7.0)</f>
        <v>7</v>
      </c>
      <c r="H82" s="7">
        <f t="shared" si="1"/>
        <v>3</v>
      </c>
      <c r="I82" s="8">
        <f t="shared" si="2"/>
        <v>3</v>
      </c>
      <c r="J82" s="7">
        <v>8.0</v>
      </c>
    </row>
    <row r="83">
      <c r="A83" s="1">
        <v>81.0</v>
      </c>
      <c r="B83" s="1" t="s">
        <v>179</v>
      </c>
      <c r="C83" s="1" t="s">
        <v>20</v>
      </c>
      <c r="D83" s="1" t="s">
        <v>180</v>
      </c>
      <c r="E83" s="1">
        <v>6.0</v>
      </c>
      <c r="F83" s="6">
        <v>3.85060379505157E15</v>
      </c>
      <c r="G83" s="1">
        <f>IFERROR(__xludf.DUMMYFUNCTION("VALUE(REGEXEXTRACT(D83,""([0-9]+)[ ]*/[ ]*10""))"),7.0)</f>
        <v>7</v>
      </c>
      <c r="H83" s="7">
        <f t="shared" si="1"/>
        <v>1</v>
      </c>
      <c r="I83" s="8">
        <f t="shared" si="2"/>
        <v>-1</v>
      </c>
      <c r="J83" s="7">
        <v>6.0</v>
      </c>
    </row>
    <row r="84">
      <c r="A84" s="1">
        <v>82.0</v>
      </c>
      <c r="B84" s="1" t="s">
        <v>181</v>
      </c>
      <c r="C84" s="1" t="s">
        <v>23</v>
      </c>
      <c r="D84" s="1" t="s">
        <v>182</v>
      </c>
      <c r="E84" s="1">
        <v>5.0</v>
      </c>
      <c r="F84" s="6">
        <v>3.38915257453918E16</v>
      </c>
      <c r="G84" s="1">
        <f>IFERROR(__xludf.DUMMYFUNCTION("VALUE(REGEXEXTRACT(D84,""([0-9]+)[ ]*/[ ]*10""))"),6.0)</f>
        <v>6</v>
      </c>
      <c r="H84" s="7">
        <f t="shared" si="1"/>
        <v>1</v>
      </c>
      <c r="I84" s="8">
        <f t="shared" si="2"/>
        <v>-1</v>
      </c>
      <c r="J84" s="7">
        <v>8.0</v>
      </c>
    </row>
    <row r="85">
      <c r="A85" s="1">
        <v>83.0</v>
      </c>
      <c r="B85" s="1" t="s">
        <v>183</v>
      </c>
      <c r="C85" s="1" t="s">
        <v>14</v>
      </c>
      <c r="D85" s="1" t="s">
        <v>184</v>
      </c>
      <c r="E85" s="1">
        <v>10.0</v>
      </c>
      <c r="F85" s="6">
        <v>5.33517658710479E16</v>
      </c>
      <c r="G85" s="1">
        <f>IFERROR(__xludf.DUMMYFUNCTION("VALUE(REGEXEXTRACT(D85,""([0-9]+)[ ]*/[ ]*10""))"),6.0)</f>
        <v>6</v>
      </c>
      <c r="H85" s="7">
        <f t="shared" si="1"/>
        <v>4</v>
      </c>
      <c r="I85" s="8">
        <f t="shared" si="2"/>
        <v>4</v>
      </c>
      <c r="J85" s="7">
        <v>7.0</v>
      </c>
    </row>
    <row r="86">
      <c r="A86" s="1">
        <v>84.0</v>
      </c>
      <c r="B86" s="1" t="s">
        <v>185</v>
      </c>
      <c r="C86" s="1" t="s">
        <v>17</v>
      </c>
      <c r="D86" s="1" t="s">
        <v>186</v>
      </c>
      <c r="E86" s="1">
        <v>10.0</v>
      </c>
      <c r="F86" s="6">
        <v>4.72968842983245E16</v>
      </c>
      <c r="G86" s="1">
        <f>IFERROR(__xludf.DUMMYFUNCTION("VALUE(REGEXEXTRACT(D86,""([0-9]+)[ ]*/[ ]*10""))"),6.0)</f>
        <v>6</v>
      </c>
      <c r="H86" s="7">
        <f t="shared" si="1"/>
        <v>4</v>
      </c>
      <c r="I86" s="8">
        <f t="shared" si="2"/>
        <v>4</v>
      </c>
      <c r="J86" s="7">
        <v>4.0</v>
      </c>
    </row>
    <row r="87">
      <c r="A87" s="1">
        <v>85.0</v>
      </c>
      <c r="B87" s="1" t="s">
        <v>187</v>
      </c>
      <c r="C87" s="1" t="s">
        <v>20</v>
      </c>
      <c r="D87" s="1" t="s">
        <v>188</v>
      </c>
      <c r="E87" s="1">
        <v>8.0</v>
      </c>
      <c r="F87" s="6">
        <v>4.32195088863372E15</v>
      </c>
      <c r="G87" s="1">
        <f>IFERROR(__xludf.DUMMYFUNCTION("VALUE(REGEXEXTRACT(D87,""([0-9]+)[ ]*/[ ]*10""))"),7.0)</f>
        <v>7</v>
      </c>
      <c r="H87" s="7">
        <f t="shared" si="1"/>
        <v>1</v>
      </c>
      <c r="I87" s="8">
        <f t="shared" si="2"/>
        <v>1</v>
      </c>
      <c r="J87" s="7">
        <v>8.0</v>
      </c>
    </row>
    <row r="88">
      <c r="A88" s="1">
        <v>86.0</v>
      </c>
      <c r="B88" s="1" t="s">
        <v>189</v>
      </c>
      <c r="C88" s="1" t="s">
        <v>23</v>
      </c>
      <c r="D88" s="1" t="s">
        <v>190</v>
      </c>
      <c r="E88" s="1">
        <v>6.0</v>
      </c>
      <c r="F88" s="6">
        <v>3.60220651626586E15</v>
      </c>
      <c r="G88" s="1">
        <f>IFERROR(__xludf.DUMMYFUNCTION("VALUE(REGEXEXTRACT(D88,""([0-9]+)[ ]*/[ ]*10""))"),7.0)</f>
        <v>7</v>
      </c>
      <c r="H88" s="7">
        <f t="shared" si="1"/>
        <v>1</v>
      </c>
      <c r="I88" s="8">
        <f t="shared" si="2"/>
        <v>-1</v>
      </c>
      <c r="J88" s="7">
        <v>8.0</v>
      </c>
    </row>
    <row r="89">
      <c r="A89" s="1">
        <v>87.0</v>
      </c>
      <c r="B89" s="1" t="s">
        <v>191</v>
      </c>
      <c r="C89" s="1" t="s">
        <v>14</v>
      </c>
      <c r="D89" s="1" t="s">
        <v>192</v>
      </c>
      <c r="E89" s="1">
        <v>6.0</v>
      </c>
      <c r="F89" s="6">
        <v>4.70006620883941E16</v>
      </c>
      <c r="G89" s="1">
        <f>IFERROR(__xludf.DUMMYFUNCTION("VALUE(REGEXEXTRACT(D89,""([0-9]+)[ ]*/[ ]*10""))"),6.0)</f>
        <v>6</v>
      </c>
      <c r="H89" s="7">
        <f t="shared" si="1"/>
        <v>0</v>
      </c>
      <c r="I89" s="8">
        <f t="shared" si="2"/>
        <v>0</v>
      </c>
      <c r="J89" s="7">
        <v>7.0</v>
      </c>
    </row>
    <row r="90">
      <c r="A90" s="1">
        <v>88.0</v>
      </c>
      <c r="B90" s="1" t="s">
        <v>193</v>
      </c>
      <c r="C90" s="1" t="s">
        <v>17</v>
      </c>
      <c r="D90" s="1" t="s">
        <v>194</v>
      </c>
      <c r="E90" s="1">
        <v>4.0</v>
      </c>
      <c r="F90" s="6">
        <v>4.91860964298248E15</v>
      </c>
      <c r="G90" s="1">
        <f>IFERROR(__xludf.DUMMYFUNCTION("VALUE(REGEXEXTRACT(D90,""([0-9]+)[ ]*/[ ]*10""))"),4.0)</f>
        <v>4</v>
      </c>
      <c r="H90" s="7">
        <f t="shared" si="1"/>
        <v>0</v>
      </c>
      <c r="I90" s="8">
        <f t="shared" si="2"/>
        <v>0</v>
      </c>
      <c r="J90" s="7">
        <v>8.0</v>
      </c>
    </row>
    <row r="91">
      <c r="A91" s="1">
        <v>89.0</v>
      </c>
      <c r="B91" s="1" t="s">
        <v>195</v>
      </c>
      <c r="C91" s="1" t="s">
        <v>20</v>
      </c>
      <c r="D91" s="1" t="s">
        <v>196</v>
      </c>
      <c r="E91" s="1">
        <v>4.0</v>
      </c>
      <c r="F91" s="6">
        <v>4.00299518108367E15</v>
      </c>
      <c r="G91" s="1">
        <f>IFERROR(__xludf.DUMMYFUNCTION("VALUE(REGEXEXTRACT(D91,""([0-9]+)[ ]*/[ ]*10""))"),6.0)</f>
        <v>6</v>
      </c>
      <c r="H91" s="7">
        <f t="shared" si="1"/>
        <v>2</v>
      </c>
      <c r="I91" s="8">
        <f t="shared" si="2"/>
        <v>-2</v>
      </c>
      <c r="J91" s="7">
        <v>7.0</v>
      </c>
    </row>
    <row r="92">
      <c r="A92" s="1">
        <v>90.0</v>
      </c>
      <c r="B92" s="1" t="s">
        <v>197</v>
      </c>
      <c r="C92" s="1" t="s">
        <v>23</v>
      </c>
      <c r="D92" s="1" t="s">
        <v>198</v>
      </c>
      <c r="E92" s="1">
        <v>4.0</v>
      </c>
      <c r="F92" s="6">
        <v>4.82031800746917E15</v>
      </c>
      <c r="G92" s="1">
        <f>IFERROR(__xludf.DUMMYFUNCTION("VALUE(REGEXEXTRACT(D92,""([0-9]+)[ ]*/[ ]*10""))"),4.0)</f>
        <v>4</v>
      </c>
      <c r="H92" s="7">
        <f t="shared" si="1"/>
        <v>0</v>
      </c>
      <c r="I92" s="8">
        <f t="shared" si="2"/>
        <v>0</v>
      </c>
      <c r="J92" s="7">
        <v>7.0</v>
      </c>
    </row>
    <row r="93">
      <c r="A93" s="1">
        <v>91.0</v>
      </c>
      <c r="B93" s="1" t="s">
        <v>199</v>
      </c>
      <c r="C93" s="1" t="s">
        <v>14</v>
      </c>
      <c r="D93" s="1" t="s">
        <v>200</v>
      </c>
      <c r="E93" s="1">
        <v>6.0</v>
      </c>
      <c r="F93" s="6">
        <v>4.18329017162323E14</v>
      </c>
      <c r="G93" s="1">
        <f>IFERROR(__xludf.DUMMYFUNCTION("VALUE(REGEXEXTRACT(D93,""([0-9]+)[ ]*/[ ]*10""))"),6.0)</f>
        <v>6</v>
      </c>
      <c r="H93" s="7">
        <f t="shared" si="1"/>
        <v>0</v>
      </c>
      <c r="I93" s="8">
        <f t="shared" si="2"/>
        <v>0</v>
      </c>
      <c r="J93" s="7">
        <v>4.0</v>
      </c>
    </row>
    <row r="94">
      <c r="A94" s="1">
        <v>92.0</v>
      </c>
      <c r="B94" s="1" t="s">
        <v>201</v>
      </c>
      <c r="C94" s="1" t="s">
        <v>17</v>
      </c>
      <c r="D94" s="1" t="s">
        <v>202</v>
      </c>
      <c r="E94" s="1">
        <v>4.0</v>
      </c>
      <c r="F94" s="6">
        <v>4.86371505260467E15</v>
      </c>
      <c r="G94" s="1">
        <f>IFERROR(__xludf.DUMMYFUNCTION("VALUE(REGEXEXTRACT(D94,""([0-9]+)[ ]*/[ ]*10""))"),4.0)</f>
        <v>4</v>
      </c>
      <c r="H94" s="7">
        <f t="shared" si="1"/>
        <v>0</v>
      </c>
      <c r="I94" s="8">
        <f t="shared" si="2"/>
        <v>0</v>
      </c>
      <c r="J94" s="7">
        <v>4.0</v>
      </c>
    </row>
    <row r="95">
      <c r="A95" s="1">
        <v>93.0</v>
      </c>
      <c r="B95" s="1" t="s">
        <v>203</v>
      </c>
      <c r="C95" s="1" t="s">
        <v>20</v>
      </c>
      <c r="D95" s="1" t="s">
        <v>204</v>
      </c>
      <c r="E95" s="1">
        <v>5.0</v>
      </c>
      <c r="F95" s="6">
        <v>4.61023261547088E15</v>
      </c>
      <c r="G95" s="1">
        <f>IFERROR(__xludf.DUMMYFUNCTION("VALUE(REGEXEXTRACT(D95,""([0-9]+)[ ]*/[ ]*10""))"),6.0)</f>
        <v>6</v>
      </c>
      <c r="H95" s="7">
        <f t="shared" si="1"/>
        <v>1</v>
      </c>
      <c r="I95" s="8">
        <f t="shared" si="2"/>
        <v>-1</v>
      </c>
      <c r="J95" s="7">
        <v>5.0</v>
      </c>
    </row>
    <row r="96">
      <c r="A96" s="1">
        <v>94.0</v>
      </c>
      <c r="B96" s="1" t="s">
        <v>205</v>
      </c>
      <c r="C96" s="1" t="s">
        <v>23</v>
      </c>
      <c r="D96" s="1" t="s">
        <v>206</v>
      </c>
      <c r="E96" s="1">
        <v>2.0</v>
      </c>
      <c r="F96" s="6">
        <v>4.94440295696258E16</v>
      </c>
      <c r="G96" s="1">
        <f>IFERROR(__xludf.DUMMYFUNCTION("VALUE(REGEXEXTRACT(D96,""([0-9]+)[ ]*/[ ]*10""))"),6.0)</f>
        <v>6</v>
      </c>
      <c r="H96" s="7">
        <f t="shared" si="1"/>
        <v>4</v>
      </c>
      <c r="I96" s="8">
        <f t="shared" si="2"/>
        <v>-4</v>
      </c>
      <c r="J96" s="7">
        <v>6.0</v>
      </c>
    </row>
    <row r="97">
      <c r="A97" s="1">
        <v>95.0</v>
      </c>
      <c r="B97" s="1" t="s">
        <v>207</v>
      </c>
      <c r="C97" s="1" t="s">
        <v>14</v>
      </c>
      <c r="D97" s="1" t="s">
        <v>208</v>
      </c>
      <c r="E97" s="1">
        <v>5.0</v>
      </c>
      <c r="F97" s="6">
        <v>4.72201724052429E15</v>
      </c>
      <c r="G97" s="1">
        <f>IFERROR(__xludf.DUMMYFUNCTION("VALUE(REGEXEXTRACT(D97,""([0-9]+)[ ]*/[ ]*10""))"),8.0)</f>
        <v>8</v>
      </c>
      <c r="H97" s="7">
        <f t="shared" si="1"/>
        <v>3</v>
      </c>
      <c r="I97" s="8">
        <f t="shared" si="2"/>
        <v>-3</v>
      </c>
      <c r="J97" s="7">
        <v>6.0</v>
      </c>
    </row>
    <row r="98">
      <c r="A98" s="1">
        <v>96.0</v>
      </c>
      <c r="B98" s="1" t="s">
        <v>209</v>
      </c>
      <c r="C98" s="1" t="s">
        <v>17</v>
      </c>
      <c r="D98" s="1" t="s">
        <v>210</v>
      </c>
      <c r="E98" s="1">
        <v>9.0</v>
      </c>
      <c r="F98" s="6">
        <v>4.03530316352844E16</v>
      </c>
      <c r="G98" s="1">
        <f>IFERROR(__xludf.DUMMYFUNCTION("VALUE(REGEXEXTRACT(D98,""([0-9]+)[ ]*/[ ]*10""))"),6.0)</f>
        <v>6</v>
      </c>
      <c r="H98" s="7">
        <f t="shared" si="1"/>
        <v>3</v>
      </c>
      <c r="I98" s="8">
        <f t="shared" si="2"/>
        <v>3</v>
      </c>
      <c r="J98" s="7">
        <v>5.0</v>
      </c>
    </row>
    <row r="99">
      <c r="A99" s="1">
        <v>97.0</v>
      </c>
      <c r="B99" s="1" t="s">
        <v>211</v>
      </c>
      <c r="C99" s="1" t="s">
        <v>20</v>
      </c>
      <c r="D99" s="1" t="s">
        <v>212</v>
      </c>
      <c r="E99" s="1">
        <v>6.0</v>
      </c>
      <c r="F99" s="6">
        <v>4.36926841735839E16</v>
      </c>
      <c r="G99" s="1">
        <f>IFERROR(__xludf.DUMMYFUNCTION("VALUE(REGEXEXTRACT(D99,""([0-9]+)[ ]*/[ ]*10""))"),6.0)</f>
        <v>6</v>
      </c>
      <c r="H99" s="7">
        <f t="shared" si="1"/>
        <v>0</v>
      </c>
      <c r="I99" s="8">
        <f t="shared" si="2"/>
        <v>0</v>
      </c>
      <c r="J99" s="7">
        <v>8.0</v>
      </c>
    </row>
    <row r="100">
      <c r="A100" s="1">
        <v>98.0</v>
      </c>
      <c r="B100" s="1" t="s">
        <v>213</v>
      </c>
      <c r="C100" s="1" t="s">
        <v>23</v>
      </c>
      <c r="D100" s="1" t="s">
        <v>214</v>
      </c>
      <c r="E100" s="1">
        <v>3.0</v>
      </c>
      <c r="F100" s="6">
        <v>3.90193345546722E15</v>
      </c>
      <c r="G100" s="1">
        <f>IFERROR(__xludf.DUMMYFUNCTION("VALUE(REGEXEXTRACT(D100,""([0-9]+)[ ]*/[ ]*10""))"),6.0)</f>
        <v>6</v>
      </c>
      <c r="H100" s="7">
        <f t="shared" si="1"/>
        <v>3</v>
      </c>
      <c r="I100" s="8">
        <f t="shared" si="2"/>
        <v>-3</v>
      </c>
      <c r="J100" s="7">
        <v>8.0</v>
      </c>
    </row>
    <row r="101">
      <c r="A101" s="1">
        <v>99.0</v>
      </c>
      <c r="B101" s="1" t="s">
        <v>215</v>
      </c>
      <c r="C101" s="1" t="s">
        <v>14</v>
      </c>
      <c r="D101" s="1" t="s">
        <v>216</v>
      </c>
      <c r="E101" s="1">
        <v>9.0</v>
      </c>
      <c r="F101" s="6">
        <v>3.95312042236328E15</v>
      </c>
      <c r="G101" s="1">
        <f>IFERROR(__xludf.DUMMYFUNCTION("VALUE(REGEXEXTRACT(D101,""([0-9]+)[ ]*/[ ]*10""))"),7.0)</f>
        <v>7</v>
      </c>
      <c r="H101" s="7">
        <f t="shared" si="1"/>
        <v>2</v>
      </c>
      <c r="I101" s="8">
        <f t="shared" si="2"/>
        <v>2</v>
      </c>
      <c r="J101" s="7">
        <v>8.0</v>
      </c>
    </row>
    <row r="102">
      <c r="A102" s="1">
        <v>100.0</v>
      </c>
      <c r="B102" s="1" t="s">
        <v>217</v>
      </c>
      <c r="C102" s="1" t="s">
        <v>17</v>
      </c>
      <c r="D102" s="1" t="s">
        <v>218</v>
      </c>
      <c r="E102" s="1">
        <v>5.0</v>
      </c>
      <c r="F102" s="6">
        <v>6.25454416275024E15</v>
      </c>
      <c r="G102" s="1">
        <f>IFERROR(__xludf.DUMMYFUNCTION("VALUE(REGEXEXTRACT(D102,""([0-9]+)[ ]*/[ ]*10""))"),6.0)</f>
        <v>6</v>
      </c>
      <c r="H102" s="7">
        <f t="shared" si="1"/>
        <v>1</v>
      </c>
      <c r="I102" s="8">
        <f t="shared" si="2"/>
        <v>-1</v>
      </c>
      <c r="J102" s="7">
        <v>4.0</v>
      </c>
    </row>
    <row r="103">
      <c r="A103" s="1">
        <v>101.0</v>
      </c>
      <c r="B103" s="1" t="s">
        <v>219</v>
      </c>
      <c r="C103" s="1" t="s">
        <v>20</v>
      </c>
      <c r="D103" s="1" t="s">
        <v>220</v>
      </c>
      <c r="E103" s="1">
        <v>3.0</v>
      </c>
      <c r="F103" s="6">
        <v>3.87540562152862E16</v>
      </c>
      <c r="G103" s="1">
        <f>IFERROR(__xludf.DUMMYFUNCTION("VALUE(REGEXEXTRACT(D103,""([0-9]+)[ ]*/[ ]*10""))"),4.0)</f>
        <v>4</v>
      </c>
      <c r="H103" s="7">
        <f t="shared" si="1"/>
        <v>1</v>
      </c>
      <c r="I103" s="8">
        <f t="shared" si="2"/>
        <v>-1</v>
      </c>
      <c r="J103" s="7">
        <v>8.0</v>
      </c>
    </row>
    <row r="104">
      <c r="A104" s="1">
        <v>102.0</v>
      </c>
      <c r="B104" s="1" t="s">
        <v>221</v>
      </c>
      <c r="C104" s="1" t="s">
        <v>23</v>
      </c>
      <c r="D104" s="1" t="s">
        <v>222</v>
      </c>
      <c r="E104" s="1">
        <v>7.0</v>
      </c>
      <c r="F104" s="6">
        <v>3.68304431438446E16</v>
      </c>
      <c r="G104" s="1">
        <f>IFERROR(__xludf.DUMMYFUNCTION("VALUE(REGEXEXTRACT(D104,""([0-9]+)[ ]*/[ ]*10""))"),7.0)</f>
        <v>7</v>
      </c>
      <c r="H104" s="7">
        <f t="shared" si="1"/>
        <v>0</v>
      </c>
      <c r="I104" s="8">
        <f t="shared" si="2"/>
        <v>0</v>
      </c>
      <c r="J104" s="7">
        <v>7.0</v>
      </c>
    </row>
    <row r="105">
      <c r="A105" s="1">
        <v>103.0</v>
      </c>
      <c r="B105" s="1" t="s">
        <v>223</v>
      </c>
      <c r="C105" s="1" t="s">
        <v>14</v>
      </c>
      <c r="D105" s="1" t="s">
        <v>224</v>
      </c>
      <c r="E105" s="1">
        <v>9.0</v>
      </c>
      <c r="F105" s="6">
        <v>3.71182475090026E16</v>
      </c>
      <c r="G105" s="1">
        <f>IFERROR(__xludf.DUMMYFUNCTION("VALUE(REGEXEXTRACT(D105,""([0-9]+)[ ]*/[ ]*10""))"),6.0)</f>
        <v>6</v>
      </c>
      <c r="H105" s="7">
        <f t="shared" si="1"/>
        <v>3</v>
      </c>
      <c r="I105" s="8">
        <f t="shared" si="2"/>
        <v>3</v>
      </c>
      <c r="J105" s="7">
        <v>8.0</v>
      </c>
    </row>
    <row r="106">
      <c r="A106" s="1">
        <v>104.0</v>
      </c>
      <c r="B106" s="1" t="s">
        <v>225</v>
      </c>
      <c r="C106" s="1" t="s">
        <v>17</v>
      </c>
      <c r="D106" s="1" t="s">
        <v>226</v>
      </c>
      <c r="E106" s="1">
        <v>8.0</v>
      </c>
      <c r="F106" s="6">
        <v>3.90890522003173E15</v>
      </c>
      <c r="G106" s="1">
        <f>IFERROR(__xludf.DUMMYFUNCTION("VALUE(REGEXEXTRACT(D106,""([0-9]+)[ ]*/[ ]*10""))"),6.0)</f>
        <v>6</v>
      </c>
      <c r="H106" s="7">
        <f t="shared" si="1"/>
        <v>2</v>
      </c>
      <c r="I106" s="8">
        <f t="shared" si="2"/>
        <v>2</v>
      </c>
      <c r="J106" s="7">
        <v>4.0</v>
      </c>
    </row>
    <row r="107">
      <c r="A107" s="1">
        <v>105.0</v>
      </c>
      <c r="B107" s="1" t="s">
        <v>227</v>
      </c>
      <c r="C107" s="1" t="s">
        <v>20</v>
      </c>
      <c r="D107" s="1" t="s">
        <v>228</v>
      </c>
      <c r="E107" s="1">
        <v>2.0</v>
      </c>
      <c r="F107" s="6">
        <v>3.82133898735046E15</v>
      </c>
      <c r="G107" s="1">
        <f>IFERROR(__xludf.DUMMYFUNCTION("VALUE(REGEXEXTRACT(D107,""([0-9]+)[ ]*/[ ]*10""))"),6.0)</f>
        <v>6</v>
      </c>
      <c r="H107" s="7">
        <f t="shared" si="1"/>
        <v>4</v>
      </c>
      <c r="I107" s="8">
        <f t="shared" si="2"/>
        <v>-4</v>
      </c>
      <c r="J107" s="7">
        <v>4.0</v>
      </c>
    </row>
    <row r="108">
      <c r="A108" s="1">
        <v>106.0</v>
      </c>
      <c r="B108" s="1" t="s">
        <v>229</v>
      </c>
      <c r="C108" s="1" t="s">
        <v>14</v>
      </c>
      <c r="D108" s="1" t="s">
        <v>230</v>
      </c>
      <c r="E108" s="1">
        <v>9.0</v>
      </c>
      <c r="F108" s="6">
        <v>5.2013787984848E15</v>
      </c>
      <c r="G108" s="1">
        <f>IFERROR(__xludf.DUMMYFUNCTION("VALUE(REGEXEXTRACT(D108,""([0-9]+)[ ]*/[ ]*10""))"),6.0)</f>
        <v>6</v>
      </c>
      <c r="H108" s="7">
        <f t="shared" si="1"/>
        <v>3</v>
      </c>
      <c r="I108" s="8">
        <f t="shared" si="2"/>
        <v>3</v>
      </c>
      <c r="J108" s="7">
        <v>8.0</v>
      </c>
    </row>
    <row r="109">
      <c r="A109" s="1">
        <v>107.0</v>
      </c>
      <c r="B109" s="1" t="s">
        <v>231</v>
      </c>
      <c r="C109" s="1" t="s">
        <v>17</v>
      </c>
      <c r="D109" s="1" t="s">
        <v>232</v>
      </c>
      <c r="E109" s="1">
        <v>8.0</v>
      </c>
      <c r="F109" s="6">
        <v>3.92129077911376E16</v>
      </c>
      <c r="G109" s="1">
        <f>IFERROR(__xludf.DUMMYFUNCTION("VALUE(REGEXEXTRACT(D109,""([0-9]+)[ ]*/[ ]*10""))"),6.0)</f>
        <v>6</v>
      </c>
      <c r="H109" s="7">
        <f t="shared" si="1"/>
        <v>2</v>
      </c>
      <c r="I109" s="8">
        <f t="shared" si="2"/>
        <v>2</v>
      </c>
      <c r="J109" s="7">
        <v>5.0</v>
      </c>
    </row>
    <row r="110">
      <c r="A110" s="1">
        <v>108.0</v>
      </c>
      <c r="B110" s="1" t="s">
        <v>233</v>
      </c>
      <c r="C110" s="1" t="s">
        <v>20</v>
      </c>
      <c r="D110" s="1" t="s">
        <v>234</v>
      </c>
      <c r="E110" s="1">
        <v>7.0</v>
      </c>
      <c r="F110" s="6">
        <v>4.95169672966003E15</v>
      </c>
      <c r="G110" s="1">
        <f>IFERROR(__xludf.DUMMYFUNCTION("VALUE(REGEXEXTRACT(D110,""([0-9]+)[ ]*/[ ]*10""))"),6.0)</f>
        <v>6</v>
      </c>
      <c r="H110" s="7">
        <f t="shared" si="1"/>
        <v>1</v>
      </c>
      <c r="I110" s="8">
        <f t="shared" si="2"/>
        <v>1</v>
      </c>
      <c r="J110" s="7">
        <v>8.0</v>
      </c>
    </row>
    <row r="111">
      <c r="A111" s="1">
        <v>109.0</v>
      </c>
      <c r="B111" s="1" t="s">
        <v>235</v>
      </c>
      <c r="C111" s="1" t="s">
        <v>23</v>
      </c>
      <c r="D111" s="1" t="s">
        <v>236</v>
      </c>
      <c r="E111" s="1">
        <v>7.0</v>
      </c>
      <c r="F111" s="6">
        <v>4.22834291458129E15</v>
      </c>
      <c r="G111" s="1">
        <f>IFERROR(__xludf.DUMMYFUNCTION("VALUE(REGEXEXTRACT(D111,""([0-9]+)[ ]*/[ ]*10""))"),6.0)</f>
        <v>6</v>
      </c>
      <c r="H111" s="7">
        <f t="shared" si="1"/>
        <v>1</v>
      </c>
      <c r="I111" s="8">
        <f t="shared" si="2"/>
        <v>1</v>
      </c>
      <c r="J111" s="7">
        <v>8.0</v>
      </c>
    </row>
    <row r="112">
      <c r="A112" s="1">
        <v>110.0</v>
      </c>
      <c r="B112" s="1" t="s">
        <v>237</v>
      </c>
      <c r="C112" s="1" t="s">
        <v>14</v>
      </c>
      <c r="D112" s="1" t="s">
        <v>238</v>
      </c>
      <c r="E112" s="1">
        <v>8.0</v>
      </c>
      <c r="F112" s="6">
        <v>4.85578796863555E15</v>
      </c>
      <c r="G112" s="1">
        <f>IFERROR(__xludf.DUMMYFUNCTION("VALUE(REGEXEXTRACT(D112,""([0-9]+)[ ]*/[ ]*10""))"),6.0)</f>
        <v>6</v>
      </c>
      <c r="H112" s="7">
        <f t="shared" si="1"/>
        <v>2</v>
      </c>
      <c r="I112" s="8">
        <f t="shared" si="2"/>
        <v>2</v>
      </c>
      <c r="J112" s="7">
        <v>4.0</v>
      </c>
    </row>
    <row r="113">
      <c r="A113" s="1">
        <v>111.0</v>
      </c>
      <c r="B113" s="1" t="s">
        <v>239</v>
      </c>
      <c r="C113" s="1" t="s">
        <v>17</v>
      </c>
      <c r="D113" s="1" t="s">
        <v>240</v>
      </c>
      <c r="E113" s="1">
        <v>8.0</v>
      </c>
      <c r="F113" s="6">
        <v>4.89849693775177E14</v>
      </c>
      <c r="G113" s="1">
        <f>IFERROR(__xludf.DUMMYFUNCTION("VALUE(REGEXEXTRACT(D113,""([0-9]+)[ ]*/[ ]*10""))"),6.0)</f>
        <v>6</v>
      </c>
      <c r="H113" s="7">
        <f t="shared" si="1"/>
        <v>2</v>
      </c>
      <c r="I113" s="8">
        <f t="shared" si="2"/>
        <v>2</v>
      </c>
      <c r="J113" s="7">
        <v>7.0</v>
      </c>
    </row>
    <row r="114">
      <c r="A114" s="1">
        <v>112.0</v>
      </c>
      <c r="B114" s="1" t="s">
        <v>241</v>
      </c>
      <c r="C114" s="1" t="s">
        <v>20</v>
      </c>
      <c r="D114" s="1" t="s">
        <v>242</v>
      </c>
      <c r="E114" s="1">
        <v>3.0</v>
      </c>
      <c r="F114" s="6">
        <v>3.91154172420501E15</v>
      </c>
      <c r="G114" s="1">
        <f>IFERROR(__xludf.DUMMYFUNCTION("VALUE(REGEXEXTRACT(D114,""([0-9]+)[ ]*/[ ]*10""))"),6.0)</f>
        <v>6</v>
      </c>
      <c r="H114" s="7">
        <f t="shared" si="1"/>
        <v>3</v>
      </c>
      <c r="I114" s="8">
        <f t="shared" si="2"/>
        <v>-3</v>
      </c>
      <c r="J114" s="7">
        <v>5.0</v>
      </c>
    </row>
    <row r="115">
      <c r="A115" s="1">
        <v>113.0</v>
      </c>
      <c r="B115" s="1" t="s">
        <v>243</v>
      </c>
      <c r="C115" s="1" t="s">
        <v>23</v>
      </c>
      <c r="D115" s="1" t="s">
        <v>244</v>
      </c>
      <c r="E115" s="1">
        <v>2.0</v>
      </c>
      <c r="F115" s="6">
        <v>3.71728770732879E16</v>
      </c>
      <c r="G115" s="1">
        <f>IFERROR(__xludf.DUMMYFUNCTION("VALUE(REGEXEXTRACT(D115,""([0-9]+)[ ]*/[ ]*10""))"),6.0)</f>
        <v>6</v>
      </c>
      <c r="H115" s="7">
        <f t="shared" si="1"/>
        <v>4</v>
      </c>
      <c r="I115" s="8">
        <f t="shared" si="2"/>
        <v>-4</v>
      </c>
      <c r="J115" s="7">
        <v>4.0</v>
      </c>
    </row>
    <row r="116">
      <c r="A116" s="1">
        <v>114.0</v>
      </c>
      <c r="B116" s="1" t="s">
        <v>245</v>
      </c>
      <c r="C116" s="1" t="s">
        <v>14</v>
      </c>
      <c r="D116" s="1" t="s">
        <v>246</v>
      </c>
      <c r="E116" s="1">
        <v>10.0</v>
      </c>
      <c r="F116" s="6">
        <v>4.06294522285461E15</v>
      </c>
      <c r="G116" s="1">
        <f>IFERROR(__xludf.DUMMYFUNCTION("VALUE(REGEXEXTRACT(D116,""([0-9]+)[ ]*/[ ]*10""))"),6.0)</f>
        <v>6</v>
      </c>
      <c r="H116" s="7">
        <f t="shared" si="1"/>
        <v>4</v>
      </c>
      <c r="I116" s="8">
        <f t="shared" si="2"/>
        <v>4</v>
      </c>
      <c r="J116" s="7">
        <v>8.0</v>
      </c>
    </row>
    <row r="117">
      <c r="A117" s="1">
        <v>115.0</v>
      </c>
      <c r="B117" s="1" t="s">
        <v>247</v>
      </c>
      <c r="C117" s="1" t="s">
        <v>17</v>
      </c>
      <c r="D117" s="1" t="s">
        <v>248</v>
      </c>
      <c r="E117" s="1">
        <v>9.0</v>
      </c>
      <c r="F117" s="6">
        <v>5.421000623703E15</v>
      </c>
      <c r="G117" s="1">
        <f>IFERROR(__xludf.DUMMYFUNCTION("VALUE(REGEXEXTRACT(D117,""([0-9]+)[ ]*/[ ]*10""))"),6.0)</f>
        <v>6</v>
      </c>
      <c r="H117" s="7">
        <f t="shared" si="1"/>
        <v>3</v>
      </c>
      <c r="I117" s="8">
        <f t="shared" si="2"/>
        <v>3</v>
      </c>
      <c r="J117" s="7">
        <v>5.0</v>
      </c>
    </row>
    <row r="118">
      <c r="A118" s="1">
        <v>116.0</v>
      </c>
      <c r="B118" s="1" t="s">
        <v>249</v>
      </c>
      <c r="C118" s="1" t="s">
        <v>20</v>
      </c>
      <c r="D118" s="1" t="s">
        <v>250</v>
      </c>
      <c r="E118" s="1">
        <v>5.0</v>
      </c>
      <c r="F118" s="6">
        <v>3.87451174259185E15</v>
      </c>
      <c r="G118" s="1">
        <f>IFERROR(__xludf.DUMMYFUNCTION("VALUE(REGEXEXTRACT(D118,""([0-9]+)[ ]*/[ ]*10""))"),6.0)</f>
        <v>6</v>
      </c>
      <c r="H118" s="7">
        <f t="shared" si="1"/>
        <v>1</v>
      </c>
      <c r="I118" s="8">
        <f t="shared" si="2"/>
        <v>-1</v>
      </c>
      <c r="J118" s="7">
        <v>6.0</v>
      </c>
    </row>
    <row r="119">
      <c r="A119" s="1">
        <v>117.0</v>
      </c>
      <c r="B119" s="1" t="s">
        <v>251</v>
      </c>
      <c r="C119" s="1" t="s">
        <v>23</v>
      </c>
      <c r="D119" s="1" t="s">
        <v>252</v>
      </c>
      <c r="E119" s="1">
        <v>6.0</v>
      </c>
      <c r="F119" s="6">
        <v>4.22012660503387E16</v>
      </c>
      <c r="G119" s="1">
        <f>IFERROR(__xludf.DUMMYFUNCTION("VALUE(REGEXEXTRACT(D119,""([0-9]+)[ ]*/[ ]*10""))"),6.0)</f>
        <v>6</v>
      </c>
      <c r="H119" s="7">
        <f t="shared" si="1"/>
        <v>0</v>
      </c>
      <c r="I119" s="8">
        <f t="shared" si="2"/>
        <v>0</v>
      </c>
      <c r="J119" s="7">
        <v>5.0</v>
      </c>
    </row>
    <row r="120">
      <c r="A120" s="1">
        <v>118.0</v>
      </c>
      <c r="B120" s="1" t="s">
        <v>253</v>
      </c>
      <c r="C120" s="1" t="s">
        <v>14</v>
      </c>
      <c r="D120" s="1" t="s">
        <v>254</v>
      </c>
      <c r="E120" s="1">
        <v>4.0</v>
      </c>
      <c r="F120" s="6">
        <v>4.02179181575775E16</v>
      </c>
      <c r="G120" s="1">
        <f>IFERROR(__xludf.DUMMYFUNCTION("VALUE(REGEXEXTRACT(D120,""([0-9]+)[ ]*/[ ]*10""))"),6.0)</f>
        <v>6</v>
      </c>
      <c r="H120" s="7">
        <f t="shared" si="1"/>
        <v>2</v>
      </c>
      <c r="I120" s="8">
        <f t="shared" si="2"/>
        <v>-2</v>
      </c>
      <c r="J120" s="7">
        <v>8.0</v>
      </c>
    </row>
    <row r="121">
      <c r="A121" s="1">
        <v>119.0</v>
      </c>
      <c r="B121" s="1" t="s">
        <v>255</v>
      </c>
      <c r="C121" s="1" t="s">
        <v>17</v>
      </c>
      <c r="D121" s="1" t="s">
        <v>256</v>
      </c>
      <c r="E121" s="1">
        <v>8.0</v>
      </c>
      <c r="F121" s="6">
        <v>3.48250374794006E16</v>
      </c>
      <c r="G121" s="1">
        <f>IFERROR(__xludf.DUMMYFUNCTION("VALUE(REGEXEXTRACT(D121,""([0-9]+)[ ]*/[ ]*10""))"),6.0)</f>
        <v>6</v>
      </c>
      <c r="H121" s="7">
        <f t="shared" si="1"/>
        <v>2</v>
      </c>
      <c r="I121" s="8">
        <f t="shared" si="2"/>
        <v>2</v>
      </c>
      <c r="J121" s="7">
        <v>8.0</v>
      </c>
    </row>
    <row r="122">
      <c r="A122" s="1">
        <v>120.0</v>
      </c>
      <c r="B122" s="1" t="s">
        <v>257</v>
      </c>
      <c r="C122" s="1" t="s">
        <v>20</v>
      </c>
      <c r="D122" s="1" t="s">
        <v>258</v>
      </c>
      <c r="E122" s="1">
        <v>7.0</v>
      </c>
      <c r="F122" s="6">
        <v>5.40549757480621E16</v>
      </c>
      <c r="G122" s="1">
        <f>IFERROR(__xludf.DUMMYFUNCTION("VALUE(REGEXEXTRACT(D122,""([0-9]+)[ ]*/[ ]*10""))"),7.0)</f>
        <v>7</v>
      </c>
      <c r="H122" s="7">
        <f t="shared" si="1"/>
        <v>0</v>
      </c>
      <c r="I122" s="8">
        <f t="shared" si="2"/>
        <v>0</v>
      </c>
      <c r="J122" s="7">
        <v>8.0</v>
      </c>
    </row>
    <row r="123">
      <c r="A123" s="1">
        <v>121.0</v>
      </c>
      <c r="B123" s="1" t="s">
        <v>259</v>
      </c>
      <c r="C123" s="1" t="s">
        <v>23</v>
      </c>
      <c r="D123" s="1" t="s">
        <v>260</v>
      </c>
      <c r="E123" s="1">
        <v>6.0</v>
      </c>
      <c r="F123" s="6">
        <v>4.73880612850189E15</v>
      </c>
      <c r="G123" s="1">
        <f>IFERROR(__xludf.DUMMYFUNCTION("VALUE(REGEXEXTRACT(D123,""([0-9]+)[ ]*/[ ]*10""))"),7.0)</f>
        <v>7</v>
      </c>
      <c r="H123" s="7">
        <f t="shared" si="1"/>
        <v>1</v>
      </c>
      <c r="I123" s="8">
        <f t="shared" si="2"/>
        <v>-1</v>
      </c>
      <c r="J123" s="7">
        <v>8.0</v>
      </c>
    </row>
    <row r="124">
      <c r="A124" s="1">
        <v>122.0</v>
      </c>
      <c r="B124" s="1" t="s">
        <v>261</v>
      </c>
      <c r="C124" s="1" t="s">
        <v>14</v>
      </c>
      <c r="D124" s="1" t="s">
        <v>262</v>
      </c>
      <c r="E124" s="1">
        <v>8.0</v>
      </c>
      <c r="F124" s="6">
        <v>3.5738668680191E15</v>
      </c>
      <c r="G124" s="1">
        <f>IFERROR(__xludf.DUMMYFUNCTION("VALUE(REGEXEXTRACT(D124,""([0-9]+)[ ]*/[ ]*10""))"),6.0)</f>
        <v>6</v>
      </c>
      <c r="H124" s="7">
        <f t="shared" si="1"/>
        <v>2</v>
      </c>
      <c r="I124" s="8">
        <f t="shared" si="2"/>
        <v>2</v>
      </c>
      <c r="J124" s="7">
        <v>7.0</v>
      </c>
    </row>
    <row r="125">
      <c r="A125" s="1">
        <v>123.0</v>
      </c>
      <c r="B125" s="1" t="s">
        <v>263</v>
      </c>
      <c r="C125" s="1" t="s">
        <v>17</v>
      </c>
      <c r="D125" s="1" t="s">
        <v>264</v>
      </c>
      <c r="E125" s="1">
        <v>8.0</v>
      </c>
      <c r="F125" s="6">
        <v>4.02051308155059E15</v>
      </c>
      <c r="G125" s="1">
        <f>IFERROR(__xludf.DUMMYFUNCTION("VALUE(REGEXEXTRACT(D125,""([0-9]+)[ ]*/[ ]*10""))"),4.0)</f>
        <v>4</v>
      </c>
      <c r="H125" s="7">
        <f t="shared" si="1"/>
        <v>4</v>
      </c>
      <c r="I125" s="8">
        <f t="shared" si="2"/>
        <v>4</v>
      </c>
      <c r="J125" s="7">
        <v>6.0</v>
      </c>
    </row>
    <row r="126">
      <c r="A126" s="1">
        <v>124.0</v>
      </c>
      <c r="B126" s="1" t="s">
        <v>265</v>
      </c>
      <c r="C126" s="1" t="s">
        <v>20</v>
      </c>
      <c r="D126" s="1" t="s">
        <v>266</v>
      </c>
      <c r="E126" s="1">
        <v>1.0</v>
      </c>
      <c r="F126" s="6">
        <v>3.91226682662963E15</v>
      </c>
      <c r="G126" s="1">
        <f>IFERROR(__xludf.DUMMYFUNCTION("VALUE(REGEXEXTRACT(D126,""([0-9]+)[ ]*/[ ]*10""))"),6.0)</f>
        <v>6</v>
      </c>
      <c r="H126" s="7">
        <f t="shared" si="1"/>
        <v>5</v>
      </c>
      <c r="I126" s="8">
        <f t="shared" si="2"/>
        <v>-5</v>
      </c>
      <c r="J126" s="7">
        <v>4.0</v>
      </c>
    </row>
    <row r="127">
      <c r="A127" s="1">
        <v>125.0</v>
      </c>
      <c r="B127" s="1" t="s">
        <v>267</v>
      </c>
      <c r="C127" s="1" t="s">
        <v>23</v>
      </c>
      <c r="D127" s="1" t="s">
        <v>268</v>
      </c>
      <c r="E127" s="1">
        <v>6.0</v>
      </c>
      <c r="F127" s="6">
        <v>3.81528956890106E15</v>
      </c>
      <c r="G127" s="1">
        <f>IFERROR(__xludf.DUMMYFUNCTION("VALUE(REGEXEXTRACT(D127,""([0-9]+)[ ]*/[ ]*10""))"),6.0)</f>
        <v>6</v>
      </c>
      <c r="H127" s="7">
        <f t="shared" si="1"/>
        <v>0</v>
      </c>
      <c r="I127" s="8">
        <f t="shared" si="2"/>
        <v>0</v>
      </c>
      <c r="J127" s="7">
        <v>6.0</v>
      </c>
    </row>
    <row r="128">
      <c r="A128" s="1">
        <v>126.0</v>
      </c>
      <c r="B128" s="1" t="s">
        <v>269</v>
      </c>
      <c r="C128" s="1" t="s">
        <v>14</v>
      </c>
      <c r="D128" s="1" t="s">
        <v>270</v>
      </c>
      <c r="E128" s="1">
        <v>8.0</v>
      </c>
      <c r="F128" s="6">
        <v>4.29998922348022E16</v>
      </c>
      <c r="G128" s="1">
        <f>IFERROR(__xludf.DUMMYFUNCTION("VALUE(REGEXEXTRACT(D128,""([0-9]+)[ ]*/[ ]*10""))"),6.0)</f>
        <v>6</v>
      </c>
      <c r="H128" s="7">
        <f t="shared" si="1"/>
        <v>2</v>
      </c>
      <c r="I128" s="8">
        <f t="shared" si="2"/>
        <v>2</v>
      </c>
      <c r="J128" s="7">
        <v>8.0</v>
      </c>
    </row>
    <row r="129">
      <c r="A129" s="1">
        <v>127.0</v>
      </c>
      <c r="B129" s="1" t="s">
        <v>271</v>
      </c>
      <c r="C129" s="1" t="s">
        <v>17</v>
      </c>
      <c r="D129" s="1" t="s">
        <v>272</v>
      </c>
      <c r="E129" s="1">
        <v>8.0</v>
      </c>
      <c r="F129" s="6">
        <v>4.81424338817596E16</v>
      </c>
      <c r="G129" s="1">
        <f>IFERROR(__xludf.DUMMYFUNCTION("VALUE(REGEXEXTRACT(D129,""([0-9]+)[ ]*/[ ]*10""))"),6.0)</f>
        <v>6</v>
      </c>
      <c r="H129" s="7">
        <f t="shared" si="1"/>
        <v>2</v>
      </c>
      <c r="I129" s="8">
        <f t="shared" si="2"/>
        <v>2</v>
      </c>
      <c r="J129" s="7">
        <v>7.0</v>
      </c>
    </row>
    <row r="130">
      <c r="A130" s="1">
        <v>128.0</v>
      </c>
      <c r="B130" s="1" t="s">
        <v>273</v>
      </c>
      <c r="C130" s="1" t="s">
        <v>20</v>
      </c>
      <c r="D130" s="1" t="s">
        <v>274</v>
      </c>
      <c r="E130" s="1">
        <v>6.0</v>
      </c>
      <c r="F130" s="6">
        <v>4.05611116886138E15</v>
      </c>
      <c r="G130" s="1">
        <f>IFERROR(__xludf.DUMMYFUNCTION("VALUE(REGEXEXTRACT(D130,""([0-9]+)[ ]*/[ ]*10""))"),6.0)</f>
        <v>6</v>
      </c>
      <c r="H130" s="7">
        <f t="shared" si="1"/>
        <v>0</v>
      </c>
      <c r="I130" s="8">
        <f t="shared" si="2"/>
        <v>0</v>
      </c>
      <c r="J130" s="7">
        <v>8.0</v>
      </c>
    </row>
    <row r="131">
      <c r="A131" s="1">
        <v>129.0</v>
      </c>
      <c r="B131" s="1" t="s">
        <v>275</v>
      </c>
      <c r="C131" s="1" t="s">
        <v>23</v>
      </c>
      <c r="D131" s="1" t="s">
        <v>276</v>
      </c>
      <c r="E131" s="1">
        <v>6.0</v>
      </c>
      <c r="F131" s="6">
        <v>3.17689597606658E16</v>
      </c>
      <c r="G131" s="1">
        <f>IFERROR(__xludf.DUMMYFUNCTION("VALUE(REGEXEXTRACT(D131,""([0-9]+)[ ]*/[ ]*10""))"),7.0)</f>
        <v>7</v>
      </c>
      <c r="H131" s="7">
        <f t="shared" si="1"/>
        <v>1</v>
      </c>
      <c r="I131" s="8">
        <f t="shared" si="2"/>
        <v>-1</v>
      </c>
      <c r="J131" s="7">
        <v>7.0</v>
      </c>
    </row>
    <row r="132">
      <c r="A132" s="1">
        <v>130.0</v>
      </c>
      <c r="B132" s="1" t="s">
        <v>277</v>
      </c>
      <c r="C132" s="1" t="s">
        <v>14</v>
      </c>
      <c r="D132" s="1" t="s">
        <v>278</v>
      </c>
      <c r="E132" s="1">
        <v>8.0</v>
      </c>
      <c r="F132" s="6">
        <v>4.20304663181304E15</v>
      </c>
      <c r="G132" s="1">
        <f>IFERROR(__xludf.DUMMYFUNCTION("VALUE(REGEXEXTRACT(D132,""([0-9]+)[ ]*/[ ]*10""))"),6.0)</f>
        <v>6</v>
      </c>
      <c r="H132" s="7">
        <f t="shared" si="1"/>
        <v>2</v>
      </c>
      <c r="I132" s="8">
        <f t="shared" si="2"/>
        <v>2</v>
      </c>
      <c r="J132" s="7">
        <v>8.0</v>
      </c>
    </row>
    <row r="133">
      <c r="A133" s="1">
        <v>131.0</v>
      </c>
      <c r="B133" s="1" t="s">
        <v>279</v>
      </c>
      <c r="C133" s="1" t="s">
        <v>17</v>
      </c>
      <c r="D133" s="1" t="s">
        <v>280</v>
      </c>
      <c r="E133" s="1">
        <v>10.0</v>
      </c>
      <c r="F133" s="6">
        <v>4.07463138103485E15</v>
      </c>
      <c r="G133" s="1">
        <f>IFERROR(__xludf.DUMMYFUNCTION("VALUE(REGEXEXTRACT(D133,""([0-9]+)[ ]*/[ ]*10""))"),6.0)</f>
        <v>6</v>
      </c>
      <c r="H133" s="7">
        <f t="shared" si="1"/>
        <v>4</v>
      </c>
      <c r="I133" s="8">
        <f t="shared" si="2"/>
        <v>4</v>
      </c>
      <c r="J133" s="7">
        <v>5.0</v>
      </c>
    </row>
    <row r="134">
      <c r="A134" s="1">
        <v>132.0</v>
      </c>
      <c r="B134" s="1" t="s">
        <v>281</v>
      </c>
      <c r="C134" s="1" t="s">
        <v>20</v>
      </c>
      <c r="D134" s="1" t="s">
        <v>282</v>
      </c>
      <c r="E134" s="1">
        <v>7.0</v>
      </c>
      <c r="F134" s="6">
        <v>4.58606822490692E16</v>
      </c>
      <c r="G134" s="1">
        <f>IFERROR(__xludf.DUMMYFUNCTION("VALUE(REGEXEXTRACT(D134,""([0-9]+)[ ]*/[ ]*10""))"),6.0)</f>
        <v>6</v>
      </c>
      <c r="H134" s="7">
        <f t="shared" si="1"/>
        <v>1</v>
      </c>
      <c r="I134" s="8">
        <f t="shared" si="2"/>
        <v>1</v>
      </c>
      <c r="J134" s="7">
        <v>8.0</v>
      </c>
    </row>
    <row r="135">
      <c r="A135" s="1">
        <v>133.0</v>
      </c>
      <c r="B135" s="1" t="s">
        <v>283</v>
      </c>
      <c r="C135" s="1" t="s">
        <v>23</v>
      </c>
      <c r="D135" s="1" t="s">
        <v>284</v>
      </c>
      <c r="E135" s="1">
        <v>5.0</v>
      </c>
      <c r="F135" s="6">
        <v>3.53927588462829E15</v>
      </c>
      <c r="G135" s="1">
        <f>IFERROR(__xludf.DUMMYFUNCTION("VALUE(REGEXEXTRACT(D135,""([0-9]+)[ ]*/[ ]*10""))"),6.0)</f>
        <v>6</v>
      </c>
      <c r="H135" s="7">
        <f t="shared" si="1"/>
        <v>1</v>
      </c>
      <c r="I135" s="8">
        <f t="shared" si="2"/>
        <v>-1</v>
      </c>
      <c r="J135" s="7">
        <v>8.0</v>
      </c>
    </row>
    <row r="136">
      <c r="A136" s="1">
        <v>134.0</v>
      </c>
      <c r="B136" s="1" t="s">
        <v>285</v>
      </c>
      <c r="C136" s="1" t="s">
        <v>14</v>
      </c>
      <c r="D136" s="1" t="s">
        <v>286</v>
      </c>
      <c r="E136" s="1">
        <v>2.0</v>
      </c>
      <c r="F136" s="6">
        <v>3.6434775352478E15</v>
      </c>
      <c r="G136" s="1">
        <f>IFERROR(__xludf.DUMMYFUNCTION("VALUE(REGEXEXTRACT(D136,""([0-9]+)[ ]*/[ ]*10""))"),2.0)</f>
        <v>2</v>
      </c>
      <c r="H136" s="7">
        <f t="shared" si="1"/>
        <v>0</v>
      </c>
      <c r="I136" s="8">
        <f t="shared" si="2"/>
        <v>0</v>
      </c>
      <c r="J136" s="7">
        <v>6.0</v>
      </c>
    </row>
    <row r="137">
      <c r="A137" s="1">
        <v>135.0</v>
      </c>
      <c r="B137" s="1" t="s">
        <v>287</v>
      </c>
      <c r="C137" s="1" t="s">
        <v>17</v>
      </c>
      <c r="D137" s="1" t="s">
        <v>288</v>
      </c>
      <c r="E137" s="1">
        <v>3.0</v>
      </c>
      <c r="F137" s="6">
        <v>4.83633413314819E16</v>
      </c>
      <c r="G137" s="1">
        <f>IFERROR(__xludf.DUMMYFUNCTION("VALUE(REGEXEXTRACT(D137,""([0-9]+)[ ]*/[ ]*10""))"),4.0)</f>
        <v>4</v>
      </c>
      <c r="H137" s="7">
        <f t="shared" si="1"/>
        <v>1</v>
      </c>
      <c r="I137" s="8">
        <f t="shared" si="2"/>
        <v>-1</v>
      </c>
      <c r="J137" s="7">
        <v>4.0</v>
      </c>
    </row>
    <row r="138">
      <c r="A138" s="1">
        <v>136.0</v>
      </c>
      <c r="B138" s="1" t="s">
        <v>289</v>
      </c>
      <c r="C138" s="1" t="s">
        <v>20</v>
      </c>
      <c r="D138" s="1" t="s">
        <v>290</v>
      </c>
      <c r="E138" s="1">
        <v>3.0</v>
      </c>
      <c r="F138" s="6">
        <v>4.3764000415802E13</v>
      </c>
      <c r="G138" s="1">
        <f>IFERROR(__xludf.DUMMYFUNCTION("VALUE(REGEXEXTRACT(D138,""([0-9]+)[ ]*/[ ]*10""))"),4.0)</f>
        <v>4</v>
      </c>
      <c r="H138" s="7">
        <f t="shared" si="1"/>
        <v>1</v>
      </c>
      <c r="I138" s="8">
        <f t="shared" si="2"/>
        <v>-1</v>
      </c>
      <c r="J138" s="7">
        <v>5.0</v>
      </c>
    </row>
    <row r="139">
      <c r="A139" s="1">
        <v>137.0</v>
      </c>
      <c r="B139" s="1" t="s">
        <v>291</v>
      </c>
      <c r="C139" s="1" t="s">
        <v>23</v>
      </c>
      <c r="D139" s="1" t="s">
        <v>292</v>
      </c>
      <c r="E139" s="1">
        <v>6.0</v>
      </c>
      <c r="F139" s="6">
        <v>3.95595996379852E15</v>
      </c>
      <c r="G139" s="1">
        <f>IFERROR(__xludf.DUMMYFUNCTION("VALUE(REGEXEXTRACT(D139,""([0-9]+)[ ]*/[ ]*10""))"),6.0)</f>
        <v>6</v>
      </c>
      <c r="H139" s="7">
        <f t="shared" si="1"/>
        <v>0</v>
      </c>
      <c r="I139" s="8">
        <f t="shared" si="2"/>
        <v>0</v>
      </c>
      <c r="J139" s="7">
        <v>8.0</v>
      </c>
    </row>
    <row r="140">
      <c r="A140" s="1">
        <v>138.0</v>
      </c>
      <c r="B140" s="1" t="s">
        <v>293</v>
      </c>
      <c r="C140" s="1" t="s">
        <v>14</v>
      </c>
      <c r="D140" s="1" t="s">
        <v>294</v>
      </c>
      <c r="E140" s="1">
        <v>10.0</v>
      </c>
      <c r="F140" s="6">
        <v>5.32853178977966E15</v>
      </c>
      <c r="G140" s="1">
        <f>IFERROR(__xludf.DUMMYFUNCTION("VALUE(REGEXEXTRACT(D140,""([0-9]+)[ ]*/[ ]*10""))"),7.0)</f>
        <v>7</v>
      </c>
      <c r="H140" s="7">
        <f t="shared" si="1"/>
        <v>3</v>
      </c>
      <c r="I140" s="8">
        <f t="shared" si="2"/>
        <v>3</v>
      </c>
      <c r="J140" s="7">
        <v>8.0</v>
      </c>
    </row>
    <row r="141">
      <c r="A141" s="1">
        <v>139.0</v>
      </c>
      <c r="B141" s="1" t="s">
        <v>295</v>
      </c>
      <c r="C141" s="1" t="s">
        <v>17</v>
      </c>
      <c r="D141" s="1" t="s">
        <v>296</v>
      </c>
      <c r="E141" s="1">
        <v>10.0</v>
      </c>
      <c r="F141" s="6">
        <v>4.77859628200531E14</v>
      </c>
      <c r="G141" s="1">
        <f>IFERROR(__xludf.DUMMYFUNCTION("VALUE(REGEXEXTRACT(D141,""([0-9]+)[ ]*/[ ]*10""))"),7.0)</f>
        <v>7</v>
      </c>
      <c r="H141" s="7">
        <f t="shared" si="1"/>
        <v>3</v>
      </c>
      <c r="I141" s="8">
        <f t="shared" si="2"/>
        <v>3</v>
      </c>
      <c r="J141" s="7">
        <v>8.0</v>
      </c>
    </row>
    <row r="142">
      <c r="A142" s="1">
        <v>140.0</v>
      </c>
      <c r="B142" s="1" t="s">
        <v>297</v>
      </c>
      <c r="C142" s="1" t="s">
        <v>20</v>
      </c>
      <c r="D142" s="1" t="s">
        <v>298</v>
      </c>
      <c r="E142" s="1">
        <v>8.0</v>
      </c>
      <c r="F142" s="6">
        <v>4.53585820198059E15</v>
      </c>
      <c r="G142" s="1">
        <f>IFERROR(__xludf.DUMMYFUNCTION("VALUE(REGEXEXTRACT(D142,""([0-9]+)[ ]*/[ ]*10""))"),7.0)</f>
        <v>7</v>
      </c>
      <c r="H142" s="7">
        <f t="shared" si="1"/>
        <v>1</v>
      </c>
      <c r="I142" s="8">
        <f t="shared" si="2"/>
        <v>1</v>
      </c>
      <c r="J142" s="7">
        <v>8.0</v>
      </c>
    </row>
    <row r="143">
      <c r="A143" s="1">
        <v>141.0</v>
      </c>
      <c r="B143" s="1" t="s">
        <v>299</v>
      </c>
      <c r="C143" s="1" t="s">
        <v>23</v>
      </c>
      <c r="D143" s="1" t="s">
        <v>300</v>
      </c>
      <c r="E143" s="1">
        <v>9.0</v>
      </c>
      <c r="F143" s="6">
        <v>4.17940301895141E15</v>
      </c>
      <c r="G143" s="1">
        <f>IFERROR(__xludf.DUMMYFUNCTION("VALUE(REGEXEXTRACT(D143,""([0-9]+)[ ]*/[ ]*10""))"),7.0)</f>
        <v>7</v>
      </c>
      <c r="H143" s="7">
        <f t="shared" si="1"/>
        <v>2</v>
      </c>
      <c r="I143" s="8">
        <f t="shared" si="2"/>
        <v>2</v>
      </c>
      <c r="J143" s="7">
        <v>8.0</v>
      </c>
    </row>
    <row r="144">
      <c r="A144" s="1">
        <v>142.0</v>
      </c>
      <c r="B144" s="1" t="s">
        <v>301</v>
      </c>
      <c r="C144" s="1" t="s">
        <v>14</v>
      </c>
      <c r="D144" s="1" t="s">
        <v>302</v>
      </c>
      <c r="E144" s="1">
        <v>6.0</v>
      </c>
      <c r="F144" s="6">
        <v>3.23261823654174E15</v>
      </c>
      <c r="G144" s="1">
        <f>IFERROR(__xludf.DUMMYFUNCTION("VALUE(REGEXEXTRACT(D144,""([0-9]+)[ ]*/[ ]*10""))"),8.0)</f>
        <v>8</v>
      </c>
      <c r="H144" s="7">
        <f t="shared" si="1"/>
        <v>2</v>
      </c>
      <c r="I144" s="8">
        <f t="shared" si="2"/>
        <v>-2</v>
      </c>
      <c r="J144" s="7">
        <v>8.0</v>
      </c>
    </row>
    <row r="145">
      <c r="A145" s="1">
        <v>143.0</v>
      </c>
      <c r="B145" s="1" t="s">
        <v>303</v>
      </c>
      <c r="C145" s="1" t="s">
        <v>17</v>
      </c>
      <c r="D145" s="1" t="s">
        <v>304</v>
      </c>
      <c r="E145" s="1">
        <v>6.0</v>
      </c>
      <c r="F145" s="6">
        <v>4.00911333560943E15</v>
      </c>
      <c r="G145" s="1">
        <f>IFERROR(__xludf.DUMMYFUNCTION("VALUE(REGEXEXTRACT(D145,""([0-9]+)[ ]*/[ ]*10""))"),7.0)</f>
        <v>7</v>
      </c>
      <c r="H145" s="7">
        <f t="shared" si="1"/>
        <v>1</v>
      </c>
      <c r="I145" s="8">
        <f t="shared" si="2"/>
        <v>-1</v>
      </c>
      <c r="J145" s="7">
        <v>8.0</v>
      </c>
    </row>
    <row r="146">
      <c r="A146" s="1">
        <v>144.0</v>
      </c>
      <c r="B146" s="1" t="s">
        <v>305</v>
      </c>
      <c r="C146" s="1" t="s">
        <v>20</v>
      </c>
      <c r="D146" s="1" t="s">
        <v>306</v>
      </c>
      <c r="E146" s="1">
        <v>6.0</v>
      </c>
      <c r="F146" s="6">
        <v>4.73231306076049E15</v>
      </c>
      <c r="G146" s="1">
        <f>IFERROR(__xludf.DUMMYFUNCTION("VALUE(REGEXEXTRACT(D146,""([0-9]+)[ ]*/[ ]*10""))"),7.0)</f>
        <v>7</v>
      </c>
      <c r="H146" s="7">
        <f t="shared" si="1"/>
        <v>1</v>
      </c>
      <c r="I146" s="8">
        <f t="shared" si="2"/>
        <v>-1</v>
      </c>
      <c r="J146" s="7">
        <v>8.0</v>
      </c>
    </row>
    <row r="147">
      <c r="A147" s="1">
        <v>145.0</v>
      </c>
      <c r="B147" s="1" t="s">
        <v>307</v>
      </c>
      <c r="C147" s="1" t="s">
        <v>14</v>
      </c>
      <c r="D147" s="1" t="s">
        <v>308</v>
      </c>
      <c r="E147" s="1">
        <v>5.0</v>
      </c>
      <c r="F147" s="6">
        <v>4.17897517681121E15</v>
      </c>
      <c r="G147" s="1">
        <f>IFERROR(__xludf.DUMMYFUNCTION("VALUE(REGEXEXTRACT(D147,""([0-9]+)[ ]*/[ ]*10""))"),6.0)</f>
        <v>6</v>
      </c>
      <c r="H147" s="7">
        <f t="shared" si="1"/>
        <v>1</v>
      </c>
      <c r="I147" s="8">
        <f t="shared" si="2"/>
        <v>-1</v>
      </c>
      <c r="J147" s="7">
        <v>7.0</v>
      </c>
    </row>
    <row r="148">
      <c r="A148" s="1">
        <v>146.0</v>
      </c>
      <c r="B148" s="1" t="s">
        <v>309</v>
      </c>
      <c r="C148" s="1" t="s">
        <v>17</v>
      </c>
      <c r="D148" s="1" t="s">
        <v>310</v>
      </c>
      <c r="E148" s="1">
        <v>9.0</v>
      </c>
      <c r="F148" s="6">
        <v>4.41781709194183E16</v>
      </c>
      <c r="G148" s="1">
        <f>IFERROR(__xludf.DUMMYFUNCTION("VALUE(REGEXEXTRACT(D148,""([0-9]+)[ ]*/[ ]*10""))"),7.0)</f>
        <v>7</v>
      </c>
      <c r="H148" s="7">
        <f t="shared" si="1"/>
        <v>2</v>
      </c>
      <c r="I148" s="8">
        <f t="shared" si="2"/>
        <v>2</v>
      </c>
      <c r="J148" s="7">
        <v>7.0</v>
      </c>
    </row>
    <row r="149">
      <c r="A149" s="1">
        <v>147.0</v>
      </c>
      <c r="B149" s="1" t="s">
        <v>311</v>
      </c>
      <c r="C149" s="1" t="s">
        <v>20</v>
      </c>
      <c r="D149" s="1" t="s">
        <v>312</v>
      </c>
      <c r="E149" s="1">
        <v>6.0</v>
      </c>
      <c r="F149" s="6">
        <v>4.35285449028015E16</v>
      </c>
      <c r="G149" s="1">
        <f>IFERROR(__xludf.DUMMYFUNCTION("VALUE(REGEXEXTRACT(D149,""([0-9]+)[ ]*/[ ]*10""))"),6.0)</f>
        <v>6</v>
      </c>
      <c r="H149" s="7">
        <f t="shared" si="1"/>
        <v>0</v>
      </c>
      <c r="I149" s="8">
        <f t="shared" si="2"/>
        <v>0</v>
      </c>
      <c r="J149" s="7">
        <v>5.0</v>
      </c>
    </row>
    <row r="150">
      <c r="A150" s="1">
        <v>148.0</v>
      </c>
      <c r="B150" s="1" t="s">
        <v>313</v>
      </c>
      <c r="C150" s="1" t="s">
        <v>23</v>
      </c>
      <c r="D150" s="1" t="s">
        <v>314</v>
      </c>
      <c r="E150" s="1">
        <v>6.0</v>
      </c>
      <c r="F150" s="6">
        <v>4.17402384281158E16</v>
      </c>
      <c r="G150" s="1">
        <f>IFERROR(__xludf.DUMMYFUNCTION("VALUE(REGEXEXTRACT(D150,""([0-9]+)[ ]*/[ ]*10""))"),6.0)</f>
        <v>6</v>
      </c>
      <c r="H150" s="7">
        <f t="shared" si="1"/>
        <v>0</v>
      </c>
      <c r="I150" s="8">
        <f t="shared" si="2"/>
        <v>0</v>
      </c>
      <c r="J150" s="7">
        <v>5.0</v>
      </c>
    </row>
    <row r="151">
      <c r="A151" s="1">
        <v>149.0</v>
      </c>
      <c r="B151" s="1" t="s">
        <v>315</v>
      </c>
      <c r="C151" s="1" t="s">
        <v>14</v>
      </c>
      <c r="D151" s="1" t="s">
        <v>316</v>
      </c>
      <c r="E151" s="1">
        <v>10.0</v>
      </c>
      <c r="F151" s="6">
        <v>4.94067239761352E16</v>
      </c>
      <c r="G151" s="1">
        <f>IFERROR(__xludf.DUMMYFUNCTION("VALUE(REGEXEXTRACT(D151,""([0-9]+)[ ]*/[ ]*10""))"),7.0)</f>
        <v>7</v>
      </c>
      <c r="H151" s="7">
        <f t="shared" si="1"/>
        <v>3</v>
      </c>
      <c r="I151" s="8">
        <f t="shared" si="2"/>
        <v>3</v>
      </c>
      <c r="J151" s="7">
        <v>7.0</v>
      </c>
    </row>
    <row r="152">
      <c r="A152" s="1">
        <v>150.0</v>
      </c>
      <c r="B152" s="1" t="s">
        <v>317</v>
      </c>
      <c r="C152" s="1" t="s">
        <v>17</v>
      </c>
      <c r="D152" s="1" t="s">
        <v>318</v>
      </c>
      <c r="E152" s="1">
        <v>7.0</v>
      </c>
      <c r="F152" s="6">
        <v>3.95160040855407E15</v>
      </c>
      <c r="G152" s="1">
        <f>IFERROR(__xludf.DUMMYFUNCTION("VALUE(REGEXEXTRACT(D152,""([0-9]+)[ ]*/[ ]*10""))"),6.0)</f>
        <v>6</v>
      </c>
      <c r="H152" s="7">
        <f t="shared" si="1"/>
        <v>1</v>
      </c>
      <c r="I152" s="8">
        <f t="shared" si="2"/>
        <v>1</v>
      </c>
      <c r="J152" s="7">
        <v>8.0</v>
      </c>
    </row>
    <row r="153">
      <c r="A153" s="1">
        <v>151.0</v>
      </c>
      <c r="B153" s="1" t="s">
        <v>319</v>
      </c>
      <c r="C153" s="1" t="s">
        <v>20</v>
      </c>
      <c r="D153" s="1" t="s">
        <v>320</v>
      </c>
      <c r="E153" s="1">
        <v>9.0</v>
      </c>
      <c r="F153" s="6">
        <v>4.2003666639328E13</v>
      </c>
      <c r="G153" s="1">
        <f>IFERROR(__xludf.DUMMYFUNCTION("VALUE(REGEXEXTRACT(D153,""([0-9]+)[ ]*/[ ]*10""))"),6.0)</f>
        <v>6</v>
      </c>
      <c r="H153" s="7">
        <f t="shared" si="1"/>
        <v>3</v>
      </c>
      <c r="I153" s="8">
        <f t="shared" si="2"/>
        <v>3</v>
      </c>
      <c r="J153" s="7">
        <v>8.0</v>
      </c>
    </row>
    <row r="154">
      <c r="A154" s="1">
        <v>152.0</v>
      </c>
      <c r="B154" s="1" t="s">
        <v>321</v>
      </c>
      <c r="C154" s="1" t="s">
        <v>23</v>
      </c>
      <c r="D154" s="1" t="s">
        <v>322</v>
      </c>
      <c r="E154" s="1">
        <v>6.0</v>
      </c>
      <c r="F154" s="6">
        <v>4.38738493919372E16</v>
      </c>
      <c r="G154" s="1">
        <f>IFERROR(__xludf.DUMMYFUNCTION("VALUE(REGEXEXTRACT(D154,""([0-9]+)[ ]*/[ ]*10""))"),6.0)</f>
        <v>6</v>
      </c>
      <c r="H154" s="7">
        <f t="shared" si="1"/>
        <v>0</v>
      </c>
      <c r="I154" s="8">
        <f t="shared" si="2"/>
        <v>0</v>
      </c>
      <c r="J154" s="7">
        <v>8.0</v>
      </c>
    </row>
    <row r="155">
      <c r="A155" s="1">
        <v>153.0</v>
      </c>
      <c r="B155" s="1" t="s">
        <v>323</v>
      </c>
      <c r="C155" s="1" t="s">
        <v>14</v>
      </c>
      <c r="D155" s="1" t="s">
        <v>324</v>
      </c>
      <c r="E155" s="1">
        <v>8.0</v>
      </c>
      <c r="F155" s="6">
        <v>4.27613136768341E16</v>
      </c>
      <c r="G155" s="1">
        <f>IFERROR(__xludf.DUMMYFUNCTION("VALUE(REGEXEXTRACT(D155,""([0-9]+)[ ]*/[ ]*10""))"),6.0)</f>
        <v>6</v>
      </c>
      <c r="H155" s="7">
        <f t="shared" si="1"/>
        <v>2</v>
      </c>
      <c r="I155" s="8">
        <f t="shared" si="2"/>
        <v>2</v>
      </c>
      <c r="J155" s="7">
        <v>8.0</v>
      </c>
    </row>
    <row r="156">
      <c r="A156" s="1">
        <v>154.0</v>
      </c>
      <c r="B156" s="1" t="s">
        <v>325</v>
      </c>
      <c r="C156" s="1" t="s">
        <v>17</v>
      </c>
      <c r="D156" s="1" t="s">
        <v>326</v>
      </c>
      <c r="E156" s="1">
        <v>8.0</v>
      </c>
      <c r="F156" s="6">
        <v>4.85183942317962E16</v>
      </c>
      <c r="G156" s="1">
        <f>IFERROR(__xludf.DUMMYFUNCTION("VALUE(REGEXEXTRACT(D156,""([0-9]+)[ ]*/[ ]*10""))"),6.0)</f>
        <v>6</v>
      </c>
      <c r="H156" s="7">
        <f t="shared" si="1"/>
        <v>2</v>
      </c>
      <c r="I156" s="8">
        <f t="shared" si="2"/>
        <v>2</v>
      </c>
      <c r="J156" s="7">
        <v>4.0</v>
      </c>
    </row>
    <row r="157">
      <c r="A157" s="1">
        <v>155.0</v>
      </c>
      <c r="B157" s="1" t="s">
        <v>327</v>
      </c>
      <c r="C157" s="1" t="s">
        <v>20</v>
      </c>
      <c r="D157" s="1" t="s">
        <v>328</v>
      </c>
      <c r="E157" s="1">
        <v>4.0</v>
      </c>
      <c r="F157" s="6">
        <v>3.88812630176544E15</v>
      </c>
      <c r="G157" s="1">
        <f>IFERROR(__xludf.DUMMYFUNCTION("VALUE(REGEXEXTRACT(D157,""([0-9]+)[ ]*/[ ]*10""))"),6.0)</f>
        <v>6</v>
      </c>
      <c r="H157" s="7">
        <f t="shared" si="1"/>
        <v>2</v>
      </c>
      <c r="I157" s="8">
        <f t="shared" si="2"/>
        <v>-2</v>
      </c>
      <c r="J157" s="7">
        <v>7.0</v>
      </c>
    </row>
    <row r="158">
      <c r="A158" s="1">
        <v>156.0</v>
      </c>
      <c r="B158" s="1" t="s">
        <v>329</v>
      </c>
      <c r="C158" s="1" t="s">
        <v>23</v>
      </c>
      <c r="D158" s="1" t="s">
        <v>330</v>
      </c>
      <c r="E158" s="1">
        <v>4.0</v>
      </c>
      <c r="F158" s="6">
        <v>4.06027963161468E15</v>
      </c>
      <c r="G158" s="1">
        <f>IFERROR(__xludf.DUMMYFUNCTION("VALUE(REGEXEXTRACT(D158,""([0-9]+)[ ]*/[ ]*10""))"),6.0)</f>
        <v>6</v>
      </c>
      <c r="H158" s="7">
        <f t="shared" si="1"/>
        <v>2</v>
      </c>
      <c r="I158" s="8">
        <f t="shared" si="2"/>
        <v>-2</v>
      </c>
      <c r="J158" s="7">
        <v>6.0</v>
      </c>
    </row>
    <row r="159">
      <c r="A159" s="1">
        <v>157.0</v>
      </c>
      <c r="B159" s="1" t="s">
        <v>331</v>
      </c>
      <c r="C159" s="1" t="s">
        <v>14</v>
      </c>
      <c r="D159" s="1" t="s">
        <v>332</v>
      </c>
      <c r="E159" s="1">
        <v>7.0</v>
      </c>
      <c r="F159" s="6">
        <v>4.06908903121948E16</v>
      </c>
      <c r="G159" s="1">
        <f>IFERROR(__xludf.DUMMYFUNCTION("VALUE(REGEXEXTRACT(D159,""([0-9]+)[ ]*/[ ]*10""))"),6.0)</f>
        <v>6</v>
      </c>
      <c r="H159" s="7">
        <f t="shared" si="1"/>
        <v>1</v>
      </c>
      <c r="I159" s="8">
        <f t="shared" si="2"/>
        <v>1</v>
      </c>
      <c r="J159" s="7">
        <v>4.0</v>
      </c>
    </row>
    <row r="160">
      <c r="A160" s="1">
        <v>158.0</v>
      </c>
      <c r="B160" s="1" t="s">
        <v>333</v>
      </c>
      <c r="C160" s="1" t="s">
        <v>17</v>
      </c>
      <c r="D160" s="1" t="s">
        <v>334</v>
      </c>
      <c r="E160" s="1">
        <v>5.0</v>
      </c>
      <c r="F160" s="6">
        <v>4.09315705299377E16</v>
      </c>
      <c r="G160" s="1">
        <f>IFERROR(__xludf.DUMMYFUNCTION("VALUE(REGEXEXTRACT(D160,""([0-9]+)[ ]*/[ ]*10""))"),6.0)</f>
        <v>6</v>
      </c>
      <c r="H160" s="7">
        <f t="shared" si="1"/>
        <v>1</v>
      </c>
      <c r="I160" s="8">
        <f t="shared" si="2"/>
        <v>-1</v>
      </c>
      <c r="J160" s="7">
        <v>8.0</v>
      </c>
    </row>
    <row r="161">
      <c r="A161" s="1">
        <v>159.0</v>
      </c>
      <c r="B161" s="1" t="s">
        <v>335</v>
      </c>
      <c r="C161" s="1" t="s">
        <v>20</v>
      </c>
      <c r="D161" s="1" t="s">
        <v>336</v>
      </c>
      <c r="E161" s="1">
        <v>7.0</v>
      </c>
      <c r="F161" s="6">
        <v>4.36600351333618E16</v>
      </c>
      <c r="G161" s="1">
        <f>IFERROR(__xludf.DUMMYFUNCTION("VALUE(REGEXEXTRACT(D161,""([0-9]+)[ ]*/[ ]*10""))"),6.0)</f>
        <v>6</v>
      </c>
      <c r="H161" s="7">
        <f t="shared" si="1"/>
        <v>1</v>
      </c>
      <c r="I161" s="8">
        <f t="shared" si="2"/>
        <v>1</v>
      </c>
      <c r="J161" s="7">
        <v>6.0</v>
      </c>
    </row>
    <row r="162">
      <c r="A162" s="1">
        <v>160.0</v>
      </c>
      <c r="B162" s="1" t="s">
        <v>337</v>
      </c>
      <c r="C162" s="1" t="s">
        <v>23</v>
      </c>
      <c r="D162" s="1" t="s">
        <v>338</v>
      </c>
      <c r="E162" s="1">
        <v>6.0</v>
      </c>
      <c r="F162" s="6">
        <v>4.04560039043426E15</v>
      </c>
      <c r="G162" s="1">
        <f>IFERROR(__xludf.DUMMYFUNCTION("VALUE(REGEXEXTRACT(D162,""([0-9]+)[ ]*/[ ]*10""))"),6.0)</f>
        <v>6</v>
      </c>
      <c r="H162" s="7">
        <f t="shared" si="1"/>
        <v>0</v>
      </c>
      <c r="I162" s="8">
        <f t="shared" si="2"/>
        <v>0</v>
      </c>
      <c r="J162" s="7">
        <v>8.0</v>
      </c>
    </row>
    <row r="163">
      <c r="A163" s="1">
        <v>161.0</v>
      </c>
      <c r="B163" s="1" t="s">
        <v>339</v>
      </c>
      <c r="C163" s="1" t="s">
        <v>14</v>
      </c>
      <c r="D163" s="1" t="s">
        <v>340</v>
      </c>
      <c r="E163" s="1">
        <v>9.0</v>
      </c>
      <c r="F163" s="6">
        <v>3.89539346694946E15</v>
      </c>
      <c r="G163" s="1">
        <f>IFERROR(__xludf.DUMMYFUNCTION("VALUE(REGEXEXTRACT(D163,""([0-9]+)[ ]*/[ ]*10""))"),9.0)</f>
        <v>9</v>
      </c>
      <c r="H163" s="7">
        <f t="shared" si="1"/>
        <v>0</v>
      </c>
      <c r="I163" s="8">
        <f t="shared" si="2"/>
        <v>0</v>
      </c>
      <c r="J163" s="7">
        <v>8.0</v>
      </c>
    </row>
    <row r="164">
      <c r="A164" s="1">
        <v>162.0</v>
      </c>
      <c r="B164" s="1" t="s">
        <v>341</v>
      </c>
      <c r="C164" s="1" t="s">
        <v>17</v>
      </c>
      <c r="D164" s="1" t="s">
        <v>342</v>
      </c>
      <c r="E164" s="1">
        <v>10.0</v>
      </c>
      <c r="F164" s="6">
        <v>4.69131400585174E16</v>
      </c>
      <c r="G164" s="1">
        <f>IFERROR(__xludf.DUMMYFUNCTION("VALUE(REGEXEXTRACT(D164,""([0-9]+)[ ]*/[ ]*10""))"),6.0)</f>
        <v>6</v>
      </c>
      <c r="H164" s="7">
        <f t="shared" si="1"/>
        <v>4</v>
      </c>
      <c r="I164" s="8">
        <f t="shared" si="2"/>
        <v>4</v>
      </c>
      <c r="J164" s="7">
        <v>8.0</v>
      </c>
    </row>
    <row r="165">
      <c r="A165" s="1">
        <v>163.0</v>
      </c>
      <c r="B165" s="1" t="s">
        <v>343</v>
      </c>
      <c r="C165" s="1" t="s">
        <v>20</v>
      </c>
      <c r="D165" s="1" t="s">
        <v>344</v>
      </c>
      <c r="E165" s="1">
        <v>9.0</v>
      </c>
      <c r="F165" s="6">
        <v>4.10897607803344E15</v>
      </c>
      <c r="G165" s="1">
        <f>IFERROR(__xludf.DUMMYFUNCTION("VALUE(REGEXEXTRACT(D165,""([0-9]+)[ ]*/[ ]*10""))"),8.0)</f>
        <v>8</v>
      </c>
      <c r="H165" s="7">
        <f t="shared" si="1"/>
        <v>1</v>
      </c>
      <c r="I165" s="8">
        <f t="shared" si="2"/>
        <v>1</v>
      </c>
      <c r="J165" s="7">
        <v>8.0</v>
      </c>
    </row>
    <row r="166">
      <c r="A166" s="1">
        <v>164.0</v>
      </c>
      <c r="B166" s="1" t="s">
        <v>345</v>
      </c>
      <c r="C166" s="1" t="s">
        <v>14</v>
      </c>
      <c r="D166" s="1" t="s">
        <v>346</v>
      </c>
      <c r="E166" s="1">
        <v>3.0</v>
      </c>
      <c r="F166" s="6">
        <v>4.3962866783142E15</v>
      </c>
      <c r="G166" s="1">
        <f>IFERROR(__xludf.DUMMYFUNCTION("VALUE(REGEXEXTRACT(D166,""([0-9]+)[ ]*/[ ]*10""))"),4.0)</f>
        <v>4</v>
      </c>
      <c r="H166" s="7">
        <f t="shared" si="1"/>
        <v>1</v>
      </c>
      <c r="I166" s="8">
        <f t="shared" si="2"/>
        <v>-1</v>
      </c>
      <c r="J166" s="7">
        <v>7.0</v>
      </c>
    </row>
    <row r="167">
      <c r="A167" s="1">
        <v>165.0</v>
      </c>
      <c r="B167" s="1" t="s">
        <v>347</v>
      </c>
      <c r="C167" s="1" t="s">
        <v>17</v>
      </c>
      <c r="D167" s="1" t="s">
        <v>348</v>
      </c>
      <c r="E167" s="1">
        <v>1.0</v>
      </c>
      <c r="F167" s="6">
        <v>4.24864256381988E15</v>
      </c>
      <c r="G167" s="1">
        <f>IFERROR(__xludf.DUMMYFUNCTION("VALUE(REGEXEXTRACT(D167,""([0-9]+)[ ]*/[ ]*10""))"),4.0)</f>
        <v>4</v>
      </c>
      <c r="H167" s="7">
        <f t="shared" si="1"/>
        <v>3</v>
      </c>
      <c r="I167" s="8">
        <f t="shared" si="2"/>
        <v>-3</v>
      </c>
      <c r="J167" s="7">
        <v>4.0</v>
      </c>
    </row>
    <row r="168">
      <c r="A168" s="1">
        <v>166.0</v>
      </c>
      <c r="B168" s="1" t="s">
        <v>349</v>
      </c>
      <c r="C168" s="1" t="s">
        <v>20</v>
      </c>
      <c r="D168" s="1" t="s">
        <v>350</v>
      </c>
      <c r="E168" s="1">
        <v>2.0</v>
      </c>
      <c r="F168" s="6">
        <v>4.27489063739776E15</v>
      </c>
      <c r="G168" s="1">
        <f>IFERROR(__xludf.DUMMYFUNCTION("VALUE(REGEXEXTRACT(D168,""([0-9]+)[ ]*/[ ]*10""))"),2.0)</f>
        <v>2</v>
      </c>
      <c r="H168" s="7">
        <f t="shared" si="1"/>
        <v>0</v>
      </c>
      <c r="I168" s="8">
        <f t="shared" si="2"/>
        <v>0</v>
      </c>
      <c r="J168" s="7">
        <v>4.0</v>
      </c>
    </row>
    <row r="169">
      <c r="A169" s="1">
        <v>167.0</v>
      </c>
      <c r="B169" s="1" t="s">
        <v>351</v>
      </c>
      <c r="C169" s="1" t="s">
        <v>23</v>
      </c>
      <c r="D169" s="1" t="s">
        <v>352</v>
      </c>
      <c r="E169" s="1">
        <v>1.0</v>
      </c>
      <c r="F169" s="6">
        <v>3.66562077999115E14</v>
      </c>
      <c r="G169" s="1">
        <f>IFERROR(__xludf.DUMMYFUNCTION("VALUE(REGEXEXTRACT(D169,""([0-9]+)[ ]*/[ ]*10""))"),4.0)</f>
        <v>4</v>
      </c>
      <c r="H169" s="7">
        <f t="shared" si="1"/>
        <v>3</v>
      </c>
      <c r="I169" s="8">
        <f t="shared" si="2"/>
        <v>-3</v>
      </c>
      <c r="J169" s="7">
        <v>3.0</v>
      </c>
    </row>
    <row r="170">
      <c r="A170" s="1">
        <v>168.0</v>
      </c>
      <c r="B170" s="1" t="s">
        <v>353</v>
      </c>
      <c r="C170" s="1" t="s">
        <v>14</v>
      </c>
      <c r="D170" s="1" t="s">
        <v>354</v>
      </c>
      <c r="E170" s="1">
        <v>9.0</v>
      </c>
      <c r="F170" s="6">
        <v>5.30242021083831E15</v>
      </c>
      <c r="G170" s="1">
        <f>IFERROR(__xludf.DUMMYFUNCTION("VALUE(REGEXEXTRACT(D170,""([0-9]+)[ ]*/[ ]*10""))"),6.0)</f>
        <v>6</v>
      </c>
      <c r="H170" s="7">
        <f t="shared" si="1"/>
        <v>3</v>
      </c>
      <c r="I170" s="8">
        <f t="shared" si="2"/>
        <v>3</v>
      </c>
      <c r="J170" s="7">
        <v>8.0</v>
      </c>
    </row>
    <row r="171">
      <c r="A171" s="1">
        <v>169.0</v>
      </c>
      <c r="B171" s="1" t="s">
        <v>355</v>
      </c>
      <c r="C171" s="1" t="s">
        <v>17</v>
      </c>
      <c r="D171" s="1" t="s">
        <v>356</v>
      </c>
      <c r="E171" s="1">
        <v>9.0</v>
      </c>
      <c r="F171" s="6">
        <v>4.64549515247345E14</v>
      </c>
      <c r="G171" s="1">
        <f>IFERROR(__xludf.DUMMYFUNCTION("VALUE(REGEXEXTRACT(D171,""([0-9]+)[ ]*/[ ]*10""))"),7.0)</f>
        <v>7</v>
      </c>
      <c r="H171" s="7">
        <f t="shared" si="1"/>
        <v>2</v>
      </c>
      <c r="I171" s="8">
        <f t="shared" si="2"/>
        <v>2</v>
      </c>
      <c r="J171" s="7">
        <v>5.0</v>
      </c>
    </row>
    <row r="172">
      <c r="A172" s="1">
        <v>170.0</v>
      </c>
      <c r="B172" s="1" t="s">
        <v>357</v>
      </c>
      <c r="C172" s="1" t="s">
        <v>20</v>
      </c>
      <c r="D172" s="1" t="s">
        <v>358</v>
      </c>
      <c r="E172" s="1">
        <v>8.0</v>
      </c>
      <c r="F172" s="6">
        <v>3.87208948135376E14</v>
      </c>
      <c r="G172" s="1">
        <f>IFERROR(__xludf.DUMMYFUNCTION("VALUE(REGEXEXTRACT(D172,""([0-9]+)[ ]*/[ ]*10""))"),7.0)</f>
        <v>7</v>
      </c>
      <c r="H172" s="7">
        <f t="shared" si="1"/>
        <v>1</v>
      </c>
      <c r="I172" s="8">
        <f t="shared" si="2"/>
        <v>1</v>
      </c>
      <c r="J172" s="7">
        <v>8.0</v>
      </c>
    </row>
    <row r="173">
      <c r="A173" s="1">
        <v>171.0</v>
      </c>
      <c r="B173" s="1" t="s">
        <v>359</v>
      </c>
      <c r="C173" s="1" t="s">
        <v>23</v>
      </c>
      <c r="D173" s="1" t="s">
        <v>360</v>
      </c>
      <c r="E173" s="1">
        <v>9.0</v>
      </c>
      <c r="F173" s="6">
        <v>4.57918565273284E15</v>
      </c>
      <c r="G173" s="1">
        <f>IFERROR(__xludf.DUMMYFUNCTION("VALUE(REGEXEXTRACT(D173,""([0-9]+)[ ]*/[ ]*10""))"),8.0)</f>
        <v>8</v>
      </c>
      <c r="H173" s="7">
        <f t="shared" si="1"/>
        <v>1</v>
      </c>
      <c r="I173" s="8">
        <f t="shared" si="2"/>
        <v>1</v>
      </c>
      <c r="J173" s="7">
        <v>7.0</v>
      </c>
    </row>
    <row r="174">
      <c r="A174" s="1">
        <v>172.0</v>
      </c>
      <c r="B174" s="1" t="s">
        <v>361</v>
      </c>
      <c r="C174" s="1" t="s">
        <v>14</v>
      </c>
      <c r="D174" s="1" t="s">
        <v>362</v>
      </c>
      <c r="E174" s="1">
        <v>5.0</v>
      </c>
      <c r="F174" s="6">
        <v>4.36473569869995E15</v>
      </c>
      <c r="G174" s="1">
        <f>IFERROR(__xludf.DUMMYFUNCTION("VALUE(REGEXEXTRACT(D174,""([0-9]+)[ ]*/[ ]*10""))"),4.0)</f>
        <v>4</v>
      </c>
      <c r="H174" s="7">
        <f t="shared" si="1"/>
        <v>1</v>
      </c>
      <c r="I174" s="8">
        <f t="shared" si="2"/>
        <v>1</v>
      </c>
      <c r="J174" s="7">
        <v>5.0</v>
      </c>
    </row>
    <row r="175">
      <c r="A175" s="1">
        <v>173.0</v>
      </c>
      <c r="B175" s="1" t="s">
        <v>363</v>
      </c>
      <c r="C175" s="1" t="s">
        <v>17</v>
      </c>
      <c r="D175" s="1" t="s">
        <v>364</v>
      </c>
      <c r="E175" s="1">
        <v>3.0</v>
      </c>
      <c r="F175" s="6">
        <v>4.89658467769622E15</v>
      </c>
      <c r="G175" s="1">
        <f>IFERROR(__xludf.DUMMYFUNCTION("VALUE(REGEXEXTRACT(D175,""([0-9]+)[ ]*/[ ]*10""))"),6.0)</f>
        <v>6</v>
      </c>
      <c r="H175" s="7">
        <f t="shared" si="1"/>
        <v>3</v>
      </c>
      <c r="I175" s="8">
        <f t="shared" si="2"/>
        <v>-3</v>
      </c>
      <c r="J175" s="7">
        <v>4.0</v>
      </c>
    </row>
    <row r="176">
      <c r="A176" s="1">
        <v>174.0</v>
      </c>
      <c r="B176" s="1" t="s">
        <v>365</v>
      </c>
      <c r="C176" s="1" t="s">
        <v>20</v>
      </c>
      <c r="D176" s="1" t="s">
        <v>366</v>
      </c>
      <c r="E176" s="1">
        <v>2.0</v>
      </c>
      <c r="F176" s="6">
        <v>4.1887995481491E15</v>
      </c>
      <c r="G176" s="1">
        <f>IFERROR(__xludf.DUMMYFUNCTION("VALUE(REGEXEXTRACT(D176,""([0-9]+)[ ]*/[ ]*10""))"),2.0)</f>
        <v>2</v>
      </c>
      <c r="H176" s="7">
        <f t="shared" si="1"/>
        <v>0</v>
      </c>
      <c r="I176" s="8">
        <f t="shared" si="2"/>
        <v>0</v>
      </c>
      <c r="J176" s="7">
        <v>3.0</v>
      </c>
    </row>
    <row r="177">
      <c r="A177" s="1">
        <v>175.0</v>
      </c>
      <c r="B177" s="1" t="s">
        <v>367</v>
      </c>
      <c r="C177" s="1" t="s">
        <v>23</v>
      </c>
      <c r="D177" s="1" t="s">
        <v>368</v>
      </c>
      <c r="E177" s="1">
        <v>2.0</v>
      </c>
      <c r="F177" s="6">
        <v>4.11406776905059E15</v>
      </c>
      <c r="G177" s="1">
        <f>IFERROR(__xludf.DUMMYFUNCTION("VALUE(REGEXEXTRACT(D177,""([0-9]+)[ ]*/[ ]*10""))"),4.0)</f>
        <v>4</v>
      </c>
      <c r="H177" s="7">
        <f t="shared" si="1"/>
        <v>2</v>
      </c>
      <c r="I177" s="8">
        <f t="shared" si="2"/>
        <v>-2</v>
      </c>
      <c r="J177" s="7">
        <v>5.0</v>
      </c>
    </row>
    <row r="178">
      <c r="A178" s="1">
        <v>176.0</v>
      </c>
      <c r="B178" s="1" t="s">
        <v>369</v>
      </c>
      <c r="C178" s="1" t="s">
        <v>14</v>
      </c>
      <c r="D178" s="1" t="s">
        <v>370</v>
      </c>
      <c r="E178" s="1">
        <v>6.0</v>
      </c>
      <c r="F178" s="6">
        <v>4.82375814914703E15</v>
      </c>
      <c r="G178" s="1">
        <f>IFERROR(__xludf.DUMMYFUNCTION("VALUE(REGEXEXTRACT(D178,""([0-9]+)[ ]*/[ ]*10""))"),6.0)</f>
        <v>6</v>
      </c>
      <c r="H178" s="7">
        <f t="shared" si="1"/>
        <v>0</v>
      </c>
      <c r="I178" s="8">
        <f t="shared" si="2"/>
        <v>0</v>
      </c>
      <c r="J178" s="7">
        <v>7.5</v>
      </c>
    </row>
    <row r="179">
      <c r="A179" s="1">
        <v>177.0</v>
      </c>
      <c r="B179" s="1" t="s">
        <v>371</v>
      </c>
      <c r="C179" s="1" t="s">
        <v>17</v>
      </c>
      <c r="D179" s="1" t="s">
        <v>372</v>
      </c>
      <c r="E179" s="1">
        <v>3.0</v>
      </c>
      <c r="F179" s="6">
        <v>4.24722282886505E15</v>
      </c>
      <c r="G179" s="1">
        <f>IFERROR(__xludf.DUMMYFUNCTION("VALUE(REGEXEXTRACT(D179,""([0-9]+)[ ]*/[ ]*10""))"),6.0)</f>
        <v>6</v>
      </c>
      <c r="H179" s="7">
        <f t="shared" si="1"/>
        <v>3</v>
      </c>
      <c r="I179" s="8">
        <f t="shared" si="2"/>
        <v>-3</v>
      </c>
      <c r="J179" s="7">
        <v>7.0</v>
      </c>
    </row>
    <row r="180">
      <c r="A180" s="1">
        <v>178.0</v>
      </c>
      <c r="B180" s="1" t="s">
        <v>373</v>
      </c>
      <c r="C180" s="1" t="s">
        <v>20</v>
      </c>
      <c r="D180" s="1" t="s">
        <v>374</v>
      </c>
      <c r="E180" s="1">
        <v>4.0</v>
      </c>
      <c r="F180" s="6">
        <v>5.61709842681884E15</v>
      </c>
      <c r="G180" s="1">
        <f>IFERROR(__xludf.DUMMYFUNCTION("VALUE(REGEXEXTRACT(D180,""([0-9]+)[ ]*/[ ]*10""))"),4.0)</f>
        <v>4</v>
      </c>
      <c r="H180" s="7">
        <f t="shared" si="1"/>
        <v>0</v>
      </c>
      <c r="I180" s="8">
        <f t="shared" si="2"/>
        <v>0</v>
      </c>
      <c r="J180" s="7">
        <v>4.0</v>
      </c>
    </row>
    <row r="181">
      <c r="A181" s="1">
        <v>179.0</v>
      </c>
      <c r="B181" s="1" t="s">
        <v>375</v>
      </c>
      <c r="C181" s="1" t="s">
        <v>23</v>
      </c>
      <c r="D181" s="1" t="s">
        <v>376</v>
      </c>
      <c r="E181" s="1">
        <v>5.0</v>
      </c>
      <c r="F181" s="6">
        <v>3.80454659461975E15</v>
      </c>
      <c r="G181" s="1">
        <f>IFERROR(__xludf.DUMMYFUNCTION("VALUE(REGEXEXTRACT(D181,""([0-9]+)[ ]*/[ ]*10""))"),4.0)</f>
        <v>4</v>
      </c>
      <c r="H181" s="7">
        <f t="shared" si="1"/>
        <v>1</v>
      </c>
      <c r="I181" s="8">
        <f t="shared" si="2"/>
        <v>1</v>
      </c>
      <c r="J181" s="7">
        <v>5.0</v>
      </c>
    </row>
    <row r="182">
      <c r="A182" s="1">
        <v>180.0</v>
      </c>
      <c r="B182" s="1" t="s">
        <v>377</v>
      </c>
      <c r="C182" s="1" t="s">
        <v>14</v>
      </c>
      <c r="D182" s="1" t="s">
        <v>378</v>
      </c>
      <c r="E182" s="1">
        <v>9.0</v>
      </c>
      <c r="F182" s="6">
        <v>4.57679059505462E16</v>
      </c>
      <c r="G182" s="1">
        <f>IFERROR(__xludf.DUMMYFUNCTION("VALUE(REGEXEXTRACT(D182,""([0-9]+)[ ]*/[ ]*10""))"),7.0)</f>
        <v>7</v>
      </c>
      <c r="H182" s="7">
        <f t="shared" si="1"/>
        <v>2</v>
      </c>
      <c r="I182" s="8">
        <f t="shared" si="2"/>
        <v>2</v>
      </c>
      <c r="J182" s="7">
        <v>8.0</v>
      </c>
    </row>
    <row r="183">
      <c r="A183" s="1">
        <v>181.0</v>
      </c>
      <c r="B183" s="1" t="s">
        <v>379</v>
      </c>
      <c r="C183" s="1" t="s">
        <v>17</v>
      </c>
      <c r="D183" s="1" t="s">
        <v>380</v>
      </c>
      <c r="E183" s="1">
        <v>8.0</v>
      </c>
      <c r="F183" s="6">
        <v>6.01979167461395E16</v>
      </c>
      <c r="G183" s="1">
        <f>IFERROR(__xludf.DUMMYFUNCTION("VALUE(REGEXEXTRACT(D183,""([0-9]+)[ ]*/[ ]*10""))"),7.0)</f>
        <v>7</v>
      </c>
      <c r="H183" s="7">
        <f t="shared" si="1"/>
        <v>1</v>
      </c>
      <c r="I183" s="8">
        <f t="shared" si="2"/>
        <v>1</v>
      </c>
      <c r="J183" s="7">
        <v>5.0</v>
      </c>
    </row>
    <row r="184">
      <c r="A184" s="1">
        <v>182.0</v>
      </c>
      <c r="B184" s="1" t="s">
        <v>381</v>
      </c>
      <c r="C184" s="1" t="s">
        <v>20</v>
      </c>
      <c r="D184" s="1" t="s">
        <v>382</v>
      </c>
      <c r="E184" s="1">
        <v>7.0</v>
      </c>
      <c r="F184" s="6">
        <v>4.20880937576293E16</v>
      </c>
      <c r="G184" s="1">
        <f>IFERROR(__xludf.DUMMYFUNCTION("VALUE(REGEXEXTRACT(D184,""([0-9]+)[ ]*/[ ]*10""))"),6.0)</f>
        <v>6</v>
      </c>
      <c r="H184" s="7">
        <f t="shared" si="1"/>
        <v>1</v>
      </c>
      <c r="I184" s="8">
        <f t="shared" si="2"/>
        <v>1</v>
      </c>
      <c r="J184" s="7">
        <v>6.0</v>
      </c>
    </row>
    <row r="185">
      <c r="A185" s="1">
        <v>183.0</v>
      </c>
      <c r="B185" s="1" t="s">
        <v>383</v>
      </c>
      <c r="C185" s="1" t="s">
        <v>23</v>
      </c>
      <c r="D185" s="1" t="s">
        <v>384</v>
      </c>
      <c r="E185" s="1">
        <v>7.0</v>
      </c>
      <c r="F185" s="6">
        <v>4.40948708057403E16</v>
      </c>
      <c r="G185" s="1">
        <f>IFERROR(__xludf.DUMMYFUNCTION("VALUE(REGEXEXTRACT(D185,""([0-9]+)[ ]*/[ ]*10""))"),6.0)</f>
        <v>6</v>
      </c>
      <c r="H185" s="7">
        <f t="shared" si="1"/>
        <v>1</v>
      </c>
      <c r="I185" s="8">
        <f t="shared" si="2"/>
        <v>1</v>
      </c>
      <c r="J185" s="7">
        <v>8.0</v>
      </c>
    </row>
    <row r="186">
      <c r="A186" s="1">
        <v>184.0</v>
      </c>
      <c r="B186" s="1" t="s">
        <v>385</v>
      </c>
      <c r="C186" s="1" t="s">
        <v>14</v>
      </c>
      <c r="D186" s="1" t="s">
        <v>386</v>
      </c>
      <c r="E186" s="1">
        <v>9.0</v>
      </c>
      <c r="F186" s="6">
        <v>4.93589420318603E15</v>
      </c>
      <c r="G186" s="1">
        <f>IFERROR(__xludf.DUMMYFUNCTION("VALUE(REGEXEXTRACT(D186,""([0-9]+)[ ]*/[ ]*10""))"),6.0)</f>
        <v>6</v>
      </c>
      <c r="H186" s="7">
        <f t="shared" si="1"/>
        <v>3</v>
      </c>
      <c r="I186" s="8">
        <f t="shared" si="2"/>
        <v>3</v>
      </c>
      <c r="J186" s="7">
        <v>8.0</v>
      </c>
    </row>
    <row r="187">
      <c r="A187" s="1">
        <v>185.0</v>
      </c>
      <c r="B187" s="1" t="s">
        <v>387</v>
      </c>
      <c r="C187" s="1" t="s">
        <v>17</v>
      </c>
      <c r="D187" s="1" t="s">
        <v>388</v>
      </c>
      <c r="E187" s="1">
        <v>5.0</v>
      </c>
      <c r="F187" s="6">
        <v>3.86976883411407E15</v>
      </c>
      <c r="G187" s="1">
        <f>IFERROR(__xludf.DUMMYFUNCTION("VALUE(REGEXEXTRACT(D187,""([0-9]+)[ ]*/[ ]*10""))"),6.0)</f>
        <v>6</v>
      </c>
      <c r="H187" s="7">
        <f t="shared" si="1"/>
        <v>1</v>
      </c>
      <c r="I187" s="8">
        <f t="shared" si="2"/>
        <v>-1</v>
      </c>
      <c r="J187" s="7">
        <v>4.0</v>
      </c>
    </row>
    <row r="188">
      <c r="A188" s="1">
        <v>186.0</v>
      </c>
      <c r="B188" s="1" t="s">
        <v>389</v>
      </c>
      <c r="C188" s="1" t="s">
        <v>20</v>
      </c>
      <c r="D188" s="1" t="s">
        <v>390</v>
      </c>
      <c r="E188" s="1">
        <v>6.0</v>
      </c>
      <c r="F188" s="6">
        <v>4.44995160102844E16</v>
      </c>
      <c r="G188" s="1">
        <f>IFERROR(__xludf.DUMMYFUNCTION("VALUE(REGEXEXTRACT(D188,""([0-9]+)[ ]*/[ ]*10""))"),6.0)</f>
        <v>6</v>
      </c>
      <c r="H188" s="7">
        <f t="shared" si="1"/>
        <v>0</v>
      </c>
      <c r="I188" s="8">
        <f t="shared" si="2"/>
        <v>0</v>
      </c>
      <c r="J188" s="7">
        <v>8.0</v>
      </c>
    </row>
    <row r="189">
      <c r="A189" s="1">
        <v>187.0</v>
      </c>
      <c r="B189" s="1" t="s">
        <v>391</v>
      </c>
      <c r="C189" s="1" t="s">
        <v>23</v>
      </c>
      <c r="D189" s="1" t="s">
        <v>392</v>
      </c>
      <c r="E189" s="1">
        <v>6.0</v>
      </c>
      <c r="F189" s="6">
        <v>4.05693106651306E16</v>
      </c>
      <c r="G189" s="1">
        <f>IFERROR(__xludf.DUMMYFUNCTION("VALUE(REGEXEXTRACT(D189,""([0-9]+)[ ]*/[ ]*10""))"),6.0)</f>
        <v>6</v>
      </c>
      <c r="H189" s="7">
        <f t="shared" si="1"/>
        <v>0</v>
      </c>
      <c r="I189" s="8">
        <f t="shared" si="2"/>
        <v>0</v>
      </c>
      <c r="J189" s="7">
        <v>8.0</v>
      </c>
    </row>
    <row r="190">
      <c r="A190" s="1">
        <v>188.0</v>
      </c>
      <c r="B190" s="1" t="s">
        <v>393</v>
      </c>
      <c r="C190" s="1" t="s">
        <v>14</v>
      </c>
      <c r="D190" s="1" t="s">
        <v>394</v>
      </c>
      <c r="E190" s="1">
        <v>10.0</v>
      </c>
      <c r="F190" s="6">
        <v>4.59373006820678E15</v>
      </c>
      <c r="G190" s="1">
        <f>IFERROR(__xludf.DUMMYFUNCTION("VALUE(REGEXEXTRACT(D190,""([0-9]+)[ ]*/[ ]*10""))"),7.0)</f>
        <v>7</v>
      </c>
      <c r="H190" s="7">
        <f t="shared" si="1"/>
        <v>3</v>
      </c>
      <c r="I190" s="8">
        <f t="shared" si="2"/>
        <v>3</v>
      </c>
      <c r="J190" s="7">
        <v>8.0</v>
      </c>
    </row>
    <row r="191">
      <c r="A191" s="1">
        <v>189.0</v>
      </c>
      <c r="B191" s="1" t="s">
        <v>395</v>
      </c>
      <c r="C191" s="1" t="s">
        <v>17</v>
      </c>
      <c r="D191" s="1" t="s">
        <v>396</v>
      </c>
      <c r="E191" s="1">
        <v>9.0</v>
      </c>
      <c r="F191" s="6">
        <v>4.42723281383514E15</v>
      </c>
      <c r="G191" s="1">
        <f>IFERROR(__xludf.DUMMYFUNCTION("VALUE(REGEXEXTRACT(D191,""([0-9]+)[ ]*/[ ]*10""))"),6.0)</f>
        <v>6</v>
      </c>
      <c r="H191" s="7">
        <f t="shared" si="1"/>
        <v>3</v>
      </c>
      <c r="I191" s="8">
        <f t="shared" si="2"/>
        <v>3</v>
      </c>
      <c r="J191" s="7">
        <v>8.0</v>
      </c>
    </row>
    <row r="192">
      <c r="A192" s="1">
        <v>190.0</v>
      </c>
      <c r="B192" s="1" t="s">
        <v>397</v>
      </c>
      <c r="C192" s="1" t="s">
        <v>20</v>
      </c>
      <c r="D192" s="1" t="s">
        <v>398</v>
      </c>
      <c r="E192" s="1">
        <v>8.0</v>
      </c>
      <c r="F192" s="6">
        <v>3.67500793933868E15</v>
      </c>
      <c r="G192" s="1">
        <f>IFERROR(__xludf.DUMMYFUNCTION("VALUE(REGEXEXTRACT(D192,""([0-9]+)[ ]*/[ ]*10""))"),6.0)</f>
        <v>6</v>
      </c>
      <c r="H192" s="7">
        <f t="shared" si="1"/>
        <v>2</v>
      </c>
      <c r="I192" s="8">
        <f t="shared" si="2"/>
        <v>2</v>
      </c>
      <c r="J192" s="7">
        <v>7.0</v>
      </c>
    </row>
    <row r="193">
      <c r="A193" s="1">
        <v>191.0</v>
      </c>
      <c r="B193" s="1" t="s">
        <v>399</v>
      </c>
      <c r="C193" s="1" t="s">
        <v>23</v>
      </c>
      <c r="D193" s="1" t="s">
        <v>400</v>
      </c>
      <c r="E193" s="1">
        <v>9.0</v>
      </c>
      <c r="F193" s="6">
        <v>3.81092588901519E15</v>
      </c>
      <c r="G193" s="1">
        <f>IFERROR(__xludf.DUMMYFUNCTION("VALUE(REGEXEXTRACT(D193,""([0-9]+)[ ]*/[ ]*10""))"),7.0)</f>
        <v>7</v>
      </c>
      <c r="H193" s="7">
        <f t="shared" si="1"/>
        <v>2</v>
      </c>
      <c r="I193" s="8">
        <f t="shared" si="2"/>
        <v>2</v>
      </c>
      <c r="J193" s="7">
        <v>8.0</v>
      </c>
    </row>
    <row r="194">
      <c r="A194" s="1">
        <v>192.0</v>
      </c>
      <c r="B194" s="1" t="s">
        <v>401</v>
      </c>
      <c r="C194" s="1" t="s">
        <v>14</v>
      </c>
      <c r="D194" s="1" t="s">
        <v>402</v>
      </c>
      <c r="E194" s="1">
        <v>4.0</v>
      </c>
      <c r="F194" s="6">
        <v>4.70928525924682E15</v>
      </c>
      <c r="G194" s="1">
        <f>IFERROR(__xludf.DUMMYFUNCTION("VALUE(REGEXEXTRACT(D194,""([0-9]+)[ ]*/[ ]*10""))"),6.0)</f>
        <v>6</v>
      </c>
      <c r="H194" s="7">
        <f t="shared" si="1"/>
        <v>2</v>
      </c>
      <c r="I194" s="8">
        <f t="shared" si="2"/>
        <v>-2</v>
      </c>
      <c r="J194" s="7">
        <v>8.0</v>
      </c>
    </row>
    <row r="195">
      <c r="A195" s="1">
        <v>193.0</v>
      </c>
      <c r="B195" s="1" t="s">
        <v>403</v>
      </c>
      <c r="C195" s="1" t="s">
        <v>17</v>
      </c>
      <c r="D195" s="1" t="s">
        <v>404</v>
      </c>
      <c r="E195" s="1">
        <v>2.0</v>
      </c>
      <c r="F195" s="6">
        <v>3.95641722679138E15</v>
      </c>
      <c r="G195" s="1">
        <f>IFERROR(__xludf.DUMMYFUNCTION("VALUE(REGEXEXTRACT(D195,""([0-9]+)[ ]*/[ ]*10""))"),6.0)</f>
        <v>6</v>
      </c>
      <c r="H195" s="7">
        <f t="shared" si="1"/>
        <v>4</v>
      </c>
      <c r="I195" s="8">
        <f t="shared" si="2"/>
        <v>-4</v>
      </c>
      <c r="J195" s="7">
        <v>5.0</v>
      </c>
    </row>
    <row r="196">
      <c r="A196" s="1">
        <v>194.0</v>
      </c>
      <c r="B196" s="1" t="s">
        <v>405</v>
      </c>
      <c r="C196" s="1" t="s">
        <v>20</v>
      </c>
      <c r="D196" s="1" t="s">
        <v>406</v>
      </c>
      <c r="E196" s="1">
        <v>4.0</v>
      </c>
      <c r="F196" s="6">
        <v>4.31815965175628E16</v>
      </c>
      <c r="G196" s="1">
        <f>IFERROR(__xludf.DUMMYFUNCTION("VALUE(REGEXEXTRACT(D196,""([0-9]+)[ ]*/[ ]*10""))"),6.0)</f>
        <v>6</v>
      </c>
      <c r="H196" s="7">
        <f t="shared" si="1"/>
        <v>2</v>
      </c>
      <c r="I196" s="8">
        <f t="shared" si="2"/>
        <v>-2</v>
      </c>
      <c r="J196" s="7">
        <v>7.0</v>
      </c>
    </row>
    <row r="197">
      <c r="A197" s="1">
        <v>195.0</v>
      </c>
      <c r="B197" s="1" t="s">
        <v>407</v>
      </c>
      <c r="C197" s="1" t="s">
        <v>23</v>
      </c>
      <c r="D197" s="1" t="s">
        <v>408</v>
      </c>
      <c r="E197" s="1">
        <v>7.0</v>
      </c>
      <c r="F197" s="6">
        <v>3.2927017211914E15</v>
      </c>
      <c r="G197" s="1">
        <f>IFERROR(__xludf.DUMMYFUNCTION("VALUE(REGEXEXTRACT(D197,""([0-9]+)[ ]*/[ ]*10""))"),8.0)</f>
        <v>8</v>
      </c>
      <c r="H197" s="7">
        <f t="shared" si="1"/>
        <v>1</v>
      </c>
      <c r="I197" s="8">
        <f t="shared" si="2"/>
        <v>-1</v>
      </c>
      <c r="J197" s="7">
        <v>6.0</v>
      </c>
    </row>
    <row r="198">
      <c r="A198" s="1">
        <v>196.0</v>
      </c>
      <c r="B198" s="1" t="s">
        <v>409</v>
      </c>
      <c r="C198" s="1" t="s">
        <v>14</v>
      </c>
      <c r="D198" s="1" t="s">
        <v>410</v>
      </c>
      <c r="E198" s="1">
        <v>5.0</v>
      </c>
      <c r="F198" s="6">
        <v>4.72231457233428E16</v>
      </c>
      <c r="G198" s="1">
        <f>IFERROR(__xludf.DUMMYFUNCTION("VALUE(REGEXEXTRACT(D198,""([0-9]+)[ ]*/[ ]*10""))"),4.0)</f>
        <v>4</v>
      </c>
      <c r="H198" s="7">
        <f t="shared" si="1"/>
        <v>1</v>
      </c>
      <c r="I198" s="8">
        <f t="shared" si="2"/>
        <v>1</v>
      </c>
      <c r="J198" s="7">
        <v>4.0</v>
      </c>
    </row>
    <row r="199">
      <c r="A199" s="1">
        <v>197.0</v>
      </c>
      <c r="B199" s="1" t="s">
        <v>411</v>
      </c>
      <c r="C199" s="1" t="s">
        <v>17</v>
      </c>
      <c r="D199" s="1" t="s">
        <v>412</v>
      </c>
      <c r="E199" s="1">
        <v>4.0</v>
      </c>
      <c r="F199" s="6">
        <v>5.18953146934509E15</v>
      </c>
      <c r="G199" s="1">
        <f>IFERROR(__xludf.DUMMYFUNCTION("VALUE(REGEXEXTRACT(D199,""([0-9]+)[ ]*/[ ]*10""))"),6.0)</f>
        <v>6</v>
      </c>
      <c r="H199" s="7">
        <f t="shared" si="1"/>
        <v>2</v>
      </c>
      <c r="I199" s="8">
        <f t="shared" si="2"/>
        <v>-2</v>
      </c>
      <c r="J199" s="7">
        <v>4.0</v>
      </c>
    </row>
    <row r="200">
      <c r="A200" s="1">
        <v>198.0</v>
      </c>
      <c r="B200" s="1" t="s">
        <v>413</v>
      </c>
      <c r="C200" s="1" t="s">
        <v>20</v>
      </c>
      <c r="D200" s="1" t="s">
        <v>414</v>
      </c>
      <c r="E200" s="1">
        <v>3.0</v>
      </c>
      <c r="F200" s="6">
        <v>4.05646777153015E16</v>
      </c>
      <c r="G200" s="1">
        <f>IFERROR(__xludf.DUMMYFUNCTION("VALUE(REGEXEXTRACT(D200,""([0-9]+)[ ]*/[ ]*10""))"),4.0)</f>
        <v>4</v>
      </c>
      <c r="H200" s="7">
        <f t="shared" si="1"/>
        <v>1</v>
      </c>
      <c r="I200" s="8">
        <f t="shared" si="2"/>
        <v>-1</v>
      </c>
      <c r="J200" s="7">
        <v>4.0</v>
      </c>
    </row>
    <row r="201">
      <c r="A201" s="1">
        <v>199.0</v>
      </c>
      <c r="B201" s="1" t="s">
        <v>415</v>
      </c>
      <c r="C201" s="1" t="s">
        <v>23</v>
      </c>
      <c r="D201" s="1" t="s">
        <v>416</v>
      </c>
      <c r="E201" s="1">
        <v>4.0</v>
      </c>
      <c r="F201" s="6">
        <v>3.75803756713867E15</v>
      </c>
      <c r="G201" s="1">
        <f>IFERROR(__xludf.DUMMYFUNCTION("VALUE(REGEXEXTRACT(D201,""([0-9]+)[ ]*/[ ]*10""))"),6.0)</f>
        <v>6</v>
      </c>
      <c r="H201" s="7">
        <f t="shared" si="1"/>
        <v>2</v>
      </c>
      <c r="I201" s="8">
        <f t="shared" si="2"/>
        <v>-2</v>
      </c>
      <c r="J201" s="7">
        <v>5.0</v>
      </c>
    </row>
    <row r="202">
      <c r="A202" s="1">
        <v>200.0</v>
      </c>
      <c r="B202" s="1" t="s">
        <v>417</v>
      </c>
      <c r="C202" s="1" t="s">
        <v>14</v>
      </c>
      <c r="D202" s="1" t="s">
        <v>418</v>
      </c>
      <c r="E202" s="1">
        <v>6.0</v>
      </c>
      <c r="F202" s="6">
        <v>4.18894846439361E15</v>
      </c>
      <c r="G202" s="1">
        <f>IFERROR(__xludf.DUMMYFUNCTION("VALUE(REGEXEXTRACT(D202,""([0-9]+)[ ]*/[ ]*10""))"),6.0)</f>
        <v>6</v>
      </c>
      <c r="H202" s="7">
        <f t="shared" si="1"/>
        <v>0</v>
      </c>
      <c r="I202" s="8">
        <f t="shared" si="2"/>
        <v>0</v>
      </c>
      <c r="J202" s="7">
        <v>7.0</v>
      </c>
    </row>
    <row r="203">
      <c r="A203" s="1">
        <v>201.0</v>
      </c>
      <c r="B203" s="1" t="s">
        <v>419</v>
      </c>
      <c r="C203" s="1" t="s">
        <v>17</v>
      </c>
      <c r="D203" s="1" t="s">
        <v>420</v>
      </c>
      <c r="E203" s="1">
        <v>4.0</v>
      </c>
      <c r="F203" s="6">
        <v>4.82268602848053E14</v>
      </c>
      <c r="G203" s="1">
        <f>IFERROR(__xludf.DUMMYFUNCTION("VALUE(REGEXEXTRACT(D203,""([0-9]+)[ ]*/[ ]*10""))"),6.0)</f>
        <v>6</v>
      </c>
      <c r="H203" s="7">
        <f t="shared" si="1"/>
        <v>2</v>
      </c>
      <c r="I203" s="8">
        <f t="shared" si="2"/>
        <v>-2</v>
      </c>
      <c r="J203" s="7">
        <v>8.0</v>
      </c>
    </row>
    <row r="204">
      <c r="A204" s="1">
        <v>202.0</v>
      </c>
      <c r="B204" s="1" t="s">
        <v>421</v>
      </c>
      <c r="C204" s="1" t="s">
        <v>20</v>
      </c>
      <c r="D204" s="1" t="s">
        <v>422</v>
      </c>
      <c r="E204" s="1">
        <v>7.0</v>
      </c>
      <c r="F204" s="6">
        <v>4.46917719841003E15</v>
      </c>
      <c r="G204" s="1">
        <f>IFERROR(__xludf.DUMMYFUNCTION("VALUE(REGEXEXTRACT(D204,""([0-9]+)[ ]*/[ ]*10""))"),6.0)</f>
        <v>6</v>
      </c>
      <c r="H204" s="7">
        <f t="shared" si="1"/>
        <v>1</v>
      </c>
      <c r="I204" s="8">
        <f t="shared" si="2"/>
        <v>1</v>
      </c>
      <c r="J204" s="7">
        <v>8.0</v>
      </c>
    </row>
    <row r="205">
      <c r="A205" s="1">
        <v>203.0</v>
      </c>
      <c r="B205" s="1" t="s">
        <v>423</v>
      </c>
      <c r="C205" s="1" t="s">
        <v>23</v>
      </c>
      <c r="D205" s="1" t="s">
        <v>424</v>
      </c>
      <c r="E205" s="1">
        <v>5.0</v>
      </c>
      <c r="F205" s="6">
        <v>3.62064313888549E15</v>
      </c>
      <c r="G205" s="1">
        <f>IFERROR(__xludf.DUMMYFUNCTION("VALUE(REGEXEXTRACT(D205,""([0-9]+)[ ]*/[ ]*10""))"),6.0)</f>
        <v>6</v>
      </c>
      <c r="H205" s="7">
        <f t="shared" si="1"/>
        <v>1</v>
      </c>
      <c r="I205" s="8">
        <f t="shared" si="2"/>
        <v>-1</v>
      </c>
      <c r="J205" s="7">
        <v>8.0</v>
      </c>
    </row>
    <row r="206">
      <c r="A206" s="1">
        <v>204.0</v>
      </c>
      <c r="B206" s="1" t="s">
        <v>425</v>
      </c>
      <c r="C206" s="1" t="s">
        <v>14</v>
      </c>
      <c r="D206" s="1" t="s">
        <v>426</v>
      </c>
      <c r="E206" s="1">
        <v>9.0</v>
      </c>
      <c r="F206" s="6">
        <v>4.60195429325103E16</v>
      </c>
      <c r="G206" s="1">
        <f>IFERROR(__xludf.DUMMYFUNCTION("VALUE(REGEXEXTRACT(D206,""([0-9]+)[ ]*/[ ]*10""))"),6.0)</f>
        <v>6</v>
      </c>
      <c r="H206" s="7">
        <f t="shared" si="1"/>
        <v>3</v>
      </c>
      <c r="I206" s="8">
        <f t="shared" si="2"/>
        <v>3</v>
      </c>
      <c r="J206" s="7">
        <v>6.0</v>
      </c>
    </row>
    <row r="207">
      <c r="A207" s="1">
        <v>205.0</v>
      </c>
      <c r="B207" s="1" t="s">
        <v>427</v>
      </c>
      <c r="C207" s="1" t="s">
        <v>17</v>
      </c>
      <c r="D207" s="1" t="s">
        <v>428</v>
      </c>
      <c r="E207" s="1">
        <v>8.0</v>
      </c>
      <c r="F207" s="6">
        <v>4.76918537616729E16</v>
      </c>
      <c r="G207" s="1">
        <f>IFERROR(__xludf.DUMMYFUNCTION("VALUE(REGEXEXTRACT(D207,""([0-9]+)[ ]*/[ ]*10""))"),7.0)</f>
        <v>7</v>
      </c>
      <c r="H207" s="7">
        <f t="shared" si="1"/>
        <v>1</v>
      </c>
      <c r="I207" s="8">
        <f t="shared" si="2"/>
        <v>1</v>
      </c>
      <c r="J207" s="7">
        <v>5.0</v>
      </c>
    </row>
    <row r="208">
      <c r="A208" s="1">
        <v>206.0</v>
      </c>
      <c r="B208" s="1" t="s">
        <v>429</v>
      </c>
      <c r="C208" s="1" t="s">
        <v>20</v>
      </c>
      <c r="D208" s="1" t="s">
        <v>430</v>
      </c>
      <c r="E208" s="1">
        <v>7.0</v>
      </c>
      <c r="F208" s="6">
        <v>4.21032969951629E16</v>
      </c>
      <c r="G208" s="1">
        <f>IFERROR(__xludf.DUMMYFUNCTION("VALUE(REGEXEXTRACT(D208,""([0-9]+)[ ]*/[ ]*10""))"),7.0)</f>
        <v>7</v>
      </c>
      <c r="H208" s="7">
        <f t="shared" si="1"/>
        <v>0</v>
      </c>
      <c r="I208" s="8">
        <f t="shared" si="2"/>
        <v>0</v>
      </c>
      <c r="J208" s="7">
        <v>8.0</v>
      </c>
    </row>
    <row r="209">
      <c r="A209" s="1">
        <v>207.0</v>
      </c>
      <c r="B209" s="1" t="s">
        <v>431</v>
      </c>
      <c r="C209" s="1" t="s">
        <v>23</v>
      </c>
      <c r="D209" s="1" t="s">
        <v>432</v>
      </c>
      <c r="E209" s="1">
        <v>7.0</v>
      </c>
      <c r="F209" s="6">
        <v>4.09668295383453E15</v>
      </c>
      <c r="G209" s="1">
        <f>IFERROR(__xludf.DUMMYFUNCTION("VALUE(REGEXEXTRACT(D209,""([0-9]+)[ ]*/[ ]*10""))"),7.0)</f>
        <v>7</v>
      </c>
      <c r="H209" s="7">
        <f t="shared" si="1"/>
        <v>0</v>
      </c>
      <c r="I209" s="8">
        <f t="shared" si="2"/>
        <v>0</v>
      </c>
      <c r="J209" s="7">
        <v>7.0</v>
      </c>
    </row>
    <row r="210">
      <c r="A210" s="1">
        <v>208.0</v>
      </c>
      <c r="B210" s="1" t="s">
        <v>433</v>
      </c>
      <c r="C210" s="1" t="s">
        <v>14</v>
      </c>
      <c r="D210" s="1" t="s">
        <v>434</v>
      </c>
      <c r="E210" s="1">
        <v>7.0</v>
      </c>
      <c r="F210" s="6">
        <v>4.24366428852081E15</v>
      </c>
      <c r="G210" s="1">
        <f>IFERROR(__xludf.DUMMYFUNCTION("VALUE(REGEXEXTRACT(D210,""([0-9]+)[ ]*/[ ]*10""))"),6.0)</f>
        <v>6</v>
      </c>
      <c r="H210" s="7">
        <f t="shared" si="1"/>
        <v>1</v>
      </c>
      <c r="I210" s="8">
        <f t="shared" si="2"/>
        <v>1</v>
      </c>
      <c r="J210" s="7">
        <v>8.0</v>
      </c>
    </row>
    <row r="211">
      <c r="A211" s="1">
        <v>209.0</v>
      </c>
      <c r="B211" s="1" t="s">
        <v>435</v>
      </c>
      <c r="C211" s="1" t="s">
        <v>17</v>
      </c>
      <c r="D211" s="1" t="s">
        <v>436</v>
      </c>
      <c r="E211" s="1">
        <v>5.0</v>
      </c>
      <c r="F211" s="6">
        <v>5.26175017356872E16</v>
      </c>
      <c r="G211" s="1">
        <f>IFERROR(__xludf.DUMMYFUNCTION("VALUE(REGEXEXTRACT(D211,""([0-9]+)[ ]*/[ ]*10""))"),6.0)</f>
        <v>6</v>
      </c>
      <c r="H211" s="7">
        <f t="shared" si="1"/>
        <v>1</v>
      </c>
      <c r="I211" s="8">
        <f t="shared" si="2"/>
        <v>-1</v>
      </c>
      <c r="J211" s="7">
        <v>8.0</v>
      </c>
    </row>
    <row r="212">
      <c r="A212" s="1">
        <v>210.0</v>
      </c>
      <c r="B212" s="1" t="s">
        <v>437</v>
      </c>
      <c r="C212" s="1" t="s">
        <v>20</v>
      </c>
      <c r="D212" s="1" t="s">
        <v>438</v>
      </c>
      <c r="E212" s="1">
        <v>4.0</v>
      </c>
      <c r="F212" s="6">
        <v>4.03386325836181E16</v>
      </c>
      <c r="G212" s="1">
        <f>IFERROR(__xludf.DUMMYFUNCTION("VALUE(REGEXEXTRACT(D212,""([0-9]+)[ ]*/[ ]*10""))"),6.0)</f>
        <v>6</v>
      </c>
      <c r="H212" s="7">
        <f t="shared" si="1"/>
        <v>2</v>
      </c>
      <c r="I212" s="8">
        <f t="shared" si="2"/>
        <v>-2</v>
      </c>
      <c r="J212" s="7">
        <v>6.0</v>
      </c>
    </row>
    <row r="213">
      <c r="A213" s="1">
        <v>211.0</v>
      </c>
      <c r="B213" s="1" t="s">
        <v>439</v>
      </c>
      <c r="C213" s="1" t="s">
        <v>23</v>
      </c>
      <c r="D213" s="1" t="s">
        <v>440</v>
      </c>
      <c r="E213" s="1">
        <v>4.0</v>
      </c>
      <c r="F213" s="6">
        <v>3.30240745544433E15</v>
      </c>
      <c r="G213" s="1">
        <f>IFERROR(__xludf.DUMMYFUNCTION("VALUE(REGEXEXTRACT(D213,""([0-9]+)[ ]*/[ ]*10""))"),6.0)</f>
        <v>6</v>
      </c>
      <c r="H213" s="7">
        <f t="shared" si="1"/>
        <v>2</v>
      </c>
      <c r="I213" s="8">
        <f t="shared" si="2"/>
        <v>-2</v>
      </c>
      <c r="J213" s="7">
        <v>4.0</v>
      </c>
    </row>
    <row r="214">
      <c r="A214" s="1">
        <v>212.0</v>
      </c>
      <c r="B214" s="1" t="s">
        <v>441</v>
      </c>
      <c r="C214" s="1" t="s">
        <v>14</v>
      </c>
      <c r="D214" s="1" t="s">
        <v>442</v>
      </c>
      <c r="E214" s="1">
        <v>10.0</v>
      </c>
      <c r="F214" s="6">
        <v>3.93212883472442E15</v>
      </c>
      <c r="G214" s="1">
        <f>IFERROR(__xludf.DUMMYFUNCTION("VALUE(REGEXEXTRACT(D214,""([0-9]+)[ ]*/[ ]*10""))"),7.0)</f>
        <v>7</v>
      </c>
      <c r="H214" s="7">
        <f t="shared" si="1"/>
        <v>3</v>
      </c>
      <c r="I214" s="8">
        <f t="shared" si="2"/>
        <v>3</v>
      </c>
      <c r="J214" s="7">
        <v>5.0</v>
      </c>
    </row>
    <row r="215">
      <c r="A215" s="1">
        <v>213.0</v>
      </c>
      <c r="B215" s="1" t="s">
        <v>443</v>
      </c>
      <c r="C215" s="1" t="s">
        <v>17</v>
      </c>
      <c r="D215" s="1" t="s">
        <v>444</v>
      </c>
      <c r="E215" s="1">
        <v>9.0</v>
      </c>
      <c r="F215" s="6">
        <v>4.38794894218444E15</v>
      </c>
      <c r="G215" s="1">
        <f>IFERROR(__xludf.DUMMYFUNCTION("VALUE(REGEXEXTRACT(D215,""([0-9]+)[ ]*/[ ]*10""))"),7.0)</f>
        <v>7</v>
      </c>
      <c r="H215" s="7">
        <f t="shared" si="1"/>
        <v>2</v>
      </c>
      <c r="I215" s="8">
        <f t="shared" si="2"/>
        <v>2</v>
      </c>
      <c r="J215" s="7">
        <v>8.0</v>
      </c>
    </row>
    <row r="216">
      <c r="A216" s="1">
        <v>214.0</v>
      </c>
      <c r="B216" s="1" t="s">
        <v>445</v>
      </c>
      <c r="C216" s="1" t="s">
        <v>20</v>
      </c>
      <c r="D216" s="1" t="s">
        <v>446</v>
      </c>
      <c r="E216" s="1">
        <v>8.0</v>
      </c>
      <c r="F216" s="6">
        <v>4.27304780483245E16</v>
      </c>
      <c r="G216" s="1">
        <f>IFERROR(__xludf.DUMMYFUNCTION("VALUE(REGEXEXTRACT(D216,""([0-9]+)[ ]*/[ ]*10""))"),7.0)</f>
        <v>7</v>
      </c>
      <c r="H216" s="7">
        <f t="shared" si="1"/>
        <v>1</v>
      </c>
      <c r="I216" s="8">
        <f t="shared" si="2"/>
        <v>1</v>
      </c>
      <c r="J216" s="7">
        <v>8.0</v>
      </c>
    </row>
    <row r="217">
      <c r="A217" s="1">
        <v>215.0</v>
      </c>
      <c r="B217" s="1" t="s">
        <v>447</v>
      </c>
      <c r="C217" s="1" t="s">
        <v>23</v>
      </c>
      <c r="D217" s="1" t="s">
        <v>448</v>
      </c>
      <c r="E217" s="1">
        <v>6.0</v>
      </c>
      <c r="F217" s="6">
        <v>4.73602924346923E15</v>
      </c>
      <c r="G217" s="1">
        <f>IFERROR(__xludf.DUMMYFUNCTION("VALUE(REGEXEXTRACT(D217,""([0-9]+)[ ]*/[ ]*10""))"),6.0)</f>
        <v>6</v>
      </c>
      <c r="H217" s="7">
        <f t="shared" si="1"/>
        <v>0</v>
      </c>
      <c r="I217" s="8">
        <f t="shared" si="2"/>
        <v>0</v>
      </c>
      <c r="J217" s="7">
        <v>6.0</v>
      </c>
    </row>
    <row r="218">
      <c r="A218" s="1">
        <v>216.0</v>
      </c>
      <c r="B218" s="1" t="s">
        <v>449</v>
      </c>
      <c r="C218" s="1" t="s">
        <v>14</v>
      </c>
      <c r="D218" s="1" t="s">
        <v>450</v>
      </c>
      <c r="E218" s="1">
        <v>5.0</v>
      </c>
      <c r="F218" s="6">
        <v>4.37105839252471E15</v>
      </c>
      <c r="G218" s="1">
        <f>IFERROR(__xludf.DUMMYFUNCTION("VALUE(REGEXEXTRACT(D218,""([0-9]+)[ ]*/[ ]*10""))"),6.0)</f>
        <v>6</v>
      </c>
      <c r="H218" s="7">
        <f t="shared" si="1"/>
        <v>1</v>
      </c>
      <c r="I218" s="8">
        <f t="shared" si="2"/>
        <v>-1</v>
      </c>
      <c r="J218" s="7">
        <v>7.0</v>
      </c>
    </row>
    <row r="219">
      <c r="A219" s="1">
        <v>217.0</v>
      </c>
      <c r="B219" s="1" t="s">
        <v>451</v>
      </c>
      <c r="C219" s="1" t="s">
        <v>17</v>
      </c>
      <c r="D219" s="1" t="s">
        <v>452</v>
      </c>
      <c r="E219" s="1">
        <v>4.0</v>
      </c>
      <c r="F219" s="6">
        <v>4.71387045383453E15</v>
      </c>
      <c r="G219" s="1">
        <f>IFERROR(__xludf.DUMMYFUNCTION("VALUE(REGEXEXTRACT(D219,""([0-9]+)[ ]*/[ ]*10""))"),4.0)</f>
        <v>4</v>
      </c>
      <c r="H219" s="7">
        <f t="shared" si="1"/>
        <v>0</v>
      </c>
      <c r="I219" s="8">
        <f t="shared" si="2"/>
        <v>0</v>
      </c>
      <c r="J219" s="7">
        <v>4.0</v>
      </c>
    </row>
    <row r="220">
      <c r="A220" s="1">
        <v>218.0</v>
      </c>
      <c r="B220" s="1" t="s">
        <v>453</v>
      </c>
      <c r="C220" s="1" t="s">
        <v>20</v>
      </c>
      <c r="D220" s="1" t="s">
        <v>454</v>
      </c>
      <c r="E220" s="1">
        <v>4.0</v>
      </c>
      <c r="F220" s="6">
        <v>4.06327567100524E15</v>
      </c>
      <c r="G220" s="1">
        <f>IFERROR(__xludf.DUMMYFUNCTION("VALUE(REGEXEXTRACT(D220,""([0-9]+)[ ]*/[ ]*10""))"),6.0)</f>
        <v>6</v>
      </c>
      <c r="H220" s="7">
        <f t="shared" si="1"/>
        <v>2</v>
      </c>
      <c r="I220" s="8">
        <f t="shared" si="2"/>
        <v>-2</v>
      </c>
      <c r="J220" s="7">
        <v>4.0</v>
      </c>
    </row>
    <row r="221">
      <c r="A221" s="1">
        <v>219.0</v>
      </c>
      <c r="B221" s="1" t="s">
        <v>455</v>
      </c>
      <c r="C221" s="1" t="s">
        <v>23</v>
      </c>
      <c r="D221" s="1" t="s">
        <v>456</v>
      </c>
      <c r="E221" s="1">
        <v>6.0</v>
      </c>
      <c r="F221" s="6">
        <v>3.88120498657226E16</v>
      </c>
      <c r="G221" s="1">
        <f>IFERROR(__xludf.DUMMYFUNCTION("VALUE(REGEXEXTRACT(D221,""([0-9]+)[ ]*/[ ]*10""))"),6.0)</f>
        <v>6</v>
      </c>
      <c r="H221" s="7">
        <f t="shared" si="1"/>
        <v>0</v>
      </c>
      <c r="I221" s="8">
        <f t="shared" si="2"/>
        <v>0</v>
      </c>
      <c r="J221" s="7">
        <v>8.0</v>
      </c>
    </row>
    <row r="222">
      <c r="A222" s="1">
        <v>220.0</v>
      </c>
      <c r="B222" s="1" t="s">
        <v>457</v>
      </c>
      <c r="C222" s="1" t="s">
        <v>14</v>
      </c>
      <c r="D222" s="1" t="s">
        <v>458</v>
      </c>
      <c r="E222" s="1">
        <v>9.0</v>
      </c>
      <c r="F222" s="6">
        <v>4.23171558380126E16</v>
      </c>
      <c r="G222" s="1">
        <f>IFERROR(__xludf.DUMMYFUNCTION("VALUE(REGEXEXTRACT(D222,""([0-9]+)[ ]*/[ ]*10""))"),6.0)</f>
        <v>6</v>
      </c>
      <c r="H222" s="7">
        <f t="shared" si="1"/>
        <v>3</v>
      </c>
      <c r="I222" s="8">
        <f t="shared" si="2"/>
        <v>3</v>
      </c>
      <c r="J222" s="7">
        <v>7.0</v>
      </c>
    </row>
    <row r="223">
      <c r="A223" s="1">
        <v>221.0</v>
      </c>
      <c r="B223" s="1" t="s">
        <v>459</v>
      </c>
      <c r="C223" s="1" t="s">
        <v>17</v>
      </c>
      <c r="D223" s="1" t="s">
        <v>460</v>
      </c>
      <c r="E223" s="1">
        <v>8.0</v>
      </c>
      <c r="F223" s="6">
        <v>3.85088081359863E15</v>
      </c>
      <c r="G223" s="1">
        <f>IFERROR(__xludf.DUMMYFUNCTION("VALUE(REGEXEXTRACT(D223,""([0-9]+)[ ]*/[ ]*10""))"),6.0)</f>
        <v>6</v>
      </c>
      <c r="H223" s="7">
        <f t="shared" si="1"/>
        <v>2</v>
      </c>
      <c r="I223" s="8">
        <f t="shared" si="2"/>
        <v>2</v>
      </c>
      <c r="J223" s="7">
        <v>7.0</v>
      </c>
    </row>
    <row r="224">
      <c r="A224" s="1">
        <v>222.0</v>
      </c>
      <c r="B224" s="1" t="s">
        <v>461</v>
      </c>
      <c r="C224" s="1" t="s">
        <v>20</v>
      </c>
      <c r="D224" s="1" t="s">
        <v>462</v>
      </c>
      <c r="E224" s="1">
        <v>8.0</v>
      </c>
      <c r="F224" s="6">
        <v>3.99949991703033E16</v>
      </c>
      <c r="G224" s="1">
        <f>IFERROR(__xludf.DUMMYFUNCTION("VALUE(REGEXEXTRACT(D224,""([0-9]+)[ ]*/[ ]*10""))"),6.0)</f>
        <v>6</v>
      </c>
      <c r="H224" s="7">
        <f t="shared" si="1"/>
        <v>2</v>
      </c>
      <c r="I224" s="8">
        <f t="shared" si="2"/>
        <v>2</v>
      </c>
      <c r="J224" s="7">
        <v>7.0</v>
      </c>
    </row>
    <row r="225">
      <c r="A225" s="1">
        <v>223.0</v>
      </c>
      <c r="B225" s="1" t="s">
        <v>463</v>
      </c>
      <c r="C225" s="1" t="s">
        <v>23</v>
      </c>
      <c r="D225" s="1" t="s">
        <v>464</v>
      </c>
      <c r="E225" s="1">
        <v>6.0</v>
      </c>
      <c r="F225" s="6">
        <v>4.59912855625152E15</v>
      </c>
      <c r="G225" s="1">
        <f>IFERROR(__xludf.DUMMYFUNCTION("VALUE(REGEXEXTRACT(D225,""([0-9]+)[ ]*/[ ]*10""))"),6.0)</f>
        <v>6</v>
      </c>
      <c r="H225" s="7">
        <f t="shared" si="1"/>
        <v>0</v>
      </c>
      <c r="I225" s="8">
        <f t="shared" si="2"/>
        <v>0</v>
      </c>
      <c r="J225" s="7">
        <v>4.0</v>
      </c>
    </row>
    <row r="226">
      <c r="A226" s="1">
        <v>224.0</v>
      </c>
      <c r="B226" s="1" t="s">
        <v>465</v>
      </c>
      <c r="C226" s="1" t="s">
        <v>14</v>
      </c>
      <c r="D226" s="1" t="s">
        <v>466</v>
      </c>
      <c r="E226" s="1">
        <v>7.0</v>
      </c>
      <c r="F226" s="6">
        <v>4.2780945777893E16</v>
      </c>
      <c r="G226" s="1">
        <f>IFERROR(__xludf.DUMMYFUNCTION("VALUE(REGEXEXTRACT(D226,""([0-9]+)[ ]*/[ ]*10""))"),6.0)</f>
        <v>6</v>
      </c>
      <c r="H226" s="7">
        <f t="shared" si="1"/>
        <v>1</v>
      </c>
      <c r="I226" s="8">
        <f t="shared" si="2"/>
        <v>1</v>
      </c>
      <c r="J226" s="7">
        <v>5.0</v>
      </c>
    </row>
    <row r="227">
      <c r="A227" s="1">
        <v>225.0</v>
      </c>
      <c r="B227" s="1" t="s">
        <v>467</v>
      </c>
      <c r="C227" s="1" t="s">
        <v>17</v>
      </c>
      <c r="D227" s="1" t="s">
        <v>468</v>
      </c>
      <c r="E227" s="1">
        <v>7.0</v>
      </c>
      <c r="F227" s="6">
        <v>4.47894098758697E15</v>
      </c>
      <c r="G227" s="1">
        <f>IFERROR(__xludf.DUMMYFUNCTION("VALUE(REGEXEXTRACT(D227,""([0-9]+)[ ]*/[ ]*10""))"),6.0)</f>
        <v>6</v>
      </c>
      <c r="H227" s="7">
        <f t="shared" si="1"/>
        <v>1</v>
      </c>
      <c r="I227" s="8">
        <f t="shared" si="2"/>
        <v>1</v>
      </c>
      <c r="J227" s="7">
        <v>4.0</v>
      </c>
    </row>
    <row r="228">
      <c r="A228" s="1">
        <v>226.0</v>
      </c>
      <c r="B228" s="1" t="s">
        <v>469</v>
      </c>
      <c r="C228" s="1" t="s">
        <v>20</v>
      </c>
      <c r="D228" s="1" t="s">
        <v>470</v>
      </c>
      <c r="E228" s="1">
        <v>5.0</v>
      </c>
      <c r="F228" s="6">
        <v>3.94818468093872E15</v>
      </c>
      <c r="G228" s="1">
        <f>IFERROR(__xludf.DUMMYFUNCTION("VALUE(REGEXEXTRACT(D228,""([0-9]+)[ ]*/[ ]*10""))"),6.0)</f>
        <v>6</v>
      </c>
      <c r="H228" s="7">
        <f t="shared" si="1"/>
        <v>1</v>
      </c>
      <c r="I228" s="8">
        <f t="shared" si="2"/>
        <v>-1</v>
      </c>
      <c r="J228" s="7">
        <v>5.0</v>
      </c>
    </row>
    <row r="229">
      <c r="A229" s="1">
        <v>227.0</v>
      </c>
      <c r="B229" s="1" t="s">
        <v>471</v>
      </c>
      <c r="C229" s="1" t="s">
        <v>23</v>
      </c>
      <c r="D229" s="1" t="s">
        <v>472</v>
      </c>
      <c r="E229" s="1">
        <v>6.0</v>
      </c>
      <c r="F229" s="6">
        <v>4.6539468050003E15</v>
      </c>
      <c r="G229" s="1">
        <f>IFERROR(__xludf.DUMMYFUNCTION("VALUE(REGEXEXTRACT(D229,""([0-9]+)[ ]*/[ ]*10""))"),6.0)</f>
        <v>6</v>
      </c>
      <c r="H229" s="7">
        <f t="shared" si="1"/>
        <v>0</v>
      </c>
      <c r="I229" s="8">
        <f t="shared" si="2"/>
        <v>0</v>
      </c>
      <c r="J229" s="7">
        <v>7.0</v>
      </c>
    </row>
    <row r="230">
      <c r="A230" s="1">
        <v>228.0</v>
      </c>
      <c r="B230" s="1" t="s">
        <v>473</v>
      </c>
      <c r="C230" s="1" t="s">
        <v>14</v>
      </c>
      <c r="D230" s="1" t="s">
        <v>474</v>
      </c>
      <c r="E230" s="1">
        <v>4.0</v>
      </c>
      <c r="F230" s="6">
        <v>4.9945861339569E15</v>
      </c>
      <c r="G230" s="1">
        <f>IFERROR(__xludf.DUMMYFUNCTION("VALUE(REGEXEXTRACT(D230,""([0-9]+)[ ]*/[ ]*10""))"),4.0)</f>
        <v>4</v>
      </c>
      <c r="H230" s="7">
        <f t="shared" si="1"/>
        <v>0</v>
      </c>
      <c r="I230" s="8">
        <f t="shared" si="2"/>
        <v>0</v>
      </c>
      <c r="J230" s="7">
        <v>7.0</v>
      </c>
    </row>
    <row r="231">
      <c r="A231" s="1">
        <v>229.0</v>
      </c>
      <c r="B231" s="1" t="s">
        <v>475</v>
      </c>
      <c r="C231" s="1" t="s">
        <v>17</v>
      </c>
      <c r="D231" s="1" t="s">
        <v>476</v>
      </c>
      <c r="E231" s="1">
        <v>7.0</v>
      </c>
      <c r="F231" s="6">
        <v>4.50701131820678E15</v>
      </c>
      <c r="G231" s="1">
        <f>IFERROR(__xludf.DUMMYFUNCTION("VALUE(REGEXEXTRACT(D231,""([0-9]+)[ ]*/[ ]*10""))"),6.0)</f>
        <v>6</v>
      </c>
      <c r="H231" s="7">
        <f t="shared" si="1"/>
        <v>1</v>
      </c>
      <c r="I231" s="8">
        <f t="shared" si="2"/>
        <v>1</v>
      </c>
      <c r="J231" s="7">
        <v>5.0</v>
      </c>
    </row>
    <row r="232">
      <c r="A232" s="1">
        <v>230.0</v>
      </c>
      <c r="B232" s="1" t="s">
        <v>477</v>
      </c>
      <c r="C232" s="1" t="s">
        <v>20</v>
      </c>
      <c r="D232" s="1" t="s">
        <v>478</v>
      </c>
      <c r="E232" s="1">
        <v>5.0</v>
      </c>
      <c r="F232" s="6">
        <v>4.00377748012542E15</v>
      </c>
      <c r="G232" s="1">
        <f>IFERROR(__xludf.DUMMYFUNCTION("VALUE(REGEXEXTRACT(D232,""([0-9]+)[ ]*/[ ]*10""))"),6.0)</f>
        <v>6</v>
      </c>
      <c r="H232" s="7">
        <f t="shared" si="1"/>
        <v>1</v>
      </c>
      <c r="I232" s="8">
        <f t="shared" si="2"/>
        <v>-1</v>
      </c>
      <c r="J232" s="7">
        <v>8.0</v>
      </c>
    </row>
    <row r="233">
      <c r="A233" s="1">
        <v>231.0</v>
      </c>
      <c r="B233" s="1" t="s">
        <v>479</v>
      </c>
      <c r="C233" s="1" t="s">
        <v>23</v>
      </c>
      <c r="D233" s="1" t="s">
        <v>480</v>
      </c>
      <c r="E233" s="1">
        <v>4.0</v>
      </c>
      <c r="F233" s="6">
        <v>4.017480635643E16</v>
      </c>
      <c r="G233" s="1">
        <f>IFERROR(__xludf.DUMMYFUNCTION("VALUE(REGEXEXTRACT(D233,""([0-9]+)[ ]*/[ ]*10""))"),6.0)</f>
        <v>6</v>
      </c>
      <c r="H233" s="7">
        <f t="shared" si="1"/>
        <v>2</v>
      </c>
      <c r="I233" s="8">
        <f t="shared" si="2"/>
        <v>-2</v>
      </c>
      <c r="J233" s="7">
        <v>4.0</v>
      </c>
    </row>
    <row r="234">
      <c r="A234" s="1">
        <v>232.0</v>
      </c>
      <c r="B234" s="1" t="s">
        <v>481</v>
      </c>
      <c r="C234" s="1" t="s">
        <v>14</v>
      </c>
      <c r="D234" s="1" t="s">
        <v>482</v>
      </c>
      <c r="E234" s="1">
        <v>10.0</v>
      </c>
      <c r="F234" s="6">
        <v>5.02900872230529E15</v>
      </c>
      <c r="G234" s="1">
        <f>IFERROR(__xludf.DUMMYFUNCTION("VALUE(REGEXEXTRACT(D234,""([0-9]+)[ ]*/[ ]*10""))"),6.0)</f>
        <v>6</v>
      </c>
      <c r="H234" s="7">
        <f t="shared" si="1"/>
        <v>4</v>
      </c>
      <c r="I234" s="8">
        <f t="shared" si="2"/>
        <v>4</v>
      </c>
      <c r="J234" s="7">
        <v>8.0</v>
      </c>
    </row>
    <row r="235">
      <c r="A235" s="1">
        <v>233.0</v>
      </c>
      <c r="B235" s="1" t="s">
        <v>483</v>
      </c>
      <c r="C235" s="1" t="s">
        <v>17</v>
      </c>
      <c r="D235" s="1" t="s">
        <v>484</v>
      </c>
      <c r="E235" s="1">
        <v>9.0</v>
      </c>
      <c r="F235" s="6">
        <v>4.67533767223358E16</v>
      </c>
      <c r="G235" s="1">
        <f>IFERROR(__xludf.DUMMYFUNCTION("VALUE(REGEXEXTRACT(D235,""([0-9]+)[ ]*/[ ]*10""))"),7.0)</f>
        <v>7</v>
      </c>
      <c r="H235" s="7">
        <f t="shared" si="1"/>
        <v>2</v>
      </c>
      <c r="I235" s="8">
        <f t="shared" si="2"/>
        <v>2</v>
      </c>
      <c r="J235" s="7">
        <v>8.0</v>
      </c>
    </row>
    <row r="236">
      <c r="A236" s="1">
        <v>234.0</v>
      </c>
      <c r="B236" s="1" t="s">
        <v>485</v>
      </c>
      <c r="C236" s="1" t="s">
        <v>20</v>
      </c>
      <c r="D236" s="1" t="s">
        <v>486</v>
      </c>
      <c r="E236" s="1">
        <v>9.0</v>
      </c>
      <c r="F236" s="6">
        <v>5.21194338798522E16</v>
      </c>
      <c r="G236" s="1">
        <f>IFERROR(__xludf.DUMMYFUNCTION("VALUE(REGEXEXTRACT(D236,""([0-9]+)[ ]*/[ ]*10""))"),7.0)</f>
        <v>7</v>
      </c>
      <c r="H236" s="7">
        <f t="shared" si="1"/>
        <v>2</v>
      </c>
      <c r="I236" s="8">
        <f t="shared" si="2"/>
        <v>2</v>
      </c>
      <c r="J236" s="7">
        <v>5.0</v>
      </c>
    </row>
    <row r="237">
      <c r="A237" s="1">
        <v>235.0</v>
      </c>
      <c r="B237" s="1" t="s">
        <v>487</v>
      </c>
      <c r="C237" s="1" t="s">
        <v>23</v>
      </c>
      <c r="D237" s="1" t="s">
        <v>488</v>
      </c>
      <c r="E237" s="1">
        <v>7.0</v>
      </c>
      <c r="F237" s="6">
        <v>4.02541627883911E15</v>
      </c>
      <c r="G237" s="1">
        <f>IFERROR(__xludf.DUMMYFUNCTION("VALUE(REGEXEXTRACT(D237,""([0-9]+)[ ]*/[ ]*10""))"),7.0)</f>
        <v>7</v>
      </c>
      <c r="H237" s="7">
        <f t="shared" si="1"/>
        <v>0</v>
      </c>
      <c r="I237" s="8">
        <f t="shared" si="2"/>
        <v>0</v>
      </c>
      <c r="J237" s="7">
        <v>7.0</v>
      </c>
    </row>
    <row r="238">
      <c r="A238" s="1">
        <v>236.0</v>
      </c>
      <c r="B238" s="1" t="s">
        <v>489</v>
      </c>
      <c r="C238" s="1" t="s">
        <v>14</v>
      </c>
      <c r="D238" s="1" t="s">
        <v>490</v>
      </c>
      <c r="E238" s="1">
        <v>9.0</v>
      </c>
      <c r="F238" s="6">
        <v>4.81000487804412E16</v>
      </c>
      <c r="G238" s="1">
        <f>IFERROR(__xludf.DUMMYFUNCTION("VALUE(REGEXEXTRACT(D238,""([0-9]+)[ ]*/[ ]*10""))"),6.0)</f>
        <v>6</v>
      </c>
      <c r="H238" s="7">
        <f t="shared" si="1"/>
        <v>3</v>
      </c>
      <c r="I238" s="8">
        <f t="shared" si="2"/>
        <v>3</v>
      </c>
      <c r="J238" s="7">
        <v>6.0</v>
      </c>
    </row>
    <row r="239">
      <c r="A239" s="1">
        <v>237.0</v>
      </c>
      <c r="B239" s="1" t="s">
        <v>491</v>
      </c>
      <c r="C239" s="1" t="s">
        <v>17</v>
      </c>
      <c r="D239" s="1" t="s">
        <v>492</v>
      </c>
      <c r="E239" s="1">
        <v>5.0</v>
      </c>
      <c r="F239" s="6">
        <v>4.78235073089599E15</v>
      </c>
      <c r="G239" s="1">
        <f>IFERROR(__xludf.DUMMYFUNCTION("VALUE(REGEXEXTRACT(D239,""([0-9]+)[ ]*/[ ]*10""))"),4.0)</f>
        <v>4</v>
      </c>
      <c r="H239" s="7">
        <f t="shared" si="1"/>
        <v>1</v>
      </c>
      <c r="I239" s="8">
        <f t="shared" si="2"/>
        <v>1</v>
      </c>
      <c r="J239" s="7">
        <v>5.0</v>
      </c>
    </row>
    <row r="240">
      <c r="A240" s="1">
        <v>238.0</v>
      </c>
      <c r="B240" s="1" t="s">
        <v>493</v>
      </c>
      <c r="C240" s="1" t="s">
        <v>20</v>
      </c>
      <c r="D240" s="1" t="s">
        <v>494</v>
      </c>
      <c r="E240" s="1">
        <v>8.0</v>
      </c>
      <c r="F240" s="6">
        <v>3.51323828697204E15</v>
      </c>
      <c r="G240" s="1">
        <f>IFERROR(__xludf.DUMMYFUNCTION("VALUE(REGEXEXTRACT(D240,""([0-9]+)[ ]*/[ ]*10""))"),6.0)</f>
        <v>6</v>
      </c>
      <c r="H240" s="7">
        <f t="shared" si="1"/>
        <v>2</v>
      </c>
      <c r="I240" s="8">
        <f t="shared" si="2"/>
        <v>2</v>
      </c>
      <c r="J240" s="7">
        <v>8.0</v>
      </c>
    </row>
    <row r="241">
      <c r="A241" s="1">
        <v>239.0</v>
      </c>
      <c r="B241" s="1" t="s">
        <v>495</v>
      </c>
      <c r="C241" s="1" t="s">
        <v>23</v>
      </c>
      <c r="D241" s="1" t="s">
        <v>496</v>
      </c>
      <c r="E241" s="1">
        <v>5.0</v>
      </c>
      <c r="F241" s="6">
        <v>3.91358585357666E14</v>
      </c>
      <c r="G241" s="1">
        <f>IFERROR(__xludf.DUMMYFUNCTION("VALUE(REGEXEXTRACT(D241,""([0-9]+)[ ]*/[ ]*10""))"),6.0)</f>
        <v>6</v>
      </c>
      <c r="H241" s="7">
        <f t="shared" si="1"/>
        <v>1</v>
      </c>
      <c r="I241" s="8">
        <f t="shared" si="2"/>
        <v>-1</v>
      </c>
      <c r="J241" s="7">
        <v>8.0</v>
      </c>
    </row>
    <row r="242">
      <c r="A242" s="1">
        <v>240.0</v>
      </c>
      <c r="B242" s="1" t="s">
        <v>497</v>
      </c>
      <c r="C242" s="1" t="s">
        <v>14</v>
      </c>
      <c r="D242" s="1" t="s">
        <v>498</v>
      </c>
      <c r="E242" s="1">
        <v>7.0</v>
      </c>
      <c r="F242" s="6">
        <v>4.16929419040679E15</v>
      </c>
      <c r="G242" s="1">
        <f>IFERROR(__xludf.DUMMYFUNCTION("VALUE(REGEXEXTRACT(D242,""([0-9]+)[ ]*/[ ]*10""))"),6.0)</f>
        <v>6</v>
      </c>
      <c r="H242" s="7">
        <f t="shared" si="1"/>
        <v>1</v>
      </c>
      <c r="I242" s="8">
        <f t="shared" si="2"/>
        <v>1</v>
      </c>
      <c r="J242" s="7">
        <v>7.0</v>
      </c>
    </row>
    <row r="243">
      <c r="A243" s="1">
        <v>241.0</v>
      </c>
      <c r="B243" s="1" t="s">
        <v>499</v>
      </c>
      <c r="C243" s="1" t="s">
        <v>17</v>
      </c>
      <c r="D243" s="1" t="s">
        <v>500</v>
      </c>
      <c r="E243" s="1">
        <v>3.0</v>
      </c>
      <c r="F243" s="6">
        <v>4.75786566734314E14</v>
      </c>
      <c r="G243" s="1">
        <f>IFERROR(__xludf.DUMMYFUNCTION("VALUE(REGEXEXTRACT(D243,""([0-9]+)[ ]*/[ ]*10""))"),6.0)</f>
        <v>6</v>
      </c>
      <c r="H243" s="7">
        <f t="shared" si="1"/>
        <v>3</v>
      </c>
      <c r="I243" s="8">
        <f t="shared" si="2"/>
        <v>-3</v>
      </c>
      <c r="J243" s="7">
        <v>5.0</v>
      </c>
    </row>
    <row r="244">
      <c r="A244" s="1">
        <v>242.0</v>
      </c>
      <c r="B244" s="1" t="s">
        <v>501</v>
      </c>
      <c r="C244" s="1" t="s">
        <v>20</v>
      </c>
      <c r="D244" s="1" t="s">
        <v>502</v>
      </c>
      <c r="E244" s="1">
        <v>7.0</v>
      </c>
      <c r="F244" s="6">
        <v>3.91950306892395E14</v>
      </c>
      <c r="G244" s="1">
        <f>IFERROR(__xludf.DUMMYFUNCTION("VALUE(REGEXEXTRACT(D244,""([0-9]+)[ ]*/[ ]*10""))"),6.0)</f>
        <v>6</v>
      </c>
      <c r="H244" s="7">
        <f t="shared" si="1"/>
        <v>1</v>
      </c>
      <c r="I244" s="8">
        <f t="shared" si="2"/>
        <v>1</v>
      </c>
      <c r="J244" s="7">
        <v>5.0</v>
      </c>
    </row>
    <row r="245">
      <c r="A245" s="1">
        <v>243.0</v>
      </c>
      <c r="B245" s="1" t="s">
        <v>503</v>
      </c>
      <c r="C245" s="1" t="s">
        <v>23</v>
      </c>
      <c r="D245" s="1" t="s">
        <v>504</v>
      </c>
      <c r="E245" s="1">
        <v>5.0</v>
      </c>
      <c r="F245" s="6">
        <v>4.01995251178741E16</v>
      </c>
      <c r="G245" s="1">
        <f>IFERROR(__xludf.DUMMYFUNCTION("VALUE(REGEXEXTRACT(D245,""([0-9]+)[ ]*/[ ]*10""))"),6.0)</f>
        <v>6</v>
      </c>
      <c r="H245" s="7">
        <f t="shared" si="1"/>
        <v>1</v>
      </c>
      <c r="I245" s="8">
        <f t="shared" si="2"/>
        <v>-1</v>
      </c>
      <c r="J245" s="7">
        <v>7.0</v>
      </c>
    </row>
    <row r="246">
      <c r="A246" s="1">
        <v>244.0</v>
      </c>
      <c r="B246" s="1" t="s">
        <v>505</v>
      </c>
      <c r="C246" s="1" t="s">
        <v>14</v>
      </c>
      <c r="D246" s="1" t="s">
        <v>506</v>
      </c>
      <c r="E246" s="1">
        <v>7.0</v>
      </c>
      <c r="F246" s="6">
        <v>4.28310136795043E16</v>
      </c>
      <c r="G246" s="1">
        <f>IFERROR(__xludf.DUMMYFUNCTION("VALUE(REGEXEXTRACT(D246,""([0-9]+)[ ]*/[ ]*10""))"),6.0)</f>
        <v>6</v>
      </c>
      <c r="H246" s="7">
        <f t="shared" si="1"/>
        <v>1</v>
      </c>
      <c r="I246" s="8">
        <f t="shared" si="2"/>
        <v>1</v>
      </c>
      <c r="J246" s="7">
        <v>8.0</v>
      </c>
    </row>
    <row r="247">
      <c r="A247" s="1">
        <v>245.0</v>
      </c>
      <c r="B247" s="1" t="s">
        <v>507</v>
      </c>
      <c r="C247" s="1" t="s">
        <v>17</v>
      </c>
      <c r="D247" s="1" t="s">
        <v>508</v>
      </c>
      <c r="E247" s="1">
        <v>7.0</v>
      </c>
      <c r="F247" s="6">
        <v>5.40034971237182E15</v>
      </c>
      <c r="G247" s="1">
        <f>IFERROR(__xludf.DUMMYFUNCTION("VALUE(REGEXEXTRACT(D247,""([0-9]+)[ ]*/[ ]*10""))"),6.0)</f>
        <v>6</v>
      </c>
      <c r="H247" s="7">
        <f t="shared" si="1"/>
        <v>1</v>
      </c>
      <c r="I247" s="8">
        <f t="shared" si="2"/>
        <v>1</v>
      </c>
      <c r="J247" s="7">
        <v>8.0</v>
      </c>
    </row>
    <row r="248">
      <c r="A248" s="1">
        <v>246.0</v>
      </c>
      <c r="B248" s="1" t="s">
        <v>509</v>
      </c>
      <c r="C248" s="1" t="s">
        <v>20</v>
      </c>
      <c r="D248" s="1" t="s">
        <v>510</v>
      </c>
      <c r="E248" s="1">
        <v>4.0</v>
      </c>
      <c r="F248" s="6">
        <v>4.91783173084259E14</v>
      </c>
      <c r="G248" s="1">
        <f>IFERROR(__xludf.DUMMYFUNCTION("VALUE(REGEXEXTRACT(D248,""([0-9]+)[ ]*/[ ]*10""))"),6.0)</f>
        <v>6</v>
      </c>
      <c r="H248" s="7">
        <f t="shared" si="1"/>
        <v>2</v>
      </c>
      <c r="I248" s="8">
        <f t="shared" si="2"/>
        <v>-2</v>
      </c>
      <c r="J248" s="7">
        <v>5.0</v>
      </c>
    </row>
    <row r="249">
      <c r="A249" s="1">
        <v>247.0</v>
      </c>
      <c r="B249" s="1" t="s">
        <v>511</v>
      </c>
      <c r="C249" s="1" t="s">
        <v>23</v>
      </c>
      <c r="D249" s="1" t="s">
        <v>512</v>
      </c>
      <c r="E249" s="1">
        <v>6.0</v>
      </c>
      <c r="F249" s="6">
        <v>4.39087359905242E15</v>
      </c>
      <c r="G249" s="1">
        <f>IFERROR(__xludf.DUMMYFUNCTION("VALUE(REGEXEXTRACT(D249,""([0-9]+)[ ]*/[ ]*10""))"),6.0)</f>
        <v>6</v>
      </c>
      <c r="H249" s="7">
        <f t="shared" si="1"/>
        <v>0</v>
      </c>
      <c r="I249" s="8">
        <f t="shared" si="2"/>
        <v>0</v>
      </c>
      <c r="J249" s="7">
        <v>8.0</v>
      </c>
    </row>
    <row r="250">
      <c r="A250" s="1">
        <v>248.0</v>
      </c>
      <c r="B250" s="1" t="s">
        <v>513</v>
      </c>
      <c r="C250" s="1" t="s">
        <v>14</v>
      </c>
      <c r="D250" s="1" t="s">
        <v>514</v>
      </c>
      <c r="E250" s="1">
        <v>8.0</v>
      </c>
      <c r="F250" s="6">
        <v>3.84333975315094E14</v>
      </c>
      <c r="G250" s="1">
        <f>IFERROR(__xludf.DUMMYFUNCTION("VALUE(REGEXEXTRACT(D250,""([0-9]+)[ ]*/[ ]*10""))"),6.0)</f>
        <v>6</v>
      </c>
      <c r="H250" s="7">
        <f t="shared" si="1"/>
        <v>2</v>
      </c>
      <c r="I250" s="8">
        <f t="shared" si="2"/>
        <v>2</v>
      </c>
      <c r="J250" s="7">
        <v>7.0</v>
      </c>
    </row>
    <row r="251">
      <c r="A251" s="1">
        <v>249.0</v>
      </c>
      <c r="B251" s="1" t="s">
        <v>515</v>
      </c>
      <c r="C251" s="1" t="s">
        <v>17</v>
      </c>
      <c r="D251" s="1" t="s">
        <v>516</v>
      </c>
      <c r="E251" s="1">
        <v>5.0</v>
      </c>
      <c r="F251" s="6">
        <v>3.71643223762512E15</v>
      </c>
      <c r="G251" s="1">
        <f>IFERROR(__xludf.DUMMYFUNCTION("VALUE(REGEXEXTRACT(D251,""([0-9]+)[ ]*/[ ]*10""))"),4.0)</f>
        <v>4</v>
      </c>
      <c r="H251" s="7">
        <f t="shared" si="1"/>
        <v>1</v>
      </c>
      <c r="I251" s="8">
        <f t="shared" si="2"/>
        <v>1</v>
      </c>
      <c r="J251" s="7">
        <v>5.0</v>
      </c>
    </row>
    <row r="252">
      <c r="A252" s="1">
        <v>250.0</v>
      </c>
      <c r="B252" s="1" t="s">
        <v>517</v>
      </c>
      <c r="C252" s="1" t="s">
        <v>20</v>
      </c>
      <c r="D252" s="1" t="s">
        <v>518</v>
      </c>
      <c r="E252" s="1">
        <v>4.0</v>
      </c>
      <c r="F252" s="6">
        <v>4.31551122665405E15</v>
      </c>
      <c r="G252" s="1">
        <f>IFERROR(__xludf.DUMMYFUNCTION("VALUE(REGEXEXTRACT(D252,""([0-9]+)[ ]*/[ ]*10""))"),4.0)</f>
        <v>4</v>
      </c>
      <c r="H252" s="7">
        <f t="shared" si="1"/>
        <v>0</v>
      </c>
      <c r="I252" s="8">
        <f t="shared" si="2"/>
        <v>0</v>
      </c>
      <c r="J252" s="7">
        <v>4.0</v>
      </c>
    </row>
    <row r="253">
      <c r="A253" s="1">
        <v>251.0</v>
      </c>
      <c r="B253" s="1" t="s">
        <v>519</v>
      </c>
      <c r="C253" s="1" t="s">
        <v>14</v>
      </c>
      <c r="D253" s="1" t="s">
        <v>520</v>
      </c>
      <c r="E253" s="1">
        <v>9.0</v>
      </c>
      <c r="F253" s="6">
        <v>5.66725449562072E16</v>
      </c>
      <c r="G253" s="1">
        <f>IFERROR(__xludf.DUMMYFUNCTION("VALUE(REGEXEXTRACT(D253,""([0-9]+)[ ]*/[ ]*10""))"),6.0)</f>
        <v>6</v>
      </c>
      <c r="H253" s="7">
        <f t="shared" si="1"/>
        <v>3</v>
      </c>
      <c r="I253" s="8">
        <f t="shared" si="2"/>
        <v>3</v>
      </c>
      <c r="J253" s="7">
        <v>6.5</v>
      </c>
    </row>
    <row r="254">
      <c r="A254" s="1">
        <v>252.0</v>
      </c>
      <c r="B254" s="1" t="s">
        <v>521</v>
      </c>
      <c r="C254" s="1" t="s">
        <v>17</v>
      </c>
      <c r="D254" s="1" t="s">
        <v>522</v>
      </c>
      <c r="E254" s="1">
        <v>3.0</v>
      </c>
      <c r="F254" s="6">
        <v>4.62947087287902E15</v>
      </c>
      <c r="G254" s="1">
        <f>IFERROR(__xludf.DUMMYFUNCTION("VALUE(REGEXEXTRACT(D254,""([0-9]+)[ ]*/[ ]*10""))"),4.0)</f>
        <v>4</v>
      </c>
      <c r="H254" s="7">
        <f t="shared" si="1"/>
        <v>1</v>
      </c>
      <c r="I254" s="8">
        <f t="shared" si="2"/>
        <v>-1</v>
      </c>
      <c r="J254" s="7">
        <v>5.0</v>
      </c>
    </row>
    <row r="255">
      <c r="A255" s="1">
        <v>253.0</v>
      </c>
      <c r="B255" s="1" t="s">
        <v>523</v>
      </c>
      <c r="C255" s="1" t="s">
        <v>20</v>
      </c>
      <c r="D255" s="1" t="s">
        <v>524</v>
      </c>
      <c r="E255" s="1">
        <v>5.0</v>
      </c>
      <c r="F255" s="6">
        <v>4.17459912300109E16</v>
      </c>
      <c r="G255" s="1">
        <f>IFERROR(__xludf.DUMMYFUNCTION("VALUE(REGEXEXTRACT(D255,""([0-9]+)[ ]*/[ ]*10""))"),6.0)</f>
        <v>6</v>
      </c>
      <c r="H255" s="7">
        <f t="shared" si="1"/>
        <v>1</v>
      </c>
      <c r="I255" s="8">
        <f t="shared" si="2"/>
        <v>-1</v>
      </c>
      <c r="J255" s="7">
        <v>4.0</v>
      </c>
    </row>
    <row r="256">
      <c r="A256" s="1">
        <v>254.0</v>
      </c>
      <c r="B256" s="1" t="s">
        <v>525</v>
      </c>
      <c r="C256" s="1" t="s">
        <v>23</v>
      </c>
      <c r="D256" s="1" t="s">
        <v>526</v>
      </c>
      <c r="E256" s="1">
        <v>6.0</v>
      </c>
      <c r="F256" s="6">
        <v>4.34532828330993E16</v>
      </c>
      <c r="G256" s="1">
        <f>IFERROR(__xludf.DUMMYFUNCTION("VALUE(REGEXEXTRACT(D256,""([0-9]+)[ ]*/[ ]*10""))"),7.0)</f>
        <v>7</v>
      </c>
      <c r="H256" s="7">
        <f t="shared" si="1"/>
        <v>1</v>
      </c>
      <c r="I256" s="8">
        <f t="shared" si="2"/>
        <v>-1</v>
      </c>
      <c r="J256" s="7">
        <v>6.0</v>
      </c>
    </row>
    <row r="257">
      <c r="A257" s="1">
        <v>255.0</v>
      </c>
      <c r="B257" s="1" t="s">
        <v>527</v>
      </c>
      <c r="C257" s="1" t="s">
        <v>14</v>
      </c>
      <c r="D257" s="1" t="s">
        <v>528</v>
      </c>
      <c r="E257" s="1">
        <v>7.0</v>
      </c>
      <c r="F257" s="6">
        <v>4.80382261276245E15</v>
      </c>
      <c r="G257" s="1">
        <f>IFERROR(__xludf.DUMMYFUNCTION("VALUE(REGEXEXTRACT(D257,""([0-9]+)[ ]*/[ ]*10""))"),6.0)</f>
        <v>6</v>
      </c>
      <c r="H257" s="7">
        <f t="shared" si="1"/>
        <v>1</v>
      </c>
      <c r="I257" s="8">
        <f t="shared" si="2"/>
        <v>1</v>
      </c>
      <c r="J257" s="7">
        <v>6.0</v>
      </c>
    </row>
    <row r="258">
      <c r="A258" s="1">
        <v>256.0</v>
      </c>
      <c r="B258" s="1" t="s">
        <v>529</v>
      </c>
      <c r="C258" s="1" t="s">
        <v>17</v>
      </c>
      <c r="D258" s="1" t="s">
        <v>530</v>
      </c>
      <c r="E258" s="1">
        <v>6.0</v>
      </c>
      <c r="F258" s="6">
        <v>4.23328323364257E15</v>
      </c>
      <c r="G258" s="1">
        <f>IFERROR(__xludf.DUMMYFUNCTION("VALUE(REGEXEXTRACT(D258,""([0-9]+)[ ]*/[ ]*10""))"),6.0)</f>
        <v>6</v>
      </c>
      <c r="H258" s="7">
        <f t="shared" si="1"/>
        <v>0</v>
      </c>
      <c r="I258" s="8">
        <f t="shared" si="2"/>
        <v>0</v>
      </c>
      <c r="J258" s="7">
        <v>7.0</v>
      </c>
    </row>
    <row r="259">
      <c r="A259" s="1">
        <v>257.0</v>
      </c>
      <c r="B259" s="1" t="s">
        <v>531</v>
      </c>
      <c r="C259" s="1" t="s">
        <v>20</v>
      </c>
      <c r="D259" s="1" t="s">
        <v>532</v>
      </c>
      <c r="E259" s="1">
        <v>3.0</v>
      </c>
      <c r="F259" s="6">
        <v>4.44339799880981E16</v>
      </c>
      <c r="G259" s="1">
        <f>IFERROR(__xludf.DUMMYFUNCTION("VALUE(REGEXEXTRACT(D259,""([0-9]+)[ ]*/[ ]*10""))"),6.0)</f>
        <v>6</v>
      </c>
      <c r="H259" s="7">
        <f t="shared" si="1"/>
        <v>3</v>
      </c>
      <c r="I259" s="8">
        <f t="shared" si="2"/>
        <v>-3</v>
      </c>
      <c r="J259" s="7">
        <v>5.0</v>
      </c>
    </row>
    <row r="260">
      <c r="A260" s="1">
        <v>258.0</v>
      </c>
      <c r="B260" s="1" t="s">
        <v>533</v>
      </c>
      <c r="C260" s="1" t="s">
        <v>23</v>
      </c>
      <c r="D260" s="1" t="s">
        <v>534</v>
      </c>
      <c r="E260" s="1">
        <v>5.0</v>
      </c>
      <c r="F260" s="6">
        <v>4.347381067276E15</v>
      </c>
      <c r="G260" s="1">
        <f>IFERROR(__xludf.DUMMYFUNCTION("VALUE(REGEXEXTRACT(D260,""([0-9]+)[ ]*/[ ]*10""))"),6.0)</f>
        <v>6</v>
      </c>
      <c r="H260" s="7">
        <f t="shared" si="1"/>
        <v>1</v>
      </c>
      <c r="I260" s="8">
        <f t="shared" si="2"/>
        <v>-1</v>
      </c>
      <c r="J260" s="7">
        <v>4.0</v>
      </c>
    </row>
    <row r="261">
      <c r="A261" s="1">
        <v>259.0</v>
      </c>
      <c r="B261" s="1" t="s">
        <v>535</v>
      </c>
      <c r="C261" s="1" t="s">
        <v>14</v>
      </c>
      <c r="D261" s="1" t="s">
        <v>536</v>
      </c>
      <c r="E261" s="1">
        <v>10.0</v>
      </c>
      <c r="F261" s="6">
        <v>4.36463196277618E15</v>
      </c>
      <c r="G261" s="1">
        <f>IFERROR(__xludf.DUMMYFUNCTION("VALUE(REGEXEXTRACT(D261,""([0-9]+)[ ]*/[ ]*10""))"),7.0)</f>
        <v>7</v>
      </c>
      <c r="H261" s="7">
        <f t="shared" si="1"/>
        <v>3</v>
      </c>
      <c r="I261" s="8">
        <f t="shared" si="2"/>
        <v>3</v>
      </c>
      <c r="J261" s="7">
        <v>7.0</v>
      </c>
    </row>
    <row r="262">
      <c r="A262" s="1">
        <v>260.0</v>
      </c>
      <c r="B262" s="1" t="s">
        <v>537</v>
      </c>
      <c r="C262" s="1" t="s">
        <v>17</v>
      </c>
      <c r="D262" s="1" t="s">
        <v>538</v>
      </c>
      <c r="E262" s="1">
        <v>9.0</v>
      </c>
      <c r="F262" s="6">
        <v>4.40439779758453E15</v>
      </c>
      <c r="G262" s="1">
        <f>IFERROR(__xludf.DUMMYFUNCTION("VALUE(REGEXEXTRACT(D262,""([0-9]+)[ ]*/[ ]*10""))"),7.0)</f>
        <v>7</v>
      </c>
      <c r="H262" s="7">
        <f t="shared" si="1"/>
        <v>2</v>
      </c>
      <c r="I262" s="8">
        <f t="shared" si="2"/>
        <v>2</v>
      </c>
      <c r="J262" s="7">
        <v>7.0</v>
      </c>
    </row>
    <row r="263">
      <c r="A263" s="1">
        <v>261.0</v>
      </c>
      <c r="B263" s="1" t="s">
        <v>539</v>
      </c>
      <c r="C263" s="1" t="s">
        <v>20</v>
      </c>
      <c r="D263" s="1" t="s">
        <v>540</v>
      </c>
      <c r="E263" s="1">
        <v>8.0</v>
      </c>
      <c r="F263" s="6">
        <v>4.67680566310882E15</v>
      </c>
      <c r="G263" s="1">
        <f>IFERROR(__xludf.DUMMYFUNCTION("VALUE(REGEXEXTRACT(D263,""([0-9]+)[ ]*/[ ]*10""))"),6.0)</f>
        <v>6</v>
      </c>
      <c r="H263" s="7">
        <f t="shared" si="1"/>
        <v>2</v>
      </c>
      <c r="I263" s="8">
        <f t="shared" si="2"/>
        <v>2</v>
      </c>
      <c r="J263" s="7">
        <v>8.0</v>
      </c>
    </row>
    <row r="264">
      <c r="A264" s="1">
        <v>262.0</v>
      </c>
      <c r="B264" s="1" t="s">
        <v>541</v>
      </c>
      <c r="C264" s="1" t="s">
        <v>23</v>
      </c>
      <c r="D264" s="1" t="s">
        <v>542</v>
      </c>
      <c r="E264" s="1">
        <v>8.0</v>
      </c>
      <c r="F264" s="6">
        <v>3.97119154930114E16</v>
      </c>
      <c r="G264" s="1">
        <f>IFERROR(__xludf.DUMMYFUNCTION("VALUE(REGEXEXTRACT(D264,""([0-9]+)[ ]*/[ ]*10""))"),7.0)</f>
        <v>7</v>
      </c>
      <c r="H264" s="7">
        <f t="shared" si="1"/>
        <v>1</v>
      </c>
      <c r="I264" s="8">
        <f t="shared" si="2"/>
        <v>1</v>
      </c>
      <c r="J264" s="7">
        <v>8.0</v>
      </c>
    </row>
    <row r="265">
      <c r="A265" s="1">
        <v>263.0</v>
      </c>
      <c r="B265" s="1" t="s">
        <v>543</v>
      </c>
      <c r="C265" s="1" t="s">
        <v>14</v>
      </c>
      <c r="D265" s="1" t="s">
        <v>544</v>
      </c>
      <c r="E265" s="1">
        <v>4.0</v>
      </c>
      <c r="F265" s="6">
        <v>4.43430762290954E15</v>
      </c>
      <c r="G265" s="1">
        <f>IFERROR(__xludf.DUMMYFUNCTION("VALUE(REGEXEXTRACT(D265,""([0-9]+)[ ]*/[ ]*10""))"),4.0)</f>
        <v>4</v>
      </c>
      <c r="H265" s="7">
        <f t="shared" si="1"/>
        <v>0</v>
      </c>
      <c r="I265" s="8">
        <f t="shared" si="2"/>
        <v>0</v>
      </c>
      <c r="J265" s="7">
        <v>5.0</v>
      </c>
    </row>
    <row r="266">
      <c r="A266" s="1">
        <v>264.0</v>
      </c>
      <c r="B266" s="1" t="s">
        <v>545</v>
      </c>
      <c r="C266" s="1" t="s">
        <v>17</v>
      </c>
      <c r="D266" s="1" t="s">
        <v>546</v>
      </c>
      <c r="E266" s="1">
        <v>7.0</v>
      </c>
      <c r="F266" s="6">
        <v>4.56435272693634E14</v>
      </c>
      <c r="G266" s="1">
        <f>IFERROR(__xludf.DUMMYFUNCTION("VALUE(REGEXEXTRACT(D266,""([0-9]+)[ ]*/[ ]*10""))"),6.0)</f>
        <v>6</v>
      </c>
      <c r="H266" s="7">
        <f t="shared" si="1"/>
        <v>1</v>
      </c>
      <c r="I266" s="8">
        <f t="shared" si="2"/>
        <v>1</v>
      </c>
      <c r="J266" s="7">
        <v>5.0</v>
      </c>
    </row>
    <row r="267">
      <c r="A267" s="1">
        <v>265.0</v>
      </c>
      <c r="B267" s="1" t="s">
        <v>547</v>
      </c>
      <c r="C267" s="1" t="s">
        <v>20</v>
      </c>
      <c r="D267" s="1" t="s">
        <v>548</v>
      </c>
      <c r="E267" s="1">
        <v>3.0</v>
      </c>
      <c r="F267" s="6">
        <v>4.39071669578552E16</v>
      </c>
      <c r="G267" s="1">
        <f>IFERROR(__xludf.DUMMYFUNCTION("VALUE(REGEXEXTRACT(D267,""([0-9]+)[ ]*/[ ]*10""))"),6.0)</f>
        <v>6</v>
      </c>
      <c r="H267" s="7">
        <f t="shared" si="1"/>
        <v>3</v>
      </c>
      <c r="I267" s="8">
        <f t="shared" si="2"/>
        <v>-3</v>
      </c>
      <c r="J267" s="7">
        <v>7.0</v>
      </c>
    </row>
    <row r="268">
      <c r="A268" s="1">
        <v>266.0</v>
      </c>
      <c r="B268" s="1" t="s">
        <v>549</v>
      </c>
      <c r="C268" s="1" t="s">
        <v>23</v>
      </c>
      <c r="D268" s="1" t="s">
        <v>550</v>
      </c>
      <c r="E268" s="1">
        <v>0.0</v>
      </c>
      <c r="F268" s="6">
        <v>3.05428080558776E16</v>
      </c>
      <c r="G268" s="1">
        <f>IFERROR(__xludf.DUMMYFUNCTION("VALUE(REGEXEXTRACT(D268,""([0-9]+)[ ]*/[ ]*10""))"),0.0)</f>
        <v>0</v>
      </c>
      <c r="H268" s="7">
        <f t="shared" si="1"/>
        <v>0</v>
      </c>
      <c r="I268" s="8">
        <f t="shared" si="2"/>
        <v>0</v>
      </c>
      <c r="J268" s="7">
        <v>2.0</v>
      </c>
    </row>
    <row r="269">
      <c r="A269" s="1">
        <v>267.0</v>
      </c>
      <c r="B269" s="1" t="s">
        <v>551</v>
      </c>
      <c r="C269" s="1" t="s">
        <v>14</v>
      </c>
      <c r="D269" s="1" t="s">
        <v>552</v>
      </c>
      <c r="E269" s="1">
        <v>5.0</v>
      </c>
      <c r="F269" s="6">
        <v>4.6519994020462E16</v>
      </c>
      <c r="G269" s="1">
        <f>IFERROR(__xludf.DUMMYFUNCTION("VALUE(REGEXEXTRACT(D269,""([0-9]+)[ ]*/[ ]*10""))"),4.0)</f>
        <v>4</v>
      </c>
      <c r="H269" s="7">
        <f t="shared" si="1"/>
        <v>1</v>
      </c>
      <c r="I269" s="8">
        <f t="shared" si="2"/>
        <v>1</v>
      </c>
      <c r="J269" s="7">
        <v>3.0</v>
      </c>
    </row>
    <row r="270">
      <c r="A270" s="1">
        <v>268.0</v>
      </c>
      <c r="B270" s="1" t="s">
        <v>553</v>
      </c>
      <c r="C270" s="1" t="s">
        <v>17</v>
      </c>
      <c r="D270" s="1" t="s">
        <v>554</v>
      </c>
      <c r="E270" s="1">
        <v>3.0</v>
      </c>
      <c r="F270" s="6">
        <v>4.90657265186309E15</v>
      </c>
      <c r="G270" s="1">
        <f>IFERROR(__xludf.DUMMYFUNCTION("VALUE(REGEXEXTRACT(D270,""([0-9]+)[ ]*/[ ]*10""))"),4.0)</f>
        <v>4</v>
      </c>
      <c r="H270" s="7">
        <f t="shared" si="1"/>
        <v>1</v>
      </c>
      <c r="I270" s="8">
        <f t="shared" si="2"/>
        <v>-1</v>
      </c>
      <c r="J270" s="7">
        <v>5.0</v>
      </c>
    </row>
    <row r="271">
      <c r="A271" s="1">
        <v>269.0</v>
      </c>
      <c r="B271" s="1" t="s">
        <v>555</v>
      </c>
      <c r="C271" s="1" t="s">
        <v>20</v>
      </c>
      <c r="D271" s="1" t="s">
        <v>556</v>
      </c>
      <c r="E271" s="1">
        <v>4.0</v>
      </c>
      <c r="F271" s="6">
        <v>4.42972972393035E15</v>
      </c>
      <c r="G271" s="1">
        <f>IFERROR(__xludf.DUMMYFUNCTION("VALUE(REGEXEXTRACT(D271,""([0-9]+)[ ]*/[ ]*10""))"),6.0)</f>
        <v>6</v>
      </c>
      <c r="H271" s="7">
        <f t="shared" si="1"/>
        <v>2</v>
      </c>
      <c r="I271" s="8">
        <f t="shared" si="2"/>
        <v>-2</v>
      </c>
      <c r="J271" s="7">
        <v>4.0</v>
      </c>
    </row>
    <row r="272">
      <c r="A272" s="1">
        <v>270.0</v>
      </c>
      <c r="B272" s="1" t="s">
        <v>557</v>
      </c>
      <c r="C272" s="1" t="s">
        <v>23</v>
      </c>
      <c r="D272" s="1" t="s">
        <v>558</v>
      </c>
      <c r="E272" s="1">
        <v>2.0</v>
      </c>
      <c r="F272" s="6">
        <v>4.07460732460022E14</v>
      </c>
      <c r="G272" s="1">
        <f>IFERROR(__xludf.DUMMYFUNCTION("VALUE(REGEXEXTRACT(D272,""([0-9]+)[ ]*/[ ]*10""))"),4.0)</f>
        <v>4</v>
      </c>
      <c r="H272" s="7">
        <f t="shared" si="1"/>
        <v>2</v>
      </c>
      <c r="I272" s="8">
        <f t="shared" si="2"/>
        <v>-2</v>
      </c>
      <c r="J272" s="7">
        <v>7.0</v>
      </c>
    </row>
    <row r="273">
      <c r="A273" s="1">
        <v>271.0</v>
      </c>
      <c r="B273" s="1" t="s">
        <v>559</v>
      </c>
      <c r="C273" s="1" t="s">
        <v>14</v>
      </c>
      <c r="D273" s="1" t="s">
        <v>560</v>
      </c>
      <c r="E273" s="1">
        <v>4.0</v>
      </c>
      <c r="F273" s="6">
        <v>4.38508262634277E16</v>
      </c>
      <c r="G273" s="1">
        <f>IFERROR(__xludf.DUMMYFUNCTION("VALUE(REGEXEXTRACT(D273,""([0-9]+)[ ]*/[ ]*10""))"),6.0)</f>
        <v>6</v>
      </c>
      <c r="H273" s="7">
        <f t="shared" si="1"/>
        <v>2</v>
      </c>
      <c r="I273" s="8">
        <f t="shared" si="2"/>
        <v>-2</v>
      </c>
      <c r="J273" s="7">
        <v>7.0</v>
      </c>
    </row>
    <row r="274">
      <c r="A274" s="1">
        <v>272.0</v>
      </c>
      <c r="B274" s="1" t="s">
        <v>561</v>
      </c>
      <c r="C274" s="1" t="s">
        <v>17</v>
      </c>
      <c r="D274" s="1" t="s">
        <v>562</v>
      </c>
      <c r="E274" s="1">
        <v>6.0</v>
      </c>
      <c r="F274" s="6">
        <v>4.18317213058471E15</v>
      </c>
      <c r="G274" s="1">
        <f>IFERROR(__xludf.DUMMYFUNCTION("VALUE(REGEXEXTRACT(D274,""([0-9]+)[ ]*/[ ]*10""))"),6.0)</f>
        <v>6</v>
      </c>
      <c r="H274" s="7">
        <f t="shared" si="1"/>
        <v>0</v>
      </c>
      <c r="I274" s="8">
        <f t="shared" si="2"/>
        <v>0</v>
      </c>
      <c r="J274" s="7">
        <v>6.0</v>
      </c>
    </row>
    <row r="275">
      <c r="A275" s="1">
        <v>273.0</v>
      </c>
      <c r="B275" s="1" t="s">
        <v>563</v>
      </c>
      <c r="C275" s="1" t="s">
        <v>20</v>
      </c>
      <c r="D275" s="1" t="s">
        <v>564</v>
      </c>
      <c r="E275" s="1">
        <v>3.0</v>
      </c>
      <c r="F275" s="6">
        <v>3.96342942714691E16</v>
      </c>
      <c r="G275" s="1">
        <f>IFERROR(__xludf.DUMMYFUNCTION("VALUE(REGEXEXTRACT(D275,""([0-9]+)[ ]*/[ ]*10""))"),4.0)</f>
        <v>4</v>
      </c>
      <c r="H275" s="7">
        <f t="shared" si="1"/>
        <v>1</v>
      </c>
      <c r="I275" s="8">
        <f t="shared" si="2"/>
        <v>-1</v>
      </c>
      <c r="J275" s="7">
        <v>4.0</v>
      </c>
    </row>
    <row r="276">
      <c r="A276" s="1">
        <v>274.0</v>
      </c>
      <c r="B276" s="1" t="s">
        <v>565</v>
      </c>
      <c r="C276" s="1" t="s">
        <v>14</v>
      </c>
      <c r="D276" s="1" t="s">
        <v>566</v>
      </c>
      <c r="E276" s="1">
        <v>8.0</v>
      </c>
      <c r="F276" s="6">
        <v>5.17415671348571E15</v>
      </c>
      <c r="G276" s="1">
        <f>IFERROR(__xludf.DUMMYFUNCTION("VALUE(REGEXEXTRACT(D276,""([0-9]+)[ ]*/[ ]*10""))"),6.0)</f>
        <v>6</v>
      </c>
      <c r="H276" s="7">
        <f t="shared" si="1"/>
        <v>2</v>
      </c>
      <c r="I276" s="8">
        <f t="shared" si="2"/>
        <v>2</v>
      </c>
      <c r="J276" s="7">
        <v>4.0</v>
      </c>
    </row>
    <row r="277">
      <c r="A277" s="1">
        <v>275.0</v>
      </c>
      <c r="B277" s="1" t="s">
        <v>567</v>
      </c>
      <c r="C277" s="1" t="s">
        <v>17</v>
      </c>
      <c r="D277" s="1" t="s">
        <v>568</v>
      </c>
      <c r="E277" s="1">
        <v>6.0</v>
      </c>
      <c r="F277" s="6">
        <v>4.11914687156677E16</v>
      </c>
      <c r="G277" s="1">
        <f>IFERROR(__xludf.DUMMYFUNCTION("VALUE(REGEXEXTRACT(D277,""([0-9]+)[ ]*/[ ]*10""))"),6.0)</f>
        <v>6</v>
      </c>
      <c r="H277" s="7">
        <f t="shared" si="1"/>
        <v>0</v>
      </c>
      <c r="I277" s="8">
        <f t="shared" si="2"/>
        <v>0</v>
      </c>
      <c r="J277" s="7">
        <v>4.0</v>
      </c>
    </row>
    <row r="278">
      <c r="A278" s="1">
        <v>276.0</v>
      </c>
      <c r="B278" s="1" t="s">
        <v>569</v>
      </c>
      <c r="C278" s="1" t="s">
        <v>20</v>
      </c>
      <c r="D278" s="1" t="s">
        <v>570</v>
      </c>
      <c r="E278" s="1">
        <v>5.0</v>
      </c>
      <c r="F278" s="6">
        <v>3.72823286056518E16</v>
      </c>
      <c r="G278" s="1">
        <f>IFERROR(__xludf.DUMMYFUNCTION("VALUE(REGEXEXTRACT(D278,""([0-9]+)[ ]*/[ ]*10""))"),6.0)</f>
        <v>6</v>
      </c>
      <c r="H278" s="7">
        <f t="shared" si="1"/>
        <v>1</v>
      </c>
      <c r="I278" s="8">
        <f t="shared" si="2"/>
        <v>-1</v>
      </c>
      <c r="J278" s="7">
        <v>5.0</v>
      </c>
    </row>
    <row r="279">
      <c r="A279" s="1">
        <v>277.0</v>
      </c>
      <c r="B279" s="1" t="s">
        <v>571</v>
      </c>
      <c r="C279" s="1" t="s">
        <v>23</v>
      </c>
      <c r="D279" s="1" t="s">
        <v>572</v>
      </c>
      <c r="E279" s="1">
        <v>4.0</v>
      </c>
      <c r="F279" s="6">
        <v>3.233993268013E16</v>
      </c>
      <c r="G279" s="1">
        <f>IFERROR(__xludf.DUMMYFUNCTION("VALUE(REGEXEXTRACT(D279,""([0-9]+)[ ]*/[ ]*10""))"),6.0)</f>
        <v>6</v>
      </c>
      <c r="H279" s="7">
        <f t="shared" si="1"/>
        <v>2</v>
      </c>
      <c r="I279" s="8">
        <f t="shared" si="2"/>
        <v>-2</v>
      </c>
      <c r="J279" s="7">
        <v>4.0</v>
      </c>
    </row>
    <row r="280">
      <c r="A280" s="1">
        <v>278.0</v>
      </c>
      <c r="B280" s="1" t="s">
        <v>573</v>
      </c>
      <c r="C280" s="1" t="s">
        <v>14</v>
      </c>
      <c r="D280" s="1" t="s">
        <v>574</v>
      </c>
      <c r="E280" s="1">
        <v>9.0</v>
      </c>
      <c r="F280" s="6">
        <v>4.13129820823669E15</v>
      </c>
      <c r="G280" s="1">
        <f>IFERROR(__xludf.DUMMYFUNCTION("VALUE(REGEXEXTRACT(D280,""([0-9]+)[ ]*/[ ]*10""))"),8.0)</f>
        <v>8</v>
      </c>
      <c r="H280" s="7">
        <f t="shared" si="1"/>
        <v>1</v>
      </c>
      <c r="I280" s="8">
        <f t="shared" si="2"/>
        <v>1</v>
      </c>
      <c r="J280" s="7">
        <v>8.0</v>
      </c>
    </row>
    <row r="281">
      <c r="A281" s="1">
        <v>279.0</v>
      </c>
      <c r="B281" s="1" t="s">
        <v>575</v>
      </c>
      <c r="C281" s="1" t="s">
        <v>17</v>
      </c>
      <c r="D281" s="1" t="s">
        <v>576</v>
      </c>
      <c r="E281" s="1">
        <v>7.0</v>
      </c>
      <c r="F281" s="6">
        <v>4.24243857860565E15</v>
      </c>
      <c r="G281" s="1">
        <f>IFERROR(__xludf.DUMMYFUNCTION("VALUE(REGEXEXTRACT(D281,""([0-9]+)[ ]*/[ ]*10""))"),6.0)</f>
        <v>6</v>
      </c>
      <c r="H281" s="7">
        <f t="shared" si="1"/>
        <v>1</v>
      </c>
      <c r="I281" s="8">
        <f t="shared" si="2"/>
        <v>1</v>
      </c>
      <c r="J281" s="7">
        <v>4.0</v>
      </c>
    </row>
    <row r="282">
      <c r="A282" s="1">
        <v>280.0</v>
      </c>
      <c r="B282" s="1" t="s">
        <v>577</v>
      </c>
      <c r="C282" s="1" t="s">
        <v>20</v>
      </c>
      <c r="D282" s="1" t="s">
        <v>578</v>
      </c>
      <c r="E282" s="1">
        <v>9.0</v>
      </c>
      <c r="F282" s="6">
        <v>5.21616194248199E16</v>
      </c>
      <c r="G282" s="1">
        <f>IFERROR(__xludf.DUMMYFUNCTION("VALUE(REGEXEXTRACT(D282,""([0-9]+)[ ]*/[ ]*10""))"),7.0)</f>
        <v>7</v>
      </c>
      <c r="H282" s="7">
        <f t="shared" si="1"/>
        <v>2</v>
      </c>
      <c r="I282" s="8">
        <f t="shared" si="2"/>
        <v>2</v>
      </c>
      <c r="J282" s="7">
        <v>7.0</v>
      </c>
    </row>
    <row r="283">
      <c r="A283" s="1">
        <v>281.0</v>
      </c>
      <c r="B283" s="1" t="s">
        <v>579</v>
      </c>
      <c r="C283" s="1" t="s">
        <v>23</v>
      </c>
      <c r="D283" s="1" t="s">
        <v>580</v>
      </c>
      <c r="E283" s="1">
        <v>7.0</v>
      </c>
      <c r="F283" s="6">
        <v>3.68856196403503E15</v>
      </c>
      <c r="G283" s="1">
        <f>IFERROR(__xludf.DUMMYFUNCTION("VALUE(REGEXEXTRACT(D283,""([0-9]+)[ ]*/[ ]*10""))"),6.0)</f>
        <v>6</v>
      </c>
      <c r="H283" s="7">
        <f t="shared" si="1"/>
        <v>1</v>
      </c>
      <c r="I283" s="8">
        <f t="shared" si="2"/>
        <v>1</v>
      </c>
      <c r="J283" s="7">
        <v>7.0</v>
      </c>
    </row>
    <row r="284">
      <c r="A284" s="1">
        <v>282.0</v>
      </c>
      <c r="B284" s="1" t="s">
        <v>581</v>
      </c>
      <c r="C284" s="1" t="s">
        <v>14</v>
      </c>
      <c r="D284" s="1" t="s">
        <v>582</v>
      </c>
      <c r="E284" s="1">
        <v>8.0</v>
      </c>
      <c r="F284" s="6">
        <v>4.4189757823944E15</v>
      </c>
      <c r="G284" s="1">
        <f>IFERROR(__xludf.DUMMYFUNCTION("VALUE(REGEXEXTRACT(D284,""([0-9]+)[ ]*/[ ]*10""))"),6.0)</f>
        <v>6</v>
      </c>
      <c r="H284" s="7">
        <f t="shared" si="1"/>
        <v>2</v>
      </c>
      <c r="I284" s="8">
        <f t="shared" si="2"/>
        <v>2</v>
      </c>
      <c r="J284" s="7">
        <v>8.0</v>
      </c>
    </row>
    <row r="285">
      <c r="A285" s="1">
        <v>283.0</v>
      </c>
      <c r="B285" s="1" t="s">
        <v>583</v>
      </c>
      <c r="C285" s="1" t="s">
        <v>17</v>
      </c>
      <c r="D285" s="1" t="s">
        <v>584</v>
      </c>
      <c r="E285" s="1">
        <v>6.0</v>
      </c>
      <c r="F285" s="6">
        <v>4.73524513244628E15</v>
      </c>
      <c r="G285" s="1">
        <f>IFERROR(__xludf.DUMMYFUNCTION("VALUE(REGEXEXTRACT(D285,""([0-9]+)[ ]*/[ ]*10""))"),6.0)</f>
        <v>6</v>
      </c>
      <c r="H285" s="7">
        <f t="shared" si="1"/>
        <v>0</v>
      </c>
      <c r="I285" s="8">
        <f t="shared" si="2"/>
        <v>0</v>
      </c>
      <c r="J285" s="7">
        <v>6.0</v>
      </c>
    </row>
    <row r="286">
      <c r="A286" s="1">
        <v>284.0</v>
      </c>
      <c r="B286" s="1" t="s">
        <v>585</v>
      </c>
      <c r="C286" s="1" t="s">
        <v>20</v>
      </c>
      <c r="D286" s="1" t="s">
        <v>586</v>
      </c>
      <c r="E286" s="1">
        <v>4.0</v>
      </c>
      <c r="F286" s="6">
        <v>3.64372565746307E15</v>
      </c>
      <c r="G286" s="1">
        <f>IFERROR(__xludf.DUMMYFUNCTION("VALUE(REGEXEXTRACT(D286,""([0-9]+)[ ]*/[ ]*10""))"),4.0)</f>
        <v>4</v>
      </c>
      <c r="H286" s="7">
        <f t="shared" si="1"/>
        <v>0</v>
      </c>
      <c r="I286" s="8">
        <f t="shared" si="2"/>
        <v>0</v>
      </c>
      <c r="J286" s="7">
        <v>4.0</v>
      </c>
    </row>
    <row r="287">
      <c r="A287" s="1">
        <v>285.0</v>
      </c>
      <c r="B287" s="1" t="s">
        <v>587</v>
      </c>
      <c r="C287" s="1" t="s">
        <v>23</v>
      </c>
      <c r="D287" s="1" t="s">
        <v>588</v>
      </c>
      <c r="E287" s="1">
        <v>6.0</v>
      </c>
      <c r="F287" s="6">
        <v>4.09763736724853E15</v>
      </c>
      <c r="G287" s="1">
        <f>IFERROR(__xludf.DUMMYFUNCTION("VALUE(REGEXEXTRACT(D287,""([0-9]+)[ ]*/[ ]*10""))"),6.0)</f>
        <v>6</v>
      </c>
      <c r="H287" s="7">
        <f t="shared" si="1"/>
        <v>0</v>
      </c>
      <c r="I287" s="8">
        <f t="shared" si="2"/>
        <v>0</v>
      </c>
      <c r="J287" s="7">
        <v>8.0</v>
      </c>
    </row>
    <row r="288">
      <c r="A288" s="1">
        <v>286.0</v>
      </c>
      <c r="B288" s="1" t="s">
        <v>589</v>
      </c>
      <c r="C288" s="1" t="s">
        <v>14</v>
      </c>
      <c r="D288" s="1" t="s">
        <v>590</v>
      </c>
      <c r="E288" s="1">
        <v>7.0</v>
      </c>
      <c r="F288" s="6">
        <v>3.58764317035675E16</v>
      </c>
      <c r="G288" s="1">
        <f>IFERROR(__xludf.DUMMYFUNCTION("VALUE(REGEXEXTRACT(D288,""([0-9]+)[ ]*/[ ]*10""))"),6.0)</f>
        <v>6</v>
      </c>
      <c r="H288" s="7">
        <f t="shared" si="1"/>
        <v>1</v>
      </c>
      <c r="I288" s="8">
        <f t="shared" si="2"/>
        <v>1</v>
      </c>
      <c r="J288" s="7">
        <v>8.0</v>
      </c>
    </row>
    <row r="289">
      <c r="A289" s="1">
        <v>287.0</v>
      </c>
      <c r="B289" s="1" t="s">
        <v>591</v>
      </c>
      <c r="C289" s="1" t="s">
        <v>17</v>
      </c>
      <c r="D289" s="1" t="s">
        <v>592</v>
      </c>
      <c r="E289" s="1">
        <v>8.0</v>
      </c>
      <c r="F289" s="6">
        <v>3.96131334304809E15</v>
      </c>
      <c r="G289" s="1">
        <f>IFERROR(__xludf.DUMMYFUNCTION("VALUE(REGEXEXTRACT(D289,""([0-9]+)[ ]*/[ ]*10""))"),6.0)</f>
        <v>6</v>
      </c>
      <c r="H289" s="7">
        <f t="shared" si="1"/>
        <v>2</v>
      </c>
      <c r="I289" s="8">
        <f t="shared" si="2"/>
        <v>2</v>
      </c>
      <c r="J289" s="7">
        <v>8.0</v>
      </c>
    </row>
    <row r="290">
      <c r="A290" s="1">
        <v>288.0</v>
      </c>
      <c r="B290" s="1" t="s">
        <v>593</v>
      </c>
      <c r="C290" s="1" t="s">
        <v>20</v>
      </c>
      <c r="D290" s="1" t="s">
        <v>594</v>
      </c>
      <c r="E290" s="1">
        <v>6.0</v>
      </c>
      <c r="F290" s="6">
        <v>4.44111025333404E16</v>
      </c>
      <c r="G290" s="1">
        <f>IFERROR(__xludf.DUMMYFUNCTION("VALUE(REGEXEXTRACT(D290,""([0-9]+)[ ]*/[ ]*10""))"),7.0)</f>
        <v>7</v>
      </c>
      <c r="H290" s="7">
        <f t="shared" si="1"/>
        <v>1</v>
      </c>
      <c r="I290" s="8">
        <f t="shared" si="2"/>
        <v>-1</v>
      </c>
      <c r="J290" s="7">
        <v>7.0</v>
      </c>
    </row>
    <row r="291">
      <c r="A291" s="1">
        <v>289.0</v>
      </c>
      <c r="B291" s="1" t="s">
        <v>595</v>
      </c>
      <c r="C291" s="1" t="s">
        <v>23</v>
      </c>
      <c r="D291" s="1" t="s">
        <v>596</v>
      </c>
      <c r="E291" s="1">
        <v>7.0</v>
      </c>
      <c r="F291" s="6">
        <v>4.2763947725296E15</v>
      </c>
      <c r="G291" s="1">
        <f>IFERROR(__xludf.DUMMYFUNCTION("VALUE(REGEXEXTRACT(D291,""([0-9]+)[ ]*/[ ]*10""))"),7.0)</f>
        <v>7</v>
      </c>
      <c r="H291" s="7">
        <f t="shared" si="1"/>
        <v>0</v>
      </c>
      <c r="I291" s="8">
        <f t="shared" si="2"/>
        <v>0</v>
      </c>
      <c r="J291" s="7">
        <v>7.0</v>
      </c>
    </row>
    <row r="292">
      <c r="A292" s="1">
        <v>290.0</v>
      </c>
      <c r="B292" s="1" t="s">
        <v>597</v>
      </c>
      <c r="C292" s="1" t="s">
        <v>14</v>
      </c>
      <c r="D292" s="1" t="s">
        <v>598</v>
      </c>
      <c r="E292" s="1">
        <v>3.0</v>
      </c>
      <c r="F292" s="6">
        <v>4.12631630897522E14</v>
      </c>
      <c r="G292" s="1">
        <f>IFERROR(__xludf.DUMMYFUNCTION("VALUE(REGEXEXTRACT(D292,""([0-9]+)[ ]*/[ ]*10""))"),4.0)</f>
        <v>4</v>
      </c>
      <c r="H292" s="7">
        <f t="shared" si="1"/>
        <v>1</v>
      </c>
      <c r="I292" s="8">
        <f t="shared" si="2"/>
        <v>-1</v>
      </c>
      <c r="J292" s="7">
        <v>4.0</v>
      </c>
    </row>
    <row r="293">
      <c r="A293" s="1">
        <v>291.0</v>
      </c>
      <c r="B293" s="1" t="s">
        <v>599</v>
      </c>
      <c r="C293" s="1" t="s">
        <v>17</v>
      </c>
      <c r="D293" s="1" t="s">
        <v>600</v>
      </c>
      <c r="E293" s="1">
        <v>7.0</v>
      </c>
      <c r="F293" s="6">
        <v>4.23074767589569E15</v>
      </c>
      <c r="G293" s="1">
        <f>IFERROR(__xludf.DUMMYFUNCTION("VALUE(REGEXEXTRACT(D293,""([0-9]+)[ ]*/[ ]*10""))"),6.0)</f>
        <v>6</v>
      </c>
      <c r="H293" s="7">
        <f t="shared" si="1"/>
        <v>1</v>
      </c>
      <c r="I293" s="8">
        <f t="shared" si="2"/>
        <v>1</v>
      </c>
      <c r="J293" s="7">
        <v>4.0</v>
      </c>
    </row>
    <row r="294">
      <c r="A294" s="1">
        <v>292.0</v>
      </c>
      <c r="B294" s="1" t="s">
        <v>601</v>
      </c>
      <c r="C294" s="1" t="s">
        <v>20</v>
      </c>
      <c r="D294" s="1" t="s">
        <v>602</v>
      </c>
      <c r="E294" s="1">
        <v>5.0</v>
      </c>
      <c r="F294" s="6">
        <v>4.95757524967193E15</v>
      </c>
      <c r="G294" s="1">
        <f>IFERROR(__xludf.DUMMYFUNCTION("VALUE(REGEXEXTRACT(D294,""([0-9]+)[ ]*/[ ]*10""))"),6.0)</f>
        <v>6</v>
      </c>
      <c r="H294" s="7">
        <f t="shared" si="1"/>
        <v>1</v>
      </c>
      <c r="I294" s="8">
        <f t="shared" si="2"/>
        <v>-1</v>
      </c>
      <c r="J294" s="7">
        <v>7.0</v>
      </c>
    </row>
    <row r="295">
      <c r="A295" s="1">
        <v>293.0</v>
      </c>
      <c r="B295" s="1" t="s">
        <v>603</v>
      </c>
      <c r="C295" s="1" t="s">
        <v>23</v>
      </c>
      <c r="D295" s="1" t="s">
        <v>604</v>
      </c>
      <c r="E295" s="1">
        <v>6.0</v>
      </c>
      <c r="F295" s="6">
        <v>3.61835150718689E14</v>
      </c>
      <c r="G295" s="1">
        <f>IFERROR(__xludf.DUMMYFUNCTION("VALUE(REGEXEXTRACT(D295,""([0-9]+)[ ]*/[ ]*10""))"),8.0)</f>
        <v>8</v>
      </c>
      <c r="H295" s="7">
        <f t="shared" si="1"/>
        <v>2</v>
      </c>
      <c r="I295" s="8">
        <f t="shared" si="2"/>
        <v>-2</v>
      </c>
      <c r="J295" s="7">
        <v>8.0</v>
      </c>
    </row>
    <row r="296">
      <c r="A296" s="1">
        <v>294.0</v>
      </c>
      <c r="B296" s="1" t="s">
        <v>605</v>
      </c>
      <c r="C296" s="1" t="s">
        <v>14</v>
      </c>
      <c r="D296" s="1" t="s">
        <v>606</v>
      </c>
      <c r="E296" s="1">
        <v>7.0</v>
      </c>
      <c r="F296" s="6">
        <v>4.57608661651611E15</v>
      </c>
      <c r="G296" s="1">
        <f>IFERROR(__xludf.DUMMYFUNCTION("VALUE(REGEXEXTRACT(D296,""([0-9]+)[ ]*/[ ]*10""))"),6.0)</f>
        <v>6</v>
      </c>
      <c r="H296" s="7">
        <f t="shared" si="1"/>
        <v>1</v>
      </c>
      <c r="I296" s="8">
        <f t="shared" si="2"/>
        <v>1</v>
      </c>
      <c r="J296" s="7">
        <v>8.0</v>
      </c>
    </row>
    <row r="297">
      <c r="A297" s="1">
        <v>295.0</v>
      </c>
      <c r="B297" s="1" t="s">
        <v>607</v>
      </c>
      <c r="C297" s="1" t="s">
        <v>17</v>
      </c>
      <c r="D297" s="1" t="s">
        <v>608</v>
      </c>
      <c r="E297" s="1">
        <v>4.0</v>
      </c>
      <c r="F297" s="6">
        <v>3.80356242656707E16</v>
      </c>
      <c r="G297" s="1">
        <f>IFERROR(__xludf.DUMMYFUNCTION("VALUE(REGEXEXTRACT(D297,""([0-9]+)[ ]*/[ ]*10""))"),6.0)</f>
        <v>6</v>
      </c>
      <c r="H297" s="7">
        <f t="shared" si="1"/>
        <v>2</v>
      </c>
      <c r="I297" s="8">
        <f t="shared" si="2"/>
        <v>-2</v>
      </c>
      <c r="J297" s="7">
        <v>4.0</v>
      </c>
    </row>
    <row r="298">
      <c r="A298" s="1">
        <v>296.0</v>
      </c>
      <c r="B298" s="1" t="s">
        <v>609</v>
      </c>
      <c r="C298" s="1" t="s">
        <v>20</v>
      </c>
      <c r="D298" s="1" t="s">
        <v>610</v>
      </c>
      <c r="E298" s="1">
        <v>3.0</v>
      </c>
      <c r="F298" s="6">
        <v>3.61071896553039E16</v>
      </c>
      <c r="G298" s="1">
        <f>IFERROR(__xludf.DUMMYFUNCTION("VALUE(REGEXEXTRACT(D298,""([0-9]+)[ ]*/[ ]*10""))"),6.0)</f>
        <v>6</v>
      </c>
      <c r="H298" s="7">
        <f t="shared" si="1"/>
        <v>3</v>
      </c>
      <c r="I298" s="8">
        <f t="shared" si="2"/>
        <v>-3</v>
      </c>
      <c r="J298" s="7">
        <v>6.0</v>
      </c>
    </row>
    <row r="299">
      <c r="A299" s="1">
        <v>297.0</v>
      </c>
      <c r="B299" s="1" t="s">
        <v>611</v>
      </c>
      <c r="C299" s="1" t="s">
        <v>23</v>
      </c>
      <c r="D299" s="1" t="s">
        <v>612</v>
      </c>
      <c r="E299" s="1">
        <v>0.0</v>
      </c>
      <c r="F299" s="6">
        <v>3.05690953731536E16</v>
      </c>
      <c r="G299" s="1">
        <f>IFERROR(__xludf.DUMMYFUNCTION("VALUE(REGEXEXTRACT(D299,""([0-9]+)[ ]*/[ ]*10""))"),2.0)</f>
        <v>2</v>
      </c>
      <c r="H299" s="7">
        <f t="shared" si="1"/>
        <v>2</v>
      </c>
      <c r="I299" s="8">
        <f t="shared" si="2"/>
        <v>-2</v>
      </c>
      <c r="J299" s="7">
        <v>0.0</v>
      </c>
    </row>
    <row r="300">
      <c r="A300" s="1">
        <v>298.0</v>
      </c>
      <c r="B300" s="1" t="s">
        <v>22</v>
      </c>
      <c r="C300" s="1" t="s">
        <v>23</v>
      </c>
      <c r="D300" s="1" t="s">
        <v>613</v>
      </c>
      <c r="E300" s="1">
        <v>0.0</v>
      </c>
      <c r="F300" s="6">
        <v>3.71657812595367E15</v>
      </c>
      <c r="G300" s="1">
        <f>IFERROR(__xludf.DUMMYFUNCTION("VALUE(REGEXEXTRACT(D300,""([0-9]+)[ ]*/[ ]*10""))"),7.0)</f>
        <v>7</v>
      </c>
      <c r="H300" s="7">
        <f t="shared" si="1"/>
        <v>7</v>
      </c>
      <c r="I300" s="8">
        <f t="shared" si="2"/>
        <v>-7</v>
      </c>
      <c r="J300" s="7">
        <v>7.0</v>
      </c>
    </row>
    <row r="301">
      <c r="A301" s="1">
        <v>299.0</v>
      </c>
      <c r="B301" s="1" t="s">
        <v>22</v>
      </c>
      <c r="C301" s="1" t="s">
        <v>23</v>
      </c>
      <c r="D301" s="1" t="s">
        <v>614</v>
      </c>
      <c r="E301" s="1">
        <v>0.0</v>
      </c>
      <c r="F301" s="6">
        <v>4.12635123729705E15</v>
      </c>
      <c r="G301" s="1">
        <f>IFERROR(__xludf.DUMMYFUNCTION("VALUE(REGEXEXTRACT(D301,""([0-9]+)[ ]*/[ ]*10""))"),6.0)</f>
        <v>6</v>
      </c>
      <c r="H301" s="7">
        <f t="shared" si="1"/>
        <v>6</v>
      </c>
      <c r="I301" s="8">
        <f t="shared" si="2"/>
        <v>-6</v>
      </c>
      <c r="J301" s="7">
        <v>7.0</v>
      </c>
    </row>
    <row r="302">
      <c r="A302" s="1">
        <v>300.0</v>
      </c>
      <c r="B302" s="1" t="s">
        <v>22</v>
      </c>
      <c r="C302" s="1" t="s">
        <v>23</v>
      </c>
      <c r="D302" s="1" t="s">
        <v>615</v>
      </c>
      <c r="E302" s="1">
        <v>0.0</v>
      </c>
      <c r="F302" s="6">
        <v>4.44073867797851E16</v>
      </c>
      <c r="G302" s="1">
        <f>IFERROR(__xludf.DUMMYFUNCTION("VALUE(REGEXEXTRACT(D302,""([0-9]+)[ ]*/[ ]*10""))"),6.0)</f>
        <v>6</v>
      </c>
      <c r="H302" s="7">
        <f t="shared" si="1"/>
        <v>6</v>
      </c>
      <c r="I302" s="8">
        <f t="shared" si="2"/>
        <v>-6</v>
      </c>
      <c r="J302" s="7">
        <v>7.0</v>
      </c>
    </row>
    <row r="303">
      <c r="A303" s="1">
        <v>301.0</v>
      </c>
      <c r="B303" s="1" t="s">
        <v>22</v>
      </c>
      <c r="C303" s="1" t="s">
        <v>23</v>
      </c>
      <c r="D303" s="1" t="s">
        <v>616</v>
      </c>
      <c r="E303" s="1">
        <v>0.0</v>
      </c>
      <c r="F303" s="6">
        <v>4.22126717567443E16</v>
      </c>
      <c r="G303" s="1">
        <f>IFERROR(__xludf.DUMMYFUNCTION("VALUE(REGEXEXTRACT(D303,""([0-9]+)[ ]*/[ ]*10""))"),7.0)</f>
        <v>7</v>
      </c>
      <c r="H303" s="7">
        <f t="shared" si="1"/>
        <v>7</v>
      </c>
      <c r="I303" s="8">
        <f t="shared" si="2"/>
        <v>-7</v>
      </c>
      <c r="J303" s="7">
        <v>7.0</v>
      </c>
    </row>
    <row r="304">
      <c r="A304" s="1">
        <v>302.0</v>
      </c>
      <c r="B304" s="1" t="s">
        <v>22</v>
      </c>
      <c r="C304" s="1" t="s">
        <v>23</v>
      </c>
      <c r="D304" s="1" t="s">
        <v>617</v>
      </c>
      <c r="E304" s="1">
        <v>0.0</v>
      </c>
      <c r="F304" s="6">
        <v>4.26946282386779E15</v>
      </c>
      <c r="G304" s="1">
        <f>IFERROR(__xludf.DUMMYFUNCTION("VALUE(REGEXEXTRACT(D304,""([0-9]+)[ ]*/[ ]*10""))"),6.0)</f>
        <v>6</v>
      </c>
      <c r="H304" s="7">
        <f t="shared" si="1"/>
        <v>6</v>
      </c>
      <c r="I304" s="8">
        <f t="shared" si="2"/>
        <v>-6</v>
      </c>
      <c r="J304" s="7">
        <v>7.0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4" max="4" width="22.63"/>
  </cols>
  <sheetData>
    <row r="1">
      <c r="A1" s="1" t="s">
        <v>4</v>
      </c>
      <c r="B1" s="1" t="s">
        <v>618</v>
      </c>
      <c r="C1" s="1" t="s">
        <v>619</v>
      </c>
      <c r="D1" s="1" t="s">
        <v>620</v>
      </c>
    </row>
    <row r="2">
      <c r="A2" s="1">
        <v>9.0</v>
      </c>
      <c r="B2" s="1">
        <v>6.0</v>
      </c>
      <c r="C2" s="18">
        <v>7.0</v>
      </c>
      <c r="D2" s="18">
        <f t="shared" ref="D2:D299" si="1">B2-C2</f>
        <v>-1</v>
      </c>
      <c r="E2" s="18">
        <f t="shared" ref="E2:E299" si="2">ABS(D2)</f>
        <v>1</v>
      </c>
      <c r="F2" s="18">
        <f t="shared" ref="F2:F299" si="3">A2-C2</f>
        <v>2</v>
      </c>
      <c r="G2" s="18">
        <f t="shared" ref="G2:G299" si="4">ABS(F2)</f>
        <v>2</v>
      </c>
    </row>
    <row r="3">
      <c r="A3" s="1">
        <v>7.0</v>
      </c>
      <c r="B3" s="1">
        <v>6.0</v>
      </c>
      <c r="C3" s="18">
        <v>6.0</v>
      </c>
      <c r="D3" s="18">
        <f t="shared" si="1"/>
        <v>0</v>
      </c>
      <c r="E3" s="18">
        <f t="shared" si="2"/>
        <v>0</v>
      </c>
      <c r="F3" s="18">
        <f t="shared" si="3"/>
        <v>1</v>
      </c>
      <c r="G3" s="18">
        <f t="shared" si="4"/>
        <v>1</v>
      </c>
    </row>
    <row r="4">
      <c r="A4" s="1">
        <v>6.0</v>
      </c>
      <c r="B4" s="1">
        <v>7.0</v>
      </c>
      <c r="C4" s="18">
        <v>8.0</v>
      </c>
      <c r="D4" s="18">
        <f t="shared" si="1"/>
        <v>-1</v>
      </c>
      <c r="E4" s="18">
        <f t="shared" si="2"/>
        <v>1</v>
      </c>
      <c r="F4" s="18">
        <f t="shared" si="3"/>
        <v>-2</v>
      </c>
      <c r="G4" s="18">
        <f t="shared" si="4"/>
        <v>2</v>
      </c>
    </row>
    <row r="5">
      <c r="A5" s="1">
        <v>7.0</v>
      </c>
      <c r="B5" s="1">
        <v>6.0</v>
      </c>
      <c r="C5" s="18">
        <v>5.0</v>
      </c>
      <c r="D5" s="18">
        <f t="shared" si="1"/>
        <v>1</v>
      </c>
      <c r="E5" s="18">
        <f t="shared" si="2"/>
        <v>1</v>
      </c>
      <c r="F5" s="18">
        <f t="shared" si="3"/>
        <v>2</v>
      </c>
      <c r="G5" s="18">
        <f t="shared" si="4"/>
        <v>2</v>
      </c>
    </row>
    <row r="6">
      <c r="A6" s="1">
        <v>8.0</v>
      </c>
      <c r="B6" s="1">
        <v>7.0</v>
      </c>
      <c r="C6" s="18">
        <v>8.0</v>
      </c>
      <c r="D6" s="18">
        <f t="shared" si="1"/>
        <v>-1</v>
      </c>
      <c r="E6" s="18">
        <f t="shared" si="2"/>
        <v>1</v>
      </c>
      <c r="F6" s="18">
        <f t="shared" si="3"/>
        <v>0</v>
      </c>
      <c r="G6" s="18">
        <f t="shared" si="4"/>
        <v>0</v>
      </c>
    </row>
    <row r="7">
      <c r="A7" s="1">
        <v>6.0</v>
      </c>
      <c r="B7" s="1">
        <v>6.0</v>
      </c>
      <c r="C7" s="18">
        <v>4.0</v>
      </c>
      <c r="D7" s="18">
        <f t="shared" si="1"/>
        <v>2</v>
      </c>
      <c r="E7" s="18">
        <f t="shared" si="2"/>
        <v>2</v>
      </c>
      <c r="F7" s="18">
        <f t="shared" si="3"/>
        <v>2</v>
      </c>
      <c r="G7" s="18">
        <f t="shared" si="4"/>
        <v>2</v>
      </c>
    </row>
    <row r="8">
      <c r="A8" s="1">
        <v>8.0</v>
      </c>
      <c r="B8" s="1">
        <v>7.0</v>
      </c>
      <c r="C8" s="18">
        <v>8.0</v>
      </c>
      <c r="D8" s="18">
        <f t="shared" si="1"/>
        <v>-1</v>
      </c>
      <c r="E8" s="18">
        <f t="shared" si="2"/>
        <v>1</v>
      </c>
      <c r="F8" s="18">
        <f t="shared" si="3"/>
        <v>0</v>
      </c>
      <c r="G8" s="18">
        <f t="shared" si="4"/>
        <v>0</v>
      </c>
    </row>
    <row r="9">
      <c r="A9" s="1">
        <v>7.0</v>
      </c>
      <c r="B9" s="1">
        <v>6.0</v>
      </c>
      <c r="C9" s="18">
        <v>8.0</v>
      </c>
      <c r="D9" s="18">
        <f t="shared" si="1"/>
        <v>-2</v>
      </c>
      <c r="E9" s="18">
        <f t="shared" si="2"/>
        <v>2</v>
      </c>
      <c r="F9" s="18">
        <f t="shared" si="3"/>
        <v>-1</v>
      </c>
      <c r="G9" s="18">
        <f t="shared" si="4"/>
        <v>1</v>
      </c>
    </row>
    <row r="10">
      <c r="A10" s="1">
        <v>10.0</v>
      </c>
      <c r="B10" s="1">
        <v>6.0</v>
      </c>
      <c r="C10" s="18">
        <v>7.0</v>
      </c>
      <c r="D10" s="18">
        <f t="shared" si="1"/>
        <v>-1</v>
      </c>
      <c r="E10" s="18">
        <f t="shared" si="2"/>
        <v>1</v>
      </c>
      <c r="F10" s="18">
        <f t="shared" si="3"/>
        <v>3</v>
      </c>
      <c r="G10" s="18">
        <f t="shared" si="4"/>
        <v>3</v>
      </c>
    </row>
    <row r="11">
      <c r="A11" s="1">
        <v>9.0</v>
      </c>
      <c r="B11" s="1">
        <v>6.0</v>
      </c>
      <c r="C11" s="18">
        <v>8.0</v>
      </c>
      <c r="D11" s="18">
        <f t="shared" si="1"/>
        <v>-2</v>
      </c>
      <c r="E11" s="18">
        <f t="shared" si="2"/>
        <v>2</v>
      </c>
      <c r="F11" s="18">
        <f t="shared" si="3"/>
        <v>1</v>
      </c>
      <c r="G11" s="18">
        <f t="shared" si="4"/>
        <v>1</v>
      </c>
    </row>
    <row r="12">
      <c r="A12" s="1">
        <v>6.0</v>
      </c>
      <c r="B12" s="1">
        <v>6.0</v>
      </c>
      <c r="C12" s="18">
        <v>5.0</v>
      </c>
      <c r="D12" s="18">
        <f t="shared" si="1"/>
        <v>1</v>
      </c>
      <c r="E12" s="18">
        <f t="shared" si="2"/>
        <v>1</v>
      </c>
      <c r="F12" s="18">
        <f t="shared" si="3"/>
        <v>1</v>
      </c>
      <c r="G12" s="18">
        <f t="shared" si="4"/>
        <v>1</v>
      </c>
    </row>
    <row r="13">
      <c r="A13" s="1">
        <v>10.0</v>
      </c>
      <c r="B13" s="1">
        <v>7.0</v>
      </c>
      <c r="C13" s="18">
        <v>8.0</v>
      </c>
      <c r="D13" s="18">
        <f t="shared" si="1"/>
        <v>-1</v>
      </c>
      <c r="E13" s="18">
        <f t="shared" si="2"/>
        <v>1</v>
      </c>
      <c r="F13" s="18">
        <f t="shared" si="3"/>
        <v>2</v>
      </c>
      <c r="G13" s="18">
        <f t="shared" si="4"/>
        <v>2</v>
      </c>
    </row>
    <row r="14">
      <c r="A14" s="1">
        <v>8.0</v>
      </c>
      <c r="B14" s="1">
        <v>7.0</v>
      </c>
      <c r="C14" s="18">
        <v>8.0</v>
      </c>
      <c r="D14" s="18">
        <f t="shared" si="1"/>
        <v>-1</v>
      </c>
      <c r="E14" s="18">
        <f t="shared" si="2"/>
        <v>1</v>
      </c>
      <c r="F14" s="18">
        <f t="shared" si="3"/>
        <v>0</v>
      </c>
      <c r="G14" s="18">
        <f t="shared" si="4"/>
        <v>0</v>
      </c>
    </row>
    <row r="15">
      <c r="A15" s="1">
        <v>6.0</v>
      </c>
      <c r="B15" s="1">
        <v>6.0</v>
      </c>
      <c r="C15" s="18">
        <v>8.0</v>
      </c>
      <c r="D15" s="18">
        <f t="shared" si="1"/>
        <v>-2</v>
      </c>
      <c r="E15" s="18">
        <f t="shared" si="2"/>
        <v>2</v>
      </c>
      <c r="F15" s="18">
        <f t="shared" si="3"/>
        <v>-2</v>
      </c>
      <c r="G15" s="18">
        <f t="shared" si="4"/>
        <v>2</v>
      </c>
    </row>
    <row r="16">
      <c r="A16" s="1">
        <v>3.0</v>
      </c>
      <c r="B16" s="1">
        <v>6.0</v>
      </c>
      <c r="C16" s="18">
        <v>8.0</v>
      </c>
      <c r="D16" s="18">
        <f t="shared" si="1"/>
        <v>-2</v>
      </c>
      <c r="E16" s="18">
        <f t="shared" si="2"/>
        <v>2</v>
      </c>
      <c r="F16" s="18">
        <f t="shared" si="3"/>
        <v>-5</v>
      </c>
      <c r="G16" s="18">
        <f t="shared" si="4"/>
        <v>5</v>
      </c>
    </row>
    <row r="17">
      <c r="A17" s="1">
        <v>9.0</v>
      </c>
      <c r="B17" s="1">
        <v>6.0</v>
      </c>
      <c r="C17" s="18">
        <v>7.0</v>
      </c>
      <c r="D17" s="18">
        <f t="shared" si="1"/>
        <v>-1</v>
      </c>
      <c r="E17" s="18">
        <f t="shared" si="2"/>
        <v>1</v>
      </c>
      <c r="F17" s="18">
        <f t="shared" si="3"/>
        <v>2</v>
      </c>
      <c r="G17" s="18">
        <f t="shared" si="4"/>
        <v>2</v>
      </c>
    </row>
    <row r="18">
      <c r="A18" s="1">
        <v>6.0</v>
      </c>
      <c r="B18" s="1">
        <v>4.0</v>
      </c>
      <c r="C18" s="18">
        <v>5.0</v>
      </c>
      <c r="D18" s="18">
        <f t="shared" si="1"/>
        <v>-1</v>
      </c>
      <c r="E18" s="18">
        <f t="shared" si="2"/>
        <v>1</v>
      </c>
      <c r="F18" s="18">
        <f t="shared" si="3"/>
        <v>1</v>
      </c>
      <c r="G18" s="18">
        <f t="shared" si="4"/>
        <v>1</v>
      </c>
    </row>
    <row r="19">
      <c r="A19" s="1">
        <v>3.0</v>
      </c>
      <c r="B19" s="1">
        <v>6.0</v>
      </c>
      <c r="C19" s="18">
        <v>4.0</v>
      </c>
      <c r="D19" s="18">
        <f t="shared" si="1"/>
        <v>2</v>
      </c>
      <c r="E19" s="18">
        <f t="shared" si="2"/>
        <v>2</v>
      </c>
      <c r="F19" s="18">
        <f t="shared" si="3"/>
        <v>-1</v>
      </c>
      <c r="G19" s="18">
        <f t="shared" si="4"/>
        <v>1</v>
      </c>
    </row>
    <row r="20">
      <c r="A20" s="1">
        <v>6.0</v>
      </c>
      <c r="B20" s="1">
        <v>6.0</v>
      </c>
      <c r="C20" s="18">
        <v>6.0</v>
      </c>
      <c r="D20" s="18">
        <f t="shared" si="1"/>
        <v>0</v>
      </c>
      <c r="E20" s="18">
        <f t="shared" si="2"/>
        <v>0</v>
      </c>
      <c r="F20" s="18">
        <f t="shared" si="3"/>
        <v>0</v>
      </c>
      <c r="G20" s="18">
        <f t="shared" si="4"/>
        <v>0</v>
      </c>
    </row>
    <row r="21">
      <c r="A21" s="1">
        <v>10.0</v>
      </c>
      <c r="B21" s="1">
        <v>7.0</v>
      </c>
      <c r="C21" s="18">
        <v>7.0</v>
      </c>
      <c r="D21" s="18">
        <f t="shared" si="1"/>
        <v>0</v>
      </c>
      <c r="E21" s="18">
        <f t="shared" si="2"/>
        <v>0</v>
      </c>
      <c r="F21" s="18">
        <f t="shared" si="3"/>
        <v>3</v>
      </c>
      <c r="G21" s="18">
        <f t="shared" si="4"/>
        <v>3</v>
      </c>
    </row>
    <row r="22">
      <c r="A22" s="1">
        <v>10.0</v>
      </c>
      <c r="B22" s="1">
        <v>7.0</v>
      </c>
      <c r="C22" s="18">
        <v>6.0</v>
      </c>
      <c r="D22" s="18">
        <f t="shared" si="1"/>
        <v>1</v>
      </c>
      <c r="E22" s="18">
        <f t="shared" si="2"/>
        <v>1</v>
      </c>
      <c r="F22" s="18">
        <f t="shared" si="3"/>
        <v>4</v>
      </c>
      <c r="G22" s="18">
        <f t="shared" si="4"/>
        <v>4</v>
      </c>
    </row>
    <row r="23">
      <c r="A23" s="1">
        <v>9.0</v>
      </c>
      <c r="B23" s="1">
        <v>7.0</v>
      </c>
      <c r="C23" s="18">
        <v>8.0</v>
      </c>
      <c r="D23" s="18">
        <f t="shared" si="1"/>
        <v>-1</v>
      </c>
      <c r="E23" s="18">
        <f t="shared" si="2"/>
        <v>1</v>
      </c>
      <c r="F23" s="18">
        <f t="shared" si="3"/>
        <v>1</v>
      </c>
      <c r="G23" s="18">
        <f t="shared" si="4"/>
        <v>1</v>
      </c>
      <c r="H23" s="18">
        <f>COUNTIFS(A:A,"&gt;=6", B:B,"&gt;=7")</f>
        <v>64</v>
      </c>
      <c r="I23" s="18">
        <f>COUNTIFS(A:A,"&lt;6", B:B,"&gt;=7")</f>
        <v>3</v>
      </c>
      <c r="K23" s="18">
        <f>COUNTIFS(A:A,"&gt;6", C:C,"&gt;=7")</f>
        <v>99</v>
      </c>
      <c r="L23" s="18">
        <f>COUNTIFS(A:A,"&lt;6", C:C,"&gt;=7")</f>
        <v>37</v>
      </c>
      <c r="N23" s="18">
        <f>(1-N25)*L26</f>
        <v>0.4520773344</v>
      </c>
    </row>
    <row r="24">
      <c r="A24" s="1">
        <v>5.0</v>
      </c>
      <c r="B24" s="1">
        <v>8.0</v>
      </c>
      <c r="C24" s="18">
        <v>8.0</v>
      </c>
      <c r="D24" s="18">
        <f t="shared" si="1"/>
        <v>0</v>
      </c>
      <c r="E24" s="18">
        <f t="shared" si="2"/>
        <v>0</v>
      </c>
      <c r="F24" s="18">
        <f t="shared" si="3"/>
        <v>-3</v>
      </c>
      <c r="G24" s="18">
        <f t="shared" si="4"/>
        <v>3</v>
      </c>
      <c r="H24" s="18">
        <f>COUNTIFS(A:A,"&gt;=6", B:B,"&lt;6")</f>
        <v>4</v>
      </c>
      <c r="I24" s="18">
        <f>COUNTIFS(A:A,"&lt;6", B:B,"&lt;6")</f>
        <v>38</v>
      </c>
      <c r="K24" s="18">
        <f>COUNTIFS(A:A,"&gt;6", C:C,"&lt;6")</f>
        <v>27</v>
      </c>
      <c r="L24" s="18">
        <f>COUNTIFS(A:A,"&lt;6", C:C,"&lt;6")</f>
        <v>58</v>
      </c>
    </row>
    <row r="25">
      <c r="A25" s="1">
        <v>5.0</v>
      </c>
      <c r="B25" s="1">
        <v>6.0</v>
      </c>
      <c r="C25" s="18">
        <v>7.0</v>
      </c>
      <c r="D25" s="18">
        <f t="shared" si="1"/>
        <v>-1</v>
      </c>
      <c r="E25" s="18">
        <f t="shared" si="2"/>
        <v>1</v>
      </c>
      <c r="F25" s="18">
        <f t="shared" si="3"/>
        <v>-2</v>
      </c>
      <c r="G25" s="18">
        <f t="shared" si="4"/>
        <v>2</v>
      </c>
      <c r="N25" s="18">
        <f>80/220</f>
        <v>0.3636363636</v>
      </c>
    </row>
    <row r="26">
      <c r="A26" s="1">
        <v>7.0</v>
      </c>
      <c r="B26" s="1">
        <v>6.0</v>
      </c>
      <c r="C26" s="18">
        <v>5.0</v>
      </c>
      <c r="D26" s="18">
        <f t="shared" si="1"/>
        <v>1</v>
      </c>
      <c r="E26" s="18">
        <f t="shared" si="2"/>
        <v>1</v>
      </c>
      <c r="F26" s="18">
        <f t="shared" si="3"/>
        <v>2</v>
      </c>
      <c r="G26" s="18">
        <f t="shared" si="4"/>
        <v>2</v>
      </c>
      <c r="I26" s="18">
        <f>(H23+I24)/(H24+H23+I23+I24)</f>
        <v>0.9357798165</v>
      </c>
      <c r="L26" s="18">
        <f>(K23+L24)/(K24+K23+L23+L24)</f>
        <v>0.7104072398</v>
      </c>
    </row>
    <row r="27">
      <c r="A27" s="1">
        <v>6.0</v>
      </c>
      <c r="B27" s="1">
        <v>6.0</v>
      </c>
      <c r="C27" s="18">
        <v>6.0</v>
      </c>
      <c r="D27" s="18">
        <f t="shared" si="1"/>
        <v>0</v>
      </c>
      <c r="E27" s="18">
        <f t="shared" si="2"/>
        <v>0</v>
      </c>
      <c r="F27" s="18">
        <f t="shared" si="3"/>
        <v>0</v>
      </c>
      <c r="G27" s="18">
        <f t="shared" si="4"/>
        <v>0</v>
      </c>
    </row>
    <row r="28">
      <c r="A28" s="1">
        <v>4.0</v>
      </c>
      <c r="B28" s="1">
        <v>6.0</v>
      </c>
      <c r="C28" s="18">
        <v>8.0</v>
      </c>
      <c r="D28" s="18">
        <f t="shared" si="1"/>
        <v>-2</v>
      </c>
      <c r="E28" s="18">
        <f t="shared" si="2"/>
        <v>2</v>
      </c>
      <c r="F28" s="18">
        <f t="shared" si="3"/>
        <v>-4</v>
      </c>
      <c r="G28" s="18">
        <f t="shared" si="4"/>
        <v>4</v>
      </c>
      <c r="H28" s="18">
        <f>COUNTIF( B:B,"=6")</f>
        <v>189</v>
      </c>
      <c r="I28" s="18">
        <f>SUM(H28,H23:I24)</f>
        <v>298</v>
      </c>
      <c r="K28" s="18">
        <f>COUNTIF( C:C,"=6")</f>
        <v>30</v>
      </c>
      <c r="L28" s="18">
        <f>SUM(K28,K30,K23:L24)</f>
        <v>306</v>
      </c>
    </row>
    <row r="29">
      <c r="A29" s="1">
        <v>8.0</v>
      </c>
      <c r="B29" s="1">
        <v>6.0</v>
      </c>
      <c r="C29" s="18">
        <v>6.0</v>
      </c>
      <c r="D29" s="18">
        <f t="shared" si="1"/>
        <v>0</v>
      </c>
      <c r="E29" s="18">
        <f t="shared" si="2"/>
        <v>0</v>
      </c>
      <c r="F29" s="18">
        <f t="shared" si="3"/>
        <v>2</v>
      </c>
      <c r="G29" s="18">
        <f t="shared" si="4"/>
        <v>2</v>
      </c>
    </row>
    <row r="30">
      <c r="A30" s="1">
        <v>6.0</v>
      </c>
      <c r="B30" s="1">
        <v>4.0</v>
      </c>
      <c r="C30" s="18">
        <v>4.0</v>
      </c>
      <c r="D30" s="18">
        <f t="shared" si="1"/>
        <v>0</v>
      </c>
      <c r="E30" s="18">
        <f t="shared" si="2"/>
        <v>0</v>
      </c>
      <c r="F30" s="18">
        <f t="shared" si="3"/>
        <v>2</v>
      </c>
      <c r="G30" s="18">
        <f t="shared" si="4"/>
        <v>2</v>
      </c>
      <c r="K30" s="18">
        <f>COUNTIF(A:A,"=6")</f>
        <v>55</v>
      </c>
    </row>
    <row r="31">
      <c r="A31" s="1">
        <v>6.0</v>
      </c>
      <c r="B31" s="1">
        <v>6.0</v>
      </c>
      <c r="C31" s="18">
        <v>8.0</v>
      </c>
      <c r="D31" s="18">
        <f t="shared" si="1"/>
        <v>-2</v>
      </c>
      <c r="E31" s="18">
        <f t="shared" si="2"/>
        <v>2</v>
      </c>
      <c r="F31" s="18">
        <f t="shared" si="3"/>
        <v>-2</v>
      </c>
      <c r="G31" s="18">
        <f t="shared" si="4"/>
        <v>2</v>
      </c>
      <c r="K31" s="18">
        <f>COUNTIF(C:C,"=6")</f>
        <v>30</v>
      </c>
    </row>
    <row r="32">
      <c r="A32" s="1">
        <v>5.0</v>
      </c>
      <c r="B32" s="1">
        <v>7.0</v>
      </c>
      <c r="C32" s="18">
        <v>7.0</v>
      </c>
      <c r="D32" s="18">
        <f t="shared" si="1"/>
        <v>0</v>
      </c>
      <c r="E32" s="18">
        <f t="shared" si="2"/>
        <v>0</v>
      </c>
      <c r="F32" s="18">
        <f t="shared" si="3"/>
        <v>-2</v>
      </c>
      <c r="G32" s="18">
        <f t="shared" si="4"/>
        <v>2</v>
      </c>
    </row>
    <row r="33">
      <c r="A33" s="1">
        <v>10.0</v>
      </c>
      <c r="B33" s="1">
        <v>6.0</v>
      </c>
      <c r="C33" s="18">
        <v>8.0</v>
      </c>
      <c r="D33" s="18">
        <f t="shared" si="1"/>
        <v>-2</v>
      </c>
      <c r="E33" s="18">
        <f t="shared" si="2"/>
        <v>2</v>
      </c>
      <c r="F33" s="18">
        <f t="shared" si="3"/>
        <v>2</v>
      </c>
      <c r="G33" s="18">
        <f t="shared" si="4"/>
        <v>2</v>
      </c>
    </row>
    <row r="34">
      <c r="A34" s="1">
        <v>4.0</v>
      </c>
      <c r="B34" s="1">
        <v>6.0</v>
      </c>
      <c r="C34" s="18">
        <v>7.0</v>
      </c>
      <c r="D34" s="18">
        <f t="shared" si="1"/>
        <v>-1</v>
      </c>
      <c r="E34" s="18">
        <f t="shared" si="2"/>
        <v>1</v>
      </c>
      <c r="F34" s="18">
        <f t="shared" si="3"/>
        <v>-3</v>
      </c>
      <c r="G34" s="18">
        <f t="shared" si="4"/>
        <v>3</v>
      </c>
    </row>
    <row r="35">
      <c r="A35" s="1">
        <v>3.0</v>
      </c>
      <c r="B35" s="1">
        <v>6.0</v>
      </c>
      <c r="C35" s="18">
        <v>8.0</v>
      </c>
      <c r="D35" s="18">
        <f t="shared" si="1"/>
        <v>-2</v>
      </c>
      <c r="E35" s="18">
        <f t="shared" si="2"/>
        <v>2</v>
      </c>
      <c r="F35" s="18">
        <f t="shared" si="3"/>
        <v>-5</v>
      </c>
      <c r="G35" s="18">
        <f t="shared" si="4"/>
        <v>5</v>
      </c>
    </row>
    <row r="36">
      <c r="A36" s="1">
        <v>4.0</v>
      </c>
      <c r="B36" s="1">
        <v>4.0</v>
      </c>
      <c r="C36" s="18">
        <v>4.0</v>
      </c>
      <c r="D36" s="18">
        <f t="shared" si="1"/>
        <v>0</v>
      </c>
      <c r="E36" s="18">
        <f t="shared" si="2"/>
        <v>0</v>
      </c>
      <c r="F36" s="18">
        <f t="shared" si="3"/>
        <v>0</v>
      </c>
      <c r="G36" s="18">
        <f t="shared" si="4"/>
        <v>0</v>
      </c>
    </row>
    <row r="37">
      <c r="A37" s="1">
        <v>9.0</v>
      </c>
      <c r="B37" s="1">
        <v>7.0</v>
      </c>
      <c r="C37" s="18">
        <v>8.0</v>
      </c>
      <c r="D37" s="18">
        <f t="shared" si="1"/>
        <v>-1</v>
      </c>
      <c r="E37" s="18">
        <f t="shared" si="2"/>
        <v>1</v>
      </c>
      <c r="F37" s="18">
        <f t="shared" si="3"/>
        <v>1</v>
      </c>
      <c r="G37" s="18">
        <f t="shared" si="4"/>
        <v>1</v>
      </c>
    </row>
    <row r="38">
      <c r="A38" s="1">
        <v>10.0</v>
      </c>
      <c r="B38" s="1">
        <v>6.0</v>
      </c>
      <c r="C38" s="18">
        <v>8.0</v>
      </c>
      <c r="D38" s="18">
        <f t="shared" si="1"/>
        <v>-2</v>
      </c>
      <c r="E38" s="18">
        <f t="shared" si="2"/>
        <v>2</v>
      </c>
      <c r="F38" s="18">
        <f t="shared" si="3"/>
        <v>2</v>
      </c>
      <c r="G38" s="18">
        <f t="shared" si="4"/>
        <v>2</v>
      </c>
    </row>
    <row r="39">
      <c r="A39" s="1">
        <v>8.0</v>
      </c>
      <c r="B39" s="1">
        <v>6.0</v>
      </c>
      <c r="C39" s="18">
        <v>7.0</v>
      </c>
      <c r="D39" s="18">
        <f t="shared" si="1"/>
        <v>-1</v>
      </c>
      <c r="E39" s="18">
        <f t="shared" si="2"/>
        <v>1</v>
      </c>
      <c r="F39" s="18">
        <f t="shared" si="3"/>
        <v>1</v>
      </c>
      <c r="G39" s="18">
        <f t="shared" si="4"/>
        <v>1</v>
      </c>
    </row>
    <row r="40">
      <c r="A40" s="1">
        <v>3.0</v>
      </c>
      <c r="B40" s="1">
        <v>4.0</v>
      </c>
      <c r="C40" s="18">
        <v>4.0</v>
      </c>
      <c r="D40" s="18">
        <f t="shared" si="1"/>
        <v>0</v>
      </c>
      <c r="E40" s="18">
        <f t="shared" si="2"/>
        <v>0</v>
      </c>
      <c r="F40" s="18">
        <f t="shared" si="3"/>
        <v>-1</v>
      </c>
      <c r="G40" s="18">
        <f t="shared" si="4"/>
        <v>1</v>
      </c>
    </row>
    <row r="41">
      <c r="A41" s="1">
        <v>7.0</v>
      </c>
      <c r="B41" s="1">
        <v>7.0</v>
      </c>
      <c r="C41" s="18">
        <v>7.0</v>
      </c>
      <c r="D41" s="18">
        <f t="shared" si="1"/>
        <v>0</v>
      </c>
      <c r="E41" s="18">
        <f t="shared" si="2"/>
        <v>0</v>
      </c>
      <c r="F41" s="18">
        <f t="shared" si="3"/>
        <v>0</v>
      </c>
      <c r="G41" s="18">
        <f t="shared" si="4"/>
        <v>0</v>
      </c>
    </row>
    <row r="42">
      <c r="A42" s="1">
        <v>6.0</v>
      </c>
      <c r="B42" s="1">
        <v>6.0</v>
      </c>
      <c r="C42" s="18">
        <v>6.0</v>
      </c>
      <c r="D42" s="18">
        <f t="shared" si="1"/>
        <v>0</v>
      </c>
      <c r="E42" s="18">
        <f t="shared" si="2"/>
        <v>0</v>
      </c>
      <c r="F42" s="18">
        <f t="shared" si="3"/>
        <v>0</v>
      </c>
      <c r="G42" s="18">
        <f t="shared" si="4"/>
        <v>0</v>
      </c>
    </row>
    <row r="43">
      <c r="A43" s="1">
        <v>6.0</v>
      </c>
      <c r="B43" s="1">
        <v>6.0</v>
      </c>
      <c r="C43" s="18">
        <v>5.0</v>
      </c>
      <c r="D43" s="18">
        <f t="shared" si="1"/>
        <v>1</v>
      </c>
      <c r="E43" s="18">
        <f t="shared" si="2"/>
        <v>1</v>
      </c>
      <c r="F43" s="18">
        <f t="shared" si="3"/>
        <v>1</v>
      </c>
      <c r="G43" s="18">
        <f t="shared" si="4"/>
        <v>1</v>
      </c>
    </row>
    <row r="44">
      <c r="A44" s="1">
        <v>5.0</v>
      </c>
      <c r="B44" s="1">
        <v>6.0</v>
      </c>
      <c r="C44" s="18">
        <v>4.0</v>
      </c>
      <c r="D44" s="18">
        <f t="shared" si="1"/>
        <v>2</v>
      </c>
      <c r="E44" s="18">
        <f t="shared" si="2"/>
        <v>2</v>
      </c>
      <c r="F44" s="18">
        <f t="shared" si="3"/>
        <v>1</v>
      </c>
      <c r="G44" s="18">
        <f t="shared" si="4"/>
        <v>1</v>
      </c>
    </row>
    <row r="45">
      <c r="A45" s="1">
        <v>6.0</v>
      </c>
      <c r="B45" s="1">
        <v>6.0</v>
      </c>
      <c r="C45" s="18">
        <v>8.0</v>
      </c>
      <c r="D45" s="18">
        <f t="shared" si="1"/>
        <v>-2</v>
      </c>
      <c r="E45" s="18">
        <f t="shared" si="2"/>
        <v>2</v>
      </c>
      <c r="F45" s="18">
        <f t="shared" si="3"/>
        <v>-2</v>
      </c>
      <c r="G45" s="18">
        <f t="shared" si="4"/>
        <v>2</v>
      </c>
    </row>
    <row r="46">
      <c r="A46" s="1">
        <v>7.0</v>
      </c>
      <c r="B46" s="1">
        <v>6.0</v>
      </c>
      <c r="C46" s="18">
        <v>5.0</v>
      </c>
      <c r="D46" s="18">
        <f t="shared" si="1"/>
        <v>1</v>
      </c>
      <c r="E46" s="18">
        <f t="shared" si="2"/>
        <v>1</v>
      </c>
      <c r="F46" s="18">
        <f t="shared" si="3"/>
        <v>2</v>
      </c>
      <c r="G46" s="18">
        <f t="shared" si="4"/>
        <v>2</v>
      </c>
    </row>
    <row r="47">
      <c r="A47" s="1">
        <v>4.0</v>
      </c>
      <c r="B47" s="1">
        <v>6.0</v>
      </c>
      <c r="C47" s="18">
        <v>6.0</v>
      </c>
      <c r="D47" s="18">
        <f t="shared" si="1"/>
        <v>0</v>
      </c>
      <c r="E47" s="18">
        <f t="shared" si="2"/>
        <v>0</v>
      </c>
      <c r="F47" s="18">
        <f t="shared" si="3"/>
        <v>-2</v>
      </c>
      <c r="G47" s="18">
        <f t="shared" si="4"/>
        <v>2</v>
      </c>
    </row>
    <row r="48">
      <c r="A48" s="1">
        <v>3.0</v>
      </c>
      <c r="B48" s="1">
        <v>4.0</v>
      </c>
      <c r="C48" s="18">
        <v>4.0</v>
      </c>
      <c r="D48" s="18">
        <f t="shared" si="1"/>
        <v>0</v>
      </c>
      <c r="E48" s="18">
        <f t="shared" si="2"/>
        <v>0</v>
      </c>
      <c r="F48" s="18">
        <f t="shared" si="3"/>
        <v>-1</v>
      </c>
      <c r="G48" s="18">
        <f t="shared" si="4"/>
        <v>1</v>
      </c>
    </row>
    <row r="49">
      <c r="A49" s="1">
        <v>10.0</v>
      </c>
      <c r="B49" s="1">
        <v>7.0</v>
      </c>
      <c r="C49" s="18">
        <v>8.0</v>
      </c>
      <c r="D49" s="18">
        <f t="shared" si="1"/>
        <v>-1</v>
      </c>
      <c r="E49" s="18">
        <f t="shared" si="2"/>
        <v>1</v>
      </c>
      <c r="F49" s="18">
        <f t="shared" si="3"/>
        <v>2</v>
      </c>
      <c r="G49" s="18">
        <f t="shared" si="4"/>
        <v>2</v>
      </c>
    </row>
    <row r="50">
      <c r="A50" s="1">
        <v>8.0</v>
      </c>
      <c r="B50" s="1">
        <v>7.0</v>
      </c>
      <c r="C50" s="18">
        <v>7.0</v>
      </c>
      <c r="D50" s="18">
        <f t="shared" si="1"/>
        <v>0</v>
      </c>
      <c r="E50" s="18">
        <f t="shared" si="2"/>
        <v>0</v>
      </c>
      <c r="F50" s="18">
        <f t="shared" si="3"/>
        <v>1</v>
      </c>
      <c r="G50" s="18">
        <f t="shared" si="4"/>
        <v>1</v>
      </c>
    </row>
    <row r="51">
      <c r="A51" s="1">
        <v>6.0</v>
      </c>
      <c r="B51" s="1">
        <v>7.0</v>
      </c>
      <c r="C51" s="18">
        <v>8.0</v>
      </c>
      <c r="D51" s="18">
        <f t="shared" si="1"/>
        <v>-1</v>
      </c>
      <c r="E51" s="18">
        <f t="shared" si="2"/>
        <v>1</v>
      </c>
      <c r="F51" s="18">
        <f t="shared" si="3"/>
        <v>-2</v>
      </c>
      <c r="G51" s="18">
        <f t="shared" si="4"/>
        <v>2</v>
      </c>
    </row>
    <row r="52">
      <c r="A52" s="1">
        <v>3.0</v>
      </c>
      <c r="B52" s="1">
        <v>6.0</v>
      </c>
      <c r="C52" s="18">
        <v>4.0</v>
      </c>
      <c r="D52" s="18">
        <f t="shared" si="1"/>
        <v>2</v>
      </c>
      <c r="E52" s="18">
        <f t="shared" si="2"/>
        <v>2</v>
      </c>
      <c r="F52" s="18">
        <f t="shared" si="3"/>
        <v>-1</v>
      </c>
      <c r="G52" s="18">
        <f t="shared" si="4"/>
        <v>1</v>
      </c>
    </row>
    <row r="53">
      <c r="A53" s="1">
        <v>6.0</v>
      </c>
      <c r="B53" s="1">
        <v>4.0</v>
      </c>
      <c r="C53" s="18">
        <v>8.0</v>
      </c>
      <c r="D53" s="18">
        <f t="shared" si="1"/>
        <v>-4</v>
      </c>
      <c r="E53" s="18">
        <f t="shared" si="2"/>
        <v>4</v>
      </c>
      <c r="F53" s="18">
        <f t="shared" si="3"/>
        <v>-2</v>
      </c>
      <c r="G53" s="18">
        <f t="shared" si="4"/>
        <v>2</v>
      </c>
    </row>
    <row r="54">
      <c r="A54" s="1">
        <v>6.0</v>
      </c>
      <c r="B54" s="1">
        <v>6.0</v>
      </c>
      <c r="C54" s="18">
        <v>5.0</v>
      </c>
      <c r="D54" s="18">
        <f t="shared" si="1"/>
        <v>1</v>
      </c>
      <c r="E54" s="18">
        <f t="shared" si="2"/>
        <v>1</v>
      </c>
      <c r="F54" s="18">
        <f t="shared" si="3"/>
        <v>1</v>
      </c>
      <c r="G54" s="18">
        <f t="shared" si="4"/>
        <v>1</v>
      </c>
    </row>
    <row r="55">
      <c r="A55" s="1">
        <v>6.0</v>
      </c>
      <c r="B55" s="1">
        <v>6.0</v>
      </c>
      <c r="C55" s="18">
        <v>5.0</v>
      </c>
      <c r="D55" s="18">
        <f t="shared" si="1"/>
        <v>1</v>
      </c>
      <c r="E55" s="18">
        <f t="shared" si="2"/>
        <v>1</v>
      </c>
      <c r="F55" s="18">
        <f t="shared" si="3"/>
        <v>1</v>
      </c>
      <c r="G55" s="18">
        <f t="shared" si="4"/>
        <v>1</v>
      </c>
    </row>
    <row r="56">
      <c r="A56" s="1">
        <v>6.0</v>
      </c>
      <c r="B56" s="1">
        <v>7.0</v>
      </c>
      <c r="C56" s="18">
        <v>7.0</v>
      </c>
      <c r="D56" s="18">
        <f t="shared" si="1"/>
        <v>0</v>
      </c>
      <c r="E56" s="18">
        <f t="shared" si="2"/>
        <v>0</v>
      </c>
      <c r="F56" s="18">
        <f t="shared" si="3"/>
        <v>-1</v>
      </c>
      <c r="G56" s="18">
        <f t="shared" si="4"/>
        <v>1</v>
      </c>
    </row>
    <row r="57">
      <c r="A57" s="1">
        <v>5.0</v>
      </c>
      <c r="B57" s="1">
        <v>4.0</v>
      </c>
      <c r="C57" s="18">
        <v>8.0</v>
      </c>
      <c r="D57" s="18">
        <f t="shared" si="1"/>
        <v>-4</v>
      </c>
      <c r="E57" s="18">
        <f t="shared" si="2"/>
        <v>4</v>
      </c>
      <c r="F57" s="18">
        <f t="shared" si="3"/>
        <v>-3</v>
      </c>
      <c r="G57" s="18">
        <f t="shared" si="4"/>
        <v>3</v>
      </c>
    </row>
    <row r="58">
      <c r="A58" s="1">
        <v>7.0</v>
      </c>
      <c r="B58" s="1">
        <v>6.0</v>
      </c>
      <c r="C58" s="18">
        <v>8.0</v>
      </c>
      <c r="D58" s="18">
        <f t="shared" si="1"/>
        <v>-2</v>
      </c>
      <c r="E58" s="18">
        <f t="shared" si="2"/>
        <v>2</v>
      </c>
      <c r="F58" s="18">
        <f t="shared" si="3"/>
        <v>-1</v>
      </c>
      <c r="G58" s="18">
        <f t="shared" si="4"/>
        <v>1</v>
      </c>
    </row>
    <row r="59">
      <c r="A59" s="1">
        <v>7.0</v>
      </c>
      <c r="B59" s="1">
        <v>7.0</v>
      </c>
      <c r="C59" s="18">
        <v>8.5</v>
      </c>
      <c r="D59" s="18">
        <f t="shared" si="1"/>
        <v>-1.5</v>
      </c>
      <c r="E59" s="18">
        <f t="shared" si="2"/>
        <v>1.5</v>
      </c>
      <c r="F59" s="18">
        <f t="shared" si="3"/>
        <v>-1.5</v>
      </c>
      <c r="G59" s="18">
        <f t="shared" si="4"/>
        <v>1.5</v>
      </c>
    </row>
    <row r="60">
      <c r="A60" s="1">
        <v>7.0</v>
      </c>
      <c r="B60" s="1">
        <v>8.0</v>
      </c>
      <c r="C60" s="18">
        <v>8.0</v>
      </c>
      <c r="D60" s="18">
        <f t="shared" si="1"/>
        <v>0</v>
      </c>
      <c r="E60" s="18">
        <f t="shared" si="2"/>
        <v>0</v>
      </c>
      <c r="F60" s="18">
        <f t="shared" si="3"/>
        <v>-1</v>
      </c>
      <c r="G60" s="18">
        <f t="shared" si="4"/>
        <v>1</v>
      </c>
    </row>
    <row r="61">
      <c r="A61" s="1">
        <v>9.0</v>
      </c>
      <c r="B61" s="1">
        <v>6.0</v>
      </c>
      <c r="C61" s="18">
        <v>8.0</v>
      </c>
      <c r="D61" s="18">
        <f t="shared" si="1"/>
        <v>-2</v>
      </c>
      <c r="E61" s="18">
        <f t="shared" si="2"/>
        <v>2</v>
      </c>
      <c r="F61" s="18">
        <f t="shared" si="3"/>
        <v>1</v>
      </c>
      <c r="G61" s="18">
        <f t="shared" si="4"/>
        <v>1</v>
      </c>
    </row>
    <row r="62">
      <c r="A62" s="1">
        <v>10.0</v>
      </c>
      <c r="B62" s="1">
        <v>6.0</v>
      </c>
      <c r="C62" s="18">
        <v>6.0</v>
      </c>
      <c r="D62" s="18">
        <f t="shared" si="1"/>
        <v>0</v>
      </c>
      <c r="E62" s="18">
        <f t="shared" si="2"/>
        <v>0</v>
      </c>
      <c r="F62" s="18">
        <f t="shared" si="3"/>
        <v>4</v>
      </c>
      <c r="G62" s="18">
        <f t="shared" si="4"/>
        <v>4</v>
      </c>
    </row>
    <row r="63">
      <c r="A63" s="1">
        <v>6.0</v>
      </c>
      <c r="B63" s="1">
        <v>6.0</v>
      </c>
      <c r="C63" s="18">
        <v>7.0</v>
      </c>
      <c r="D63" s="18">
        <f t="shared" si="1"/>
        <v>-1</v>
      </c>
      <c r="E63" s="18">
        <f t="shared" si="2"/>
        <v>1</v>
      </c>
      <c r="F63" s="18">
        <f t="shared" si="3"/>
        <v>-1</v>
      </c>
      <c r="G63" s="18">
        <f t="shared" si="4"/>
        <v>1</v>
      </c>
    </row>
    <row r="64">
      <c r="A64" s="1">
        <v>7.0</v>
      </c>
      <c r="B64" s="1">
        <v>6.0</v>
      </c>
      <c r="C64" s="18">
        <v>8.0</v>
      </c>
      <c r="D64" s="18">
        <f t="shared" si="1"/>
        <v>-2</v>
      </c>
      <c r="E64" s="18">
        <f t="shared" si="2"/>
        <v>2</v>
      </c>
      <c r="F64" s="18">
        <f t="shared" si="3"/>
        <v>-1</v>
      </c>
      <c r="G64" s="18">
        <f t="shared" si="4"/>
        <v>1</v>
      </c>
    </row>
    <row r="65">
      <c r="A65" s="1">
        <v>7.0</v>
      </c>
      <c r="B65" s="1">
        <v>6.0</v>
      </c>
      <c r="C65" s="18">
        <v>4.5</v>
      </c>
      <c r="D65" s="18">
        <f t="shared" si="1"/>
        <v>1.5</v>
      </c>
      <c r="E65" s="18">
        <f t="shared" si="2"/>
        <v>1.5</v>
      </c>
      <c r="F65" s="18">
        <f t="shared" si="3"/>
        <v>2.5</v>
      </c>
      <c r="G65" s="18">
        <f t="shared" si="4"/>
        <v>2.5</v>
      </c>
    </row>
    <row r="66">
      <c r="A66" s="1">
        <v>9.0</v>
      </c>
      <c r="B66" s="1">
        <v>6.0</v>
      </c>
      <c r="C66" s="18">
        <v>4.0</v>
      </c>
      <c r="D66" s="18">
        <f t="shared" si="1"/>
        <v>2</v>
      </c>
      <c r="E66" s="18">
        <f t="shared" si="2"/>
        <v>2</v>
      </c>
      <c r="F66" s="18">
        <f t="shared" si="3"/>
        <v>5</v>
      </c>
      <c r="G66" s="18">
        <f t="shared" si="4"/>
        <v>5</v>
      </c>
    </row>
    <row r="67">
      <c r="A67" s="1">
        <v>5.0</v>
      </c>
      <c r="B67" s="1">
        <v>6.0</v>
      </c>
      <c r="C67" s="18">
        <v>8.0</v>
      </c>
      <c r="D67" s="18">
        <f t="shared" si="1"/>
        <v>-2</v>
      </c>
      <c r="E67" s="18">
        <f t="shared" si="2"/>
        <v>2</v>
      </c>
      <c r="F67" s="18">
        <f t="shared" si="3"/>
        <v>-3</v>
      </c>
      <c r="G67" s="18">
        <f t="shared" si="4"/>
        <v>3</v>
      </c>
    </row>
    <row r="68">
      <c r="A68" s="1">
        <v>6.0</v>
      </c>
      <c r="B68" s="1">
        <v>7.0</v>
      </c>
      <c r="C68" s="18">
        <v>7.0</v>
      </c>
      <c r="D68" s="18">
        <f t="shared" si="1"/>
        <v>0</v>
      </c>
      <c r="E68" s="18">
        <f t="shared" si="2"/>
        <v>0</v>
      </c>
      <c r="F68" s="18">
        <f t="shared" si="3"/>
        <v>-1</v>
      </c>
      <c r="G68" s="18">
        <f t="shared" si="4"/>
        <v>1</v>
      </c>
    </row>
    <row r="69">
      <c r="A69" s="1">
        <v>10.0</v>
      </c>
      <c r="B69" s="1">
        <v>6.0</v>
      </c>
      <c r="C69" s="18">
        <v>6.0</v>
      </c>
      <c r="D69" s="18">
        <f t="shared" si="1"/>
        <v>0</v>
      </c>
      <c r="E69" s="18">
        <f t="shared" si="2"/>
        <v>0</v>
      </c>
      <c r="F69" s="18">
        <f t="shared" si="3"/>
        <v>4</v>
      </c>
      <c r="G69" s="18">
        <f t="shared" si="4"/>
        <v>4</v>
      </c>
    </row>
    <row r="70">
      <c r="A70" s="1">
        <v>10.0</v>
      </c>
      <c r="B70" s="1">
        <v>6.0</v>
      </c>
      <c r="C70" s="18">
        <v>7.0</v>
      </c>
      <c r="D70" s="18">
        <f t="shared" si="1"/>
        <v>-1</v>
      </c>
      <c r="E70" s="18">
        <f t="shared" si="2"/>
        <v>1</v>
      </c>
      <c r="F70" s="18">
        <f t="shared" si="3"/>
        <v>3</v>
      </c>
      <c r="G70" s="18">
        <f t="shared" si="4"/>
        <v>3</v>
      </c>
    </row>
    <row r="71">
      <c r="A71" s="1">
        <v>9.0</v>
      </c>
      <c r="B71" s="1">
        <v>6.0</v>
      </c>
      <c r="C71" s="18">
        <v>8.0</v>
      </c>
      <c r="D71" s="18">
        <f t="shared" si="1"/>
        <v>-2</v>
      </c>
      <c r="E71" s="18">
        <f t="shared" si="2"/>
        <v>2</v>
      </c>
      <c r="F71" s="18">
        <f t="shared" si="3"/>
        <v>1</v>
      </c>
      <c r="G71" s="18">
        <f t="shared" si="4"/>
        <v>1</v>
      </c>
    </row>
    <row r="72">
      <c r="A72" s="1">
        <v>2.0</v>
      </c>
      <c r="B72" s="1">
        <v>6.0</v>
      </c>
      <c r="C72" s="18">
        <v>4.0</v>
      </c>
      <c r="D72" s="18">
        <f t="shared" si="1"/>
        <v>2</v>
      </c>
      <c r="E72" s="18">
        <f t="shared" si="2"/>
        <v>2</v>
      </c>
      <c r="F72" s="18">
        <f t="shared" si="3"/>
        <v>-2</v>
      </c>
      <c r="G72" s="18">
        <f t="shared" si="4"/>
        <v>2</v>
      </c>
    </row>
    <row r="73">
      <c r="A73" s="1">
        <v>10.0</v>
      </c>
      <c r="B73" s="1">
        <v>6.0</v>
      </c>
      <c r="C73" s="18">
        <v>8.0</v>
      </c>
      <c r="D73" s="18">
        <f t="shared" si="1"/>
        <v>-2</v>
      </c>
      <c r="E73" s="18">
        <f t="shared" si="2"/>
        <v>2</v>
      </c>
      <c r="F73" s="18">
        <f t="shared" si="3"/>
        <v>2</v>
      </c>
      <c r="G73" s="18">
        <f t="shared" si="4"/>
        <v>2</v>
      </c>
    </row>
    <row r="74">
      <c r="A74" s="1">
        <v>9.0</v>
      </c>
      <c r="B74" s="1">
        <v>6.0</v>
      </c>
      <c r="C74" s="18">
        <v>6.0</v>
      </c>
      <c r="D74" s="18">
        <f t="shared" si="1"/>
        <v>0</v>
      </c>
      <c r="E74" s="18">
        <f t="shared" si="2"/>
        <v>0</v>
      </c>
      <c r="F74" s="18">
        <f t="shared" si="3"/>
        <v>3</v>
      </c>
      <c r="G74" s="18">
        <f t="shared" si="4"/>
        <v>3</v>
      </c>
    </row>
    <row r="75">
      <c r="A75" s="1">
        <v>5.0</v>
      </c>
      <c r="B75" s="1">
        <v>4.0</v>
      </c>
      <c r="C75" s="18">
        <v>5.0</v>
      </c>
      <c r="D75" s="18">
        <f t="shared" si="1"/>
        <v>-1</v>
      </c>
      <c r="E75" s="18">
        <f t="shared" si="2"/>
        <v>1</v>
      </c>
      <c r="F75" s="18">
        <f t="shared" si="3"/>
        <v>0</v>
      </c>
      <c r="G75" s="18">
        <f t="shared" si="4"/>
        <v>0</v>
      </c>
    </row>
    <row r="76">
      <c r="A76" s="1">
        <v>6.0</v>
      </c>
      <c r="B76" s="1">
        <v>6.0</v>
      </c>
      <c r="C76" s="18">
        <v>8.0</v>
      </c>
      <c r="D76" s="18">
        <f t="shared" si="1"/>
        <v>-2</v>
      </c>
      <c r="E76" s="18">
        <f t="shared" si="2"/>
        <v>2</v>
      </c>
      <c r="F76" s="18">
        <f t="shared" si="3"/>
        <v>-2</v>
      </c>
      <c r="G76" s="18">
        <f t="shared" si="4"/>
        <v>2</v>
      </c>
    </row>
    <row r="77">
      <c r="A77" s="1">
        <v>7.0</v>
      </c>
      <c r="B77" s="1">
        <v>6.0</v>
      </c>
      <c r="C77" s="18">
        <v>8.0</v>
      </c>
      <c r="D77" s="18">
        <f t="shared" si="1"/>
        <v>-2</v>
      </c>
      <c r="E77" s="18">
        <f t="shared" si="2"/>
        <v>2</v>
      </c>
      <c r="F77" s="18">
        <f t="shared" si="3"/>
        <v>-1</v>
      </c>
      <c r="G77" s="18">
        <f t="shared" si="4"/>
        <v>1</v>
      </c>
    </row>
    <row r="78">
      <c r="A78" s="1">
        <v>9.0</v>
      </c>
      <c r="B78" s="1">
        <v>6.0</v>
      </c>
      <c r="C78" s="18">
        <v>8.0</v>
      </c>
      <c r="D78" s="18">
        <f t="shared" si="1"/>
        <v>-2</v>
      </c>
      <c r="E78" s="18">
        <f t="shared" si="2"/>
        <v>2</v>
      </c>
      <c r="F78" s="18">
        <f t="shared" si="3"/>
        <v>1</v>
      </c>
      <c r="G78" s="18">
        <f t="shared" si="4"/>
        <v>1</v>
      </c>
    </row>
    <row r="79">
      <c r="A79" s="1">
        <v>5.0</v>
      </c>
      <c r="B79" s="1">
        <v>6.0</v>
      </c>
      <c r="C79" s="18">
        <v>8.0</v>
      </c>
      <c r="D79" s="18">
        <f t="shared" si="1"/>
        <v>-2</v>
      </c>
      <c r="E79" s="18">
        <f t="shared" si="2"/>
        <v>2</v>
      </c>
      <c r="F79" s="18">
        <f t="shared" si="3"/>
        <v>-3</v>
      </c>
      <c r="G79" s="18">
        <f t="shared" si="4"/>
        <v>3</v>
      </c>
    </row>
    <row r="80">
      <c r="A80" s="1">
        <v>7.0</v>
      </c>
      <c r="B80" s="1">
        <v>7.0</v>
      </c>
      <c r="C80" s="18">
        <v>8.0</v>
      </c>
      <c r="D80" s="18">
        <f t="shared" si="1"/>
        <v>-1</v>
      </c>
      <c r="E80" s="18">
        <f t="shared" si="2"/>
        <v>1</v>
      </c>
      <c r="F80" s="18">
        <f t="shared" si="3"/>
        <v>-1</v>
      </c>
      <c r="G80" s="18">
        <f t="shared" si="4"/>
        <v>1</v>
      </c>
    </row>
    <row r="81">
      <c r="A81" s="1">
        <v>7.0</v>
      </c>
      <c r="B81" s="1">
        <v>6.0</v>
      </c>
      <c r="C81" s="18">
        <v>7.0</v>
      </c>
      <c r="D81" s="18">
        <f t="shared" si="1"/>
        <v>-1</v>
      </c>
      <c r="E81" s="18">
        <f t="shared" si="2"/>
        <v>1</v>
      </c>
      <c r="F81" s="18">
        <f t="shared" si="3"/>
        <v>0</v>
      </c>
      <c r="G81" s="18">
        <f t="shared" si="4"/>
        <v>0</v>
      </c>
    </row>
    <row r="82">
      <c r="A82" s="1">
        <v>10.0</v>
      </c>
      <c r="B82" s="1">
        <v>7.0</v>
      </c>
      <c r="C82" s="18">
        <v>8.0</v>
      </c>
      <c r="D82" s="18">
        <f t="shared" si="1"/>
        <v>-1</v>
      </c>
      <c r="E82" s="18">
        <f t="shared" si="2"/>
        <v>1</v>
      </c>
      <c r="F82" s="18">
        <f t="shared" si="3"/>
        <v>2</v>
      </c>
      <c r="G82" s="18">
        <f t="shared" si="4"/>
        <v>2</v>
      </c>
    </row>
    <row r="83">
      <c r="A83" s="1">
        <v>6.0</v>
      </c>
      <c r="B83" s="1">
        <v>7.0</v>
      </c>
      <c r="C83" s="18">
        <v>6.0</v>
      </c>
      <c r="D83" s="18">
        <f t="shared" si="1"/>
        <v>1</v>
      </c>
      <c r="E83" s="18">
        <f t="shared" si="2"/>
        <v>1</v>
      </c>
      <c r="F83" s="18">
        <f t="shared" si="3"/>
        <v>0</v>
      </c>
      <c r="G83" s="18">
        <f t="shared" si="4"/>
        <v>0</v>
      </c>
    </row>
    <row r="84">
      <c r="A84" s="1">
        <v>5.0</v>
      </c>
      <c r="B84" s="1">
        <v>6.0</v>
      </c>
      <c r="C84" s="18">
        <v>8.0</v>
      </c>
      <c r="D84" s="18">
        <f t="shared" si="1"/>
        <v>-2</v>
      </c>
      <c r="E84" s="18">
        <f t="shared" si="2"/>
        <v>2</v>
      </c>
      <c r="F84" s="18">
        <f t="shared" si="3"/>
        <v>-3</v>
      </c>
      <c r="G84" s="18">
        <f t="shared" si="4"/>
        <v>3</v>
      </c>
    </row>
    <row r="85">
      <c r="A85" s="1">
        <v>10.0</v>
      </c>
      <c r="B85" s="1">
        <v>6.0</v>
      </c>
      <c r="C85" s="18">
        <v>7.0</v>
      </c>
      <c r="D85" s="18">
        <f t="shared" si="1"/>
        <v>-1</v>
      </c>
      <c r="E85" s="18">
        <f t="shared" si="2"/>
        <v>1</v>
      </c>
      <c r="F85" s="18">
        <f t="shared" si="3"/>
        <v>3</v>
      </c>
      <c r="G85" s="18">
        <f t="shared" si="4"/>
        <v>3</v>
      </c>
    </row>
    <row r="86">
      <c r="A86" s="1">
        <v>10.0</v>
      </c>
      <c r="B86" s="1">
        <v>6.0</v>
      </c>
      <c r="C86" s="18">
        <v>4.0</v>
      </c>
      <c r="D86" s="18">
        <f t="shared" si="1"/>
        <v>2</v>
      </c>
      <c r="E86" s="18">
        <f t="shared" si="2"/>
        <v>2</v>
      </c>
      <c r="F86" s="18">
        <f t="shared" si="3"/>
        <v>6</v>
      </c>
      <c r="G86" s="18">
        <f t="shared" si="4"/>
        <v>6</v>
      </c>
    </row>
    <row r="87">
      <c r="A87" s="1">
        <v>8.0</v>
      </c>
      <c r="B87" s="1">
        <v>7.0</v>
      </c>
      <c r="C87" s="18">
        <v>8.0</v>
      </c>
      <c r="D87" s="18">
        <f t="shared" si="1"/>
        <v>-1</v>
      </c>
      <c r="E87" s="18">
        <f t="shared" si="2"/>
        <v>1</v>
      </c>
      <c r="F87" s="18">
        <f t="shared" si="3"/>
        <v>0</v>
      </c>
      <c r="G87" s="18">
        <f t="shared" si="4"/>
        <v>0</v>
      </c>
    </row>
    <row r="88">
      <c r="A88" s="1">
        <v>6.0</v>
      </c>
      <c r="B88" s="1">
        <v>7.0</v>
      </c>
      <c r="C88" s="18">
        <v>8.0</v>
      </c>
      <c r="D88" s="18">
        <f t="shared" si="1"/>
        <v>-1</v>
      </c>
      <c r="E88" s="18">
        <f t="shared" si="2"/>
        <v>1</v>
      </c>
      <c r="F88" s="18">
        <f t="shared" si="3"/>
        <v>-2</v>
      </c>
      <c r="G88" s="18">
        <f t="shared" si="4"/>
        <v>2</v>
      </c>
    </row>
    <row r="89">
      <c r="A89" s="1">
        <v>6.0</v>
      </c>
      <c r="B89" s="1">
        <v>6.0</v>
      </c>
      <c r="C89" s="18">
        <v>7.0</v>
      </c>
      <c r="D89" s="18">
        <f t="shared" si="1"/>
        <v>-1</v>
      </c>
      <c r="E89" s="18">
        <f t="shared" si="2"/>
        <v>1</v>
      </c>
      <c r="F89" s="18">
        <f t="shared" si="3"/>
        <v>-1</v>
      </c>
      <c r="G89" s="18">
        <f t="shared" si="4"/>
        <v>1</v>
      </c>
    </row>
    <row r="90">
      <c r="A90" s="1">
        <v>4.0</v>
      </c>
      <c r="B90" s="1">
        <v>4.0</v>
      </c>
      <c r="C90" s="18">
        <v>8.0</v>
      </c>
      <c r="D90" s="18">
        <f t="shared" si="1"/>
        <v>-4</v>
      </c>
      <c r="E90" s="18">
        <f t="shared" si="2"/>
        <v>4</v>
      </c>
      <c r="F90" s="18">
        <f t="shared" si="3"/>
        <v>-4</v>
      </c>
      <c r="G90" s="18">
        <f t="shared" si="4"/>
        <v>4</v>
      </c>
    </row>
    <row r="91">
      <c r="A91" s="1">
        <v>4.0</v>
      </c>
      <c r="B91" s="1">
        <v>6.0</v>
      </c>
      <c r="C91" s="18">
        <v>7.0</v>
      </c>
      <c r="D91" s="18">
        <f t="shared" si="1"/>
        <v>-1</v>
      </c>
      <c r="E91" s="18">
        <f t="shared" si="2"/>
        <v>1</v>
      </c>
      <c r="F91" s="18">
        <f t="shared" si="3"/>
        <v>-3</v>
      </c>
      <c r="G91" s="18">
        <f t="shared" si="4"/>
        <v>3</v>
      </c>
    </row>
    <row r="92">
      <c r="A92" s="1">
        <v>4.0</v>
      </c>
      <c r="B92" s="1">
        <v>4.0</v>
      </c>
      <c r="C92" s="18">
        <v>7.0</v>
      </c>
      <c r="D92" s="18">
        <f t="shared" si="1"/>
        <v>-3</v>
      </c>
      <c r="E92" s="18">
        <f t="shared" si="2"/>
        <v>3</v>
      </c>
      <c r="F92" s="18">
        <f t="shared" si="3"/>
        <v>-3</v>
      </c>
      <c r="G92" s="18">
        <f t="shared" si="4"/>
        <v>3</v>
      </c>
    </row>
    <row r="93">
      <c r="A93" s="1">
        <v>6.0</v>
      </c>
      <c r="B93" s="1">
        <v>6.0</v>
      </c>
      <c r="C93" s="18">
        <v>4.0</v>
      </c>
      <c r="D93" s="18">
        <f t="shared" si="1"/>
        <v>2</v>
      </c>
      <c r="E93" s="18">
        <f t="shared" si="2"/>
        <v>2</v>
      </c>
      <c r="F93" s="18">
        <f t="shared" si="3"/>
        <v>2</v>
      </c>
      <c r="G93" s="18">
        <f t="shared" si="4"/>
        <v>2</v>
      </c>
    </row>
    <row r="94">
      <c r="A94" s="1">
        <v>4.0</v>
      </c>
      <c r="B94" s="1">
        <v>4.0</v>
      </c>
      <c r="C94" s="18">
        <v>4.0</v>
      </c>
      <c r="D94" s="18">
        <f t="shared" si="1"/>
        <v>0</v>
      </c>
      <c r="E94" s="18">
        <f t="shared" si="2"/>
        <v>0</v>
      </c>
      <c r="F94" s="18">
        <f t="shared" si="3"/>
        <v>0</v>
      </c>
      <c r="G94" s="18">
        <f t="shared" si="4"/>
        <v>0</v>
      </c>
    </row>
    <row r="95">
      <c r="A95" s="1">
        <v>5.0</v>
      </c>
      <c r="B95" s="1">
        <v>6.0</v>
      </c>
      <c r="C95" s="18">
        <v>5.0</v>
      </c>
      <c r="D95" s="18">
        <f t="shared" si="1"/>
        <v>1</v>
      </c>
      <c r="E95" s="18">
        <f t="shared" si="2"/>
        <v>1</v>
      </c>
      <c r="F95" s="18">
        <f t="shared" si="3"/>
        <v>0</v>
      </c>
      <c r="G95" s="18">
        <f t="shared" si="4"/>
        <v>0</v>
      </c>
    </row>
    <row r="96">
      <c r="A96" s="1">
        <v>2.0</v>
      </c>
      <c r="B96" s="1">
        <v>6.0</v>
      </c>
      <c r="C96" s="18">
        <v>6.0</v>
      </c>
      <c r="D96" s="18">
        <f t="shared" si="1"/>
        <v>0</v>
      </c>
      <c r="E96" s="18">
        <f t="shared" si="2"/>
        <v>0</v>
      </c>
      <c r="F96" s="18">
        <f t="shared" si="3"/>
        <v>-4</v>
      </c>
      <c r="G96" s="18">
        <f t="shared" si="4"/>
        <v>4</v>
      </c>
    </row>
    <row r="97">
      <c r="A97" s="1">
        <v>5.0</v>
      </c>
      <c r="B97" s="1">
        <v>8.0</v>
      </c>
      <c r="C97" s="18">
        <v>6.0</v>
      </c>
      <c r="D97" s="18">
        <f t="shared" si="1"/>
        <v>2</v>
      </c>
      <c r="E97" s="18">
        <f t="shared" si="2"/>
        <v>2</v>
      </c>
      <c r="F97" s="18">
        <f t="shared" si="3"/>
        <v>-1</v>
      </c>
      <c r="G97" s="18">
        <f t="shared" si="4"/>
        <v>1</v>
      </c>
    </row>
    <row r="98">
      <c r="A98" s="1">
        <v>9.0</v>
      </c>
      <c r="B98" s="1">
        <v>6.0</v>
      </c>
      <c r="C98" s="18">
        <v>5.0</v>
      </c>
      <c r="D98" s="18">
        <f t="shared" si="1"/>
        <v>1</v>
      </c>
      <c r="E98" s="18">
        <f t="shared" si="2"/>
        <v>1</v>
      </c>
      <c r="F98" s="18">
        <f t="shared" si="3"/>
        <v>4</v>
      </c>
      <c r="G98" s="18">
        <f t="shared" si="4"/>
        <v>4</v>
      </c>
    </row>
    <row r="99">
      <c r="A99" s="1">
        <v>6.0</v>
      </c>
      <c r="B99" s="1">
        <v>6.0</v>
      </c>
      <c r="C99" s="18">
        <v>8.0</v>
      </c>
      <c r="D99" s="18">
        <f t="shared" si="1"/>
        <v>-2</v>
      </c>
      <c r="E99" s="18">
        <f t="shared" si="2"/>
        <v>2</v>
      </c>
      <c r="F99" s="18">
        <f t="shared" si="3"/>
        <v>-2</v>
      </c>
      <c r="G99" s="18">
        <f t="shared" si="4"/>
        <v>2</v>
      </c>
    </row>
    <row r="100">
      <c r="A100" s="1">
        <v>3.0</v>
      </c>
      <c r="B100" s="1">
        <v>6.0</v>
      </c>
      <c r="C100" s="18">
        <v>8.0</v>
      </c>
      <c r="D100" s="18">
        <f t="shared" si="1"/>
        <v>-2</v>
      </c>
      <c r="E100" s="18">
        <f t="shared" si="2"/>
        <v>2</v>
      </c>
      <c r="F100" s="18">
        <f t="shared" si="3"/>
        <v>-5</v>
      </c>
      <c r="G100" s="18">
        <f t="shared" si="4"/>
        <v>5</v>
      </c>
    </row>
    <row r="101">
      <c r="A101" s="1">
        <v>9.0</v>
      </c>
      <c r="B101" s="1">
        <v>7.0</v>
      </c>
      <c r="C101" s="18">
        <v>8.0</v>
      </c>
      <c r="D101" s="18">
        <f t="shared" si="1"/>
        <v>-1</v>
      </c>
      <c r="E101" s="18">
        <f t="shared" si="2"/>
        <v>1</v>
      </c>
      <c r="F101" s="18">
        <f t="shared" si="3"/>
        <v>1</v>
      </c>
      <c r="G101" s="18">
        <f t="shared" si="4"/>
        <v>1</v>
      </c>
    </row>
    <row r="102">
      <c r="A102" s="1">
        <v>5.0</v>
      </c>
      <c r="B102" s="1">
        <v>6.0</v>
      </c>
      <c r="C102" s="18">
        <v>4.0</v>
      </c>
      <c r="D102" s="18">
        <f t="shared" si="1"/>
        <v>2</v>
      </c>
      <c r="E102" s="18">
        <f t="shared" si="2"/>
        <v>2</v>
      </c>
      <c r="F102" s="18">
        <f t="shared" si="3"/>
        <v>1</v>
      </c>
      <c r="G102" s="18">
        <f t="shared" si="4"/>
        <v>1</v>
      </c>
    </row>
    <row r="103">
      <c r="A103" s="1">
        <v>3.0</v>
      </c>
      <c r="B103" s="1">
        <v>4.0</v>
      </c>
      <c r="C103" s="18">
        <v>8.0</v>
      </c>
      <c r="D103" s="18">
        <f t="shared" si="1"/>
        <v>-4</v>
      </c>
      <c r="E103" s="18">
        <f t="shared" si="2"/>
        <v>4</v>
      </c>
      <c r="F103" s="18">
        <f t="shared" si="3"/>
        <v>-5</v>
      </c>
      <c r="G103" s="18">
        <f t="shared" si="4"/>
        <v>5</v>
      </c>
    </row>
    <row r="104">
      <c r="A104" s="1">
        <v>7.0</v>
      </c>
      <c r="B104" s="1">
        <v>7.0</v>
      </c>
      <c r="C104" s="18">
        <v>7.0</v>
      </c>
      <c r="D104" s="18">
        <f t="shared" si="1"/>
        <v>0</v>
      </c>
      <c r="E104" s="18">
        <f t="shared" si="2"/>
        <v>0</v>
      </c>
      <c r="F104" s="18">
        <f t="shared" si="3"/>
        <v>0</v>
      </c>
      <c r="G104" s="18">
        <f t="shared" si="4"/>
        <v>0</v>
      </c>
    </row>
    <row r="105">
      <c r="A105" s="1">
        <v>9.0</v>
      </c>
      <c r="B105" s="1">
        <v>6.0</v>
      </c>
      <c r="C105" s="18">
        <v>8.0</v>
      </c>
      <c r="D105" s="18">
        <f t="shared" si="1"/>
        <v>-2</v>
      </c>
      <c r="E105" s="18">
        <f t="shared" si="2"/>
        <v>2</v>
      </c>
      <c r="F105" s="18">
        <f t="shared" si="3"/>
        <v>1</v>
      </c>
      <c r="G105" s="18">
        <f t="shared" si="4"/>
        <v>1</v>
      </c>
    </row>
    <row r="106">
      <c r="A106" s="1">
        <v>8.0</v>
      </c>
      <c r="B106" s="1">
        <v>6.0</v>
      </c>
      <c r="C106" s="18">
        <v>4.0</v>
      </c>
      <c r="D106" s="18">
        <f t="shared" si="1"/>
        <v>2</v>
      </c>
      <c r="E106" s="18">
        <f t="shared" si="2"/>
        <v>2</v>
      </c>
      <c r="F106" s="18">
        <f t="shared" si="3"/>
        <v>4</v>
      </c>
      <c r="G106" s="18">
        <f t="shared" si="4"/>
        <v>4</v>
      </c>
    </row>
    <row r="107">
      <c r="A107" s="1">
        <v>2.0</v>
      </c>
      <c r="B107" s="1">
        <v>6.0</v>
      </c>
      <c r="C107" s="18">
        <v>4.0</v>
      </c>
      <c r="D107" s="18">
        <f t="shared" si="1"/>
        <v>2</v>
      </c>
      <c r="E107" s="18">
        <f t="shared" si="2"/>
        <v>2</v>
      </c>
      <c r="F107" s="18">
        <f t="shared" si="3"/>
        <v>-2</v>
      </c>
      <c r="G107" s="18">
        <f t="shared" si="4"/>
        <v>2</v>
      </c>
    </row>
    <row r="108">
      <c r="A108" s="1">
        <v>9.0</v>
      </c>
      <c r="B108" s="1">
        <v>6.0</v>
      </c>
      <c r="C108" s="18">
        <v>8.0</v>
      </c>
      <c r="D108" s="18">
        <f t="shared" si="1"/>
        <v>-2</v>
      </c>
      <c r="E108" s="18">
        <f t="shared" si="2"/>
        <v>2</v>
      </c>
      <c r="F108" s="18">
        <f t="shared" si="3"/>
        <v>1</v>
      </c>
      <c r="G108" s="18">
        <f t="shared" si="4"/>
        <v>1</v>
      </c>
    </row>
    <row r="109">
      <c r="A109" s="1">
        <v>8.0</v>
      </c>
      <c r="B109" s="1">
        <v>6.0</v>
      </c>
      <c r="C109" s="18">
        <v>5.0</v>
      </c>
      <c r="D109" s="18">
        <f t="shared" si="1"/>
        <v>1</v>
      </c>
      <c r="E109" s="18">
        <f t="shared" si="2"/>
        <v>1</v>
      </c>
      <c r="F109" s="18">
        <f t="shared" si="3"/>
        <v>3</v>
      </c>
      <c r="G109" s="18">
        <f t="shared" si="4"/>
        <v>3</v>
      </c>
    </row>
    <row r="110">
      <c r="A110" s="1">
        <v>7.0</v>
      </c>
      <c r="B110" s="1">
        <v>6.0</v>
      </c>
      <c r="C110" s="18">
        <v>8.0</v>
      </c>
      <c r="D110" s="18">
        <f t="shared" si="1"/>
        <v>-2</v>
      </c>
      <c r="E110" s="18">
        <f t="shared" si="2"/>
        <v>2</v>
      </c>
      <c r="F110" s="18">
        <f t="shared" si="3"/>
        <v>-1</v>
      </c>
      <c r="G110" s="18">
        <f t="shared" si="4"/>
        <v>1</v>
      </c>
    </row>
    <row r="111">
      <c r="A111" s="1">
        <v>7.0</v>
      </c>
      <c r="B111" s="1">
        <v>6.0</v>
      </c>
      <c r="C111" s="18">
        <v>8.0</v>
      </c>
      <c r="D111" s="18">
        <f t="shared" si="1"/>
        <v>-2</v>
      </c>
      <c r="E111" s="18">
        <f t="shared" si="2"/>
        <v>2</v>
      </c>
      <c r="F111" s="18">
        <f t="shared" si="3"/>
        <v>-1</v>
      </c>
      <c r="G111" s="18">
        <f t="shared" si="4"/>
        <v>1</v>
      </c>
    </row>
    <row r="112">
      <c r="A112" s="1">
        <v>8.0</v>
      </c>
      <c r="B112" s="1">
        <v>6.0</v>
      </c>
      <c r="C112" s="18">
        <v>4.0</v>
      </c>
      <c r="D112" s="18">
        <f t="shared" si="1"/>
        <v>2</v>
      </c>
      <c r="E112" s="18">
        <f t="shared" si="2"/>
        <v>2</v>
      </c>
      <c r="F112" s="18">
        <f t="shared" si="3"/>
        <v>4</v>
      </c>
      <c r="G112" s="18">
        <f t="shared" si="4"/>
        <v>4</v>
      </c>
    </row>
    <row r="113">
      <c r="A113" s="1">
        <v>8.0</v>
      </c>
      <c r="B113" s="1">
        <v>6.0</v>
      </c>
      <c r="C113" s="18">
        <v>7.0</v>
      </c>
      <c r="D113" s="18">
        <f t="shared" si="1"/>
        <v>-1</v>
      </c>
      <c r="E113" s="18">
        <f t="shared" si="2"/>
        <v>1</v>
      </c>
      <c r="F113" s="18">
        <f t="shared" si="3"/>
        <v>1</v>
      </c>
      <c r="G113" s="18">
        <f t="shared" si="4"/>
        <v>1</v>
      </c>
    </row>
    <row r="114">
      <c r="A114" s="1">
        <v>3.0</v>
      </c>
      <c r="B114" s="1">
        <v>6.0</v>
      </c>
      <c r="C114" s="18">
        <v>5.0</v>
      </c>
      <c r="D114" s="18">
        <f t="shared" si="1"/>
        <v>1</v>
      </c>
      <c r="E114" s="18">
        <f t="shared" si="2"/>
        <v>1</v>
      </c>
      <c r="F114" s="18">
        <f t="shared" si="3"/>
        <v>-2</v>
      </c>
      <c r="G114" s="18">
        <f t="shared" si="4"/>
        <v>2</v>
      </c>
    </row>
    <row r="115">
      <c r="A115" s="1">
        <v>2.0</v>
      </c>
      <c r="B115" s="1">
        <v>6.0</v>
      </c>
      <c r="C115" s="18">
        <v>4.0</v>
      </c>
      <c r="D115" s="18">
        <f t="shared" si="1"/>
        <v>2</v>
      </c>
      <c r="E115" s="18">
        <f t="shared" si="2"/>
        <v>2</v>
      </c>
      <c r="F115" s="18">
        <f t="shared" si="3"/>
        <v>-2</v>
      </c>
      <c r="G115" s="18">
        <f t="shared" si="4"/>
        <v>2</v>
      </c>
    </row>
    <row r="116">
      <c r="A116" s="1">
        <v>10.0</v>
      </c>
      <c r="B116" s="1">
        <v>6.0</v>
      </c>
      <c r="C116" s="18">
        <v>8.0</v>
      </c>
      <c r="D116" s="18">
        <f t="shared" si="1"/>
        <v>-2</v>
      </c>
      <c r="E116" s="18">
        <f t="shared" si="2"/>
        <v>2</v>
      </c>
      <c r="F116" s="18">
        <f t="shared" si="3"/>
        <v>2</v>
      </c>
      <c r="G116" s="18">
        <f t="shared" si="4"/>
        <v>2</v>
      </c>
    </row>
    <row r="117">
      <c r="A117" s="1">
        <v>9.0</v>
      </c>
      <c r="B117" s="1">
        <v>6.0</v>
      </c>
      <c r="C117" s="18">
        <v>5.0</v>
      </c>
      <c r="D117" s="18">
        <f t="shared" si="1"/>
        <v>1</v>
      </c>
      <c r="E117" s="18">
        <f t="shared" si="2"/>
        <v>1</v>
      </c>
      <c r="F117" s="18">
        <f t="shared" si="3"/>
        <v>4</v>
      </c>
      <c r="G117" s="18">
        <f t="shared" si="4"/>
        <v>4</v>
      </c>
    </row>
    <row r="118">
      <c r="A118" s="1">
        <v>5.0</v>
      </c>
      <c r="B118" s="1">
        <v>6.0</v>
      </c>
      <c r="C118" s="18">
        <v>6.0</v>
      </c>
      <c r="D118" s="18">
        <f t="shared" si="1"/>
        <v>0</v>
      </c>
      <c r="E118" s="18">
        <f t="shared" si="2"/>
        <v>0</v>
      </c>
      <c r="F118" s="18">
        <f t="shared" si="3"/>
        <v>-1</v>
      </c>
      <c r="G118" s="18">
        <f t="shared" si="4"/>
        <v>1</v>
      </c>
    </row>
    <row r="119">
      <c r="A119" s="1">
        <v>6.0</v>
      </c>
      <c r="B119" s="1">
        <v>6.0</v>
      </c>
      <c r="C119" s="18">
        <v>5.0</v>
      </c>
      <c r="D119" s="18">
        <f t="shared" si="1"/>
        <v>1</v>
      </c>
      <c r="E119" s="18">
        <f t="shared" si="2"/>
        <v>1</v>
      </c>
      <c r="F119" s="18">
        <f t="shared" si="3"/>
        <v>1</v>
      </c>
      <c r="G119" s="18">
        <f t="shared" si="4"/>
        <v>1</v>
      </c>
    </row>
    <row r="120">
      <c r="A120" s="1">
        <v>4.0</v>
      </c>
      <c r="B120" s="1">
        <v>6.0</v>
      </c>
      <c r="C120" s="18">
        <v>8.0</v>
      </c>
      <c r="D120" s="18">
        <f t="shared" si="1"/>
        <v>-2</v>
      </c>
      <c r="E120" s="18">
        <f t="shared" si="2"/>
        <v>2</v>
      </c>
      <c r="F120" s="18">
        <f t="shared" si="3"/>
        <v>-4</v>
      </c>
      <c r="G120" s="18">
        <f t="shared" si="4"/>
        <v>4</v>
      </c>
    </row>
    <row r="121">
      <c r="A121" s="1">
        <v>8.0</v>
      </c>
      <c r="B121" s="1">
        <v>6.0</v>
      </c>
      <c r="C121" s="18">
        <v>8.0</v>
      </c>
      <c r="D121" s="18">
        <f t="shared" si="1"/>
        <v>-2</v>
      </c>
      <c r="E121" s="18">
        <f t="shared" si="2"/>
        <v>2</v>
      </c>
      <c r="F121" s="18">
        <f t="shared" si="3"/>
        <v>0</v>
      </c>
      <c r="G121" s="18">
        <f t="shared" si="4"/>
        <v>0</v>
      </c>
    </row>
    <row r="122">
      <c r="A122" s="1">
        <v>7.0</v>
      </c>
      <c r="B122" s="1">
        <v>7.0</v>
      </c>
      <c r="C122" s="18">
        <v>8.0</v>
      </c>
      <c r="D122" s="18">
        <f t="shared" si="1"/>
        <v>-1</v>
      </c>
      <c r="E122" s="18">
        <f t="shared" si="2"/>
        <v>1</v>
      </c>
      <c r="F122" s="18">
        <f t="shared" si="3"/>
        <v>-1</v>
      </c>
      <c r="G122" s="18">
        <f t="shared" si="4"/>
        <v>1</v>
      </c>
    </row>
    <row r="123">
      <c r="A123" s="1">
        <v>6.0</v>
      </c>
      <c r="B123" s="1">
        <v>7.0</v>
      </c>
      <c r="C123" s="18">
        <v>8.0</v>
      </c>
      <c r="D123" s="18">
        <f t="shared" si="1"/>
        <v>-1</v>
      </c>
      <c r="E123" s="18">
        <f t="shared" si="2"/>
        <v>1</v>
      </c>
      <c r="F123" s="18">
        <f t="shared" si="3"/>
        <v>-2</v>
      </c>
      <c r="G123" s="18">
        <f t="shared" si="4"/>
        <v>2</v>
      </c>
    </row>
    <row r="124">
      <c r="A124" s="1">
        <v>8.0</v>
      </c>
      <c r="B124" s="1">
        <v>6.0</v>
      </c>
      <c r="C124" s="18">
        <v>7.0</v>
      </c>
      <c r="D124" s="18">
        <f t="shared" si="1"/>
        <v>-1</v>
      </c>
      <c r="E124" s="18">
        <f t="shared" si="2"/>
        <v>1</v>
      </c>
      <c r="F124" s="18">
        <f t="shared" si="3"/>
        <v>1</v>
      </c>
      <c r="G124" s="18">
        <f t="shared" si="4"/>
        <v>1</v>
      </c>
    </row>
    <row r="125">
      <c r="A125" s="1">
        <v>8.0</v>
      </c>
      <c r="B125" s="1">
        <v>4.0</v>
      </c>
      <c r="C125" s="18">
        <v>6.0</v>
      </c>
      <c r="D125" s="18">
        <f t="shared" si="1"/>
        <v>-2</v>
      </c>
      <c r="E125" s="18">
        <f t="shared" si="2"/>
        <v>2</v>
      </c>
      <c r="F125" s="18">
        <f t="shared" si="3"/>
        <v>2</v>
      </c>
      <c r="G125" s="18">
        <f t="shared" si="4"/>
        <v>2</v>
      </c>
    </row>
    <row r="126">
      <c r="A126" s="1">
        <v>1.0</v>
      </c>
      <c r="B126" s="1">
        <v>6.0</v>
      </c>
      <c r="C126" s="18">
        <v>4.0</v>
      </c>
      <c r="D126" s="18">
        <f t="shared" si="1"/>
        <v>2</v>
      </c>
      <c r="E126" s="18">
        <f t="shared" si="2"/>
        <v>2</v>
      </c>
      <c r="F126" s="18">
        <f t="shared" si="3"/>
        <v>-3</v>
      </c>
      <c r="G126" s="18">
        <f t="shared" si="4"/>
        <v>3</v>
      </c>
    </row>
    <row r="127">
      <c r="A127" s="1">
        <v>6.0</v>
      </c>
      <c r="B127" s="1">
        <v>6.0</v>
      </c>
      <c r="C127" s="18">
        <v>6.0</v>
      </c>
      <c r="D127" s="18">
        <f t="shared" si="1"/>
        <v>0</v>
      </c>
      <c r="E127" s="18">
        <f t="shared" si="2"/>
        <v>0</v>
      </c>
      <c r="F127" s="18">
        <f t="shared" si="3"/>
        <v>0</v>
      </c>
      <c r="G127" s="18">
        <f t="shared" si="4"/>
        <v>0</v>
      </c>
    </row>
    <row r="128">
      <c r="A128" s="1">
        <v>8.0</v>
      </c>
      <c r="B128" s="1">
        <v>6.0</v>
      </c>
      <c r="C128" s="18">
        <v>8.0</v>
      </c>
      <c r="D128" s="18">
        <f t="shared" si="1"/>
        <v>-2</v>
      </c>
      <c r="E128" s="18">
        <f t="shared" si="2"/>
        <v>2</v>
      </c>
      <c r="F128" s="18">
        <f t="shared" si="3"/>
        <v>0</v>
      </c>
      <c r="G128" s="18">
        <f t="shared" si="4"/>
        <v>0</v>
      </c>
    </row>
    <row r="129">
      <c r="A129" s="1">
        <v>8.0</v>
      </c>
      <c r="B129" s="1">
        <v>6.0</v>
      </c>
      <c r="C129" s="18">
        <v>7.0</v>
      </c>
      <c r="D129" s="18">
        <f t="shared" si="1"/>
        <v>-1</v>
      </c>
      <c r="E129" s="18">
        <f t="shared" si="2"/>
        <v>1</v>
      </c>
      <c r="F129" s="18">
        <f t="shared" si="3"/>
        <v>1</v>
      </c>
      <c r="G129" s="18">
        <f t="shared" si="4"/>
        <v>1</v>
      </c>
    </row>
    <row r="130">
      <c r="A130" s="1">
        <v>6.0</v>
      </c>
      <c r="B130" s="1">
        <v>6.0</v>
      </c>
      <c r="C130" s="18">
        <v>8.0</v>
      </c>
      <c r="D130" s="18">
        <f t="shared" si="1"/>
        <v>-2</v>
      </c>
      <c r="E130" s="18">
        <f t="shared" si="2"/>
        <v>2</v>
      </c>
      <c r="F130" s="18">
        <f t="shared" si="3"/>
        <v>-2</v>
      </c>
      <c r="G130" s="18">
        <f t="shared" si="4"/>
        <v>2</v>
      </c>
    </row>
    <row r="131">
      <c r="A131" s="1">
        <v>6.0</v>
      </c>
      <c r="B131" s="1">
        <v>7.0</v>
      </c>
      <c r="C131" s="18">
        <v>7.0</v>
      </c>
      <c r="D131" s="18">
        <f t="shared" si="1"/>
        <v>0</v>
      </c>
      <c r="E131" s="18">
        <f t="shared" si="2"/>
        <v>0</v>
      </c>
      <c r="F131" s="18">
        <f t="shared" si="3"/>
        <v>-1</v>
      </c>
      <c r="G131" s="18">
        <f t="shared" si="4"/>
        <v>1</v>
      </c>
    </row>
    <row r="132">
      <c r="A132" s="1">
        <v>8.0</v>
      </c>
      <c r="B132" s="1">
        <v>6.0</v>
      </c>
      <c r="C132" s="18">
        <v>8.0</v>
      </c>
      <c r="D132" s="18">
        <f t="shared" si="1"/>
        <v>-2</v>
      </c>
      <c r="E132" s="18">
        <f t="shared" si="2"/>
        <v>2</v>
      </c>
      <c r="F132" s="18">
        <f t="shared" si="3"/>
        <v>0</v>
      </c>
      <c r="G132" s="18">
        <f t="shared" si="4"/>
        <v>0</v>
      </c>
    </row>
    <row r="133">
      <c r="A133" s="1">
        <v>10.0</v>
      </c>
      <c r="B133" s="1">
        <v>6.0</v>
      </c>
      <c r="C133" s="18">
        <v>5.0</v>
      </c>
      <c r="D133" s="18">
        <f t="shared" si="1"/>
        <v>1</v>
      </c>
      <c r="E133" s="18">
        <f t="shared" si="2"/>
        <v>1</v>
      </c>
      <c r="F133" s="18">
        <f t="shared" si="3"/>
        <v>5</v>
      </c>
      <c r="G133" s="18">
        <f t="shared" si="4"/>
        <v>5</v>
      </c>
    </row>
    <row r="134">
      <c r="A134" s="1">
        <v>7.0</v>
      </c>
      <c r="B134" s="1">
        <v>6.0</v>
      </c>
      <c r="C134" s="18">
        <v>8.0</v>
      </c>
      <c r="D134" s="18">
        <f t="shared" si="1"/>
        <v>-2</v>
      </c>
      <c r="E134" s="18">
        <f t="shared" si="2"/>
        <v>2</v>
      </c>
      <c r="F134" s="18">
        <f t="shared" si="3"/>
        <v>-1</v>
      </c>
      <c r="G134" s="18">
        <f t="shared" si="4"/>
        <v>1</v>
      </c>
    </row>
    <row r="135">
      <c r="A135" s="1">
        <v>5.0</v>
      </c>
      <c r="B135" s="1">
        <v>6.0</v>
      </c>
      <c r="C135" s="18">
        <v>8.0</v>
      </c>
      <c r="D135" s="18">
        <f t="shared" si="1"/>
        <v>-2</v>
      </c>
      <c r="E135" s="18">
        <f t="shared" si="2"/>
        <v>2</v>
      </c>
      <c r="F135" s="18">
        <f t="shared" si="3"/>
        <v>-3</v>
      </c>
      <c r="G135" s="18">
        <f t="shared" si="4"/>
        <v>3</v>
      </c>
    </row>
    <row r="136">
      <c r="A136" s="1">
        <v>2.0</v>
      </c>
      <c r="B136" s="1">
        <v>2.0</v>
      </c>
      <c r="C136" s="18">
        <v>6.0</v>
      </c>
      <c r="D136" s="18">
        <f t="shared" si="1"/>
        <v>-4</v>
      </c>
      <c r="E136" s="18">
        <f t="shared" si="2"/>
        <v>4</v>
      </c>
      <c r="F136" s="18">
        <f t="shared" si="3"/>
        <v>-4</v>
      </c>
      <c r="G136" s="18">
        <f t="shared" si="4"/>
        <v>4</v>
      </c>
    </row>
    <row r="137">
      <c r="A137" s="1">
        <v>3.0</v>
      </c>
      <c r="B137" s="1">
        <v>4.0</v>
      </c>
      <c r="C137" s="18">
        <v>4.0</v>
      </c>
      <c r="D137" s="18">
        <f t="shared" si="1"/>
        <v>0</v>
      </c>
      <c r="E137" s="18">
        <f t="shared" si="2"/>
        <v>0</v>
      </c>
      <c r="F137" s="18">
        <f t="shared" si="3"/>
        <v>-1</v>
      </c>
      <c r="G137" s="18">
        <f t="shared" si="4"/>
        <v>1</v>
      </c>
    </row>
    <row r="138">
      <c r="A138" s="1">
        <v>3.0</v>
      </c>
      <c r="B138" s="1">
        <v>4.0</v>
      </c>
      <c r="C138" s="18">
        <v>5.0</v>
      </c>
      <c r="D138" s="18">
        <f t="shared" si="1"/>
        <v>-1</v>
      </c>
      <c r="E138" s="18">
        <f t="shared" si="2"/>
        <v>1</v>
      </c>
      <c r="F138" s="18">
        <f t="shared" si="3"/>
        <v>-2</v>
      </c>
      <c r="G138" s="18">
        <f t="shared" si="4"/>
        <v>2</v>
      </c>
    </row>
    <row r="139">
      <c r="A139" s="1">
        <v>6.0</v>
      </c>
      <c r="B139" s="1">
        <v>6.0</v>
      </c>
      <c r="C139" s="18">
        <v>8.0</v>
      </c>
      <c r="D139" s="18">
        <f t="shared" si="1"/>
        <v>-2</v>
      </c>
      <c r="E139" s="18">
        <f t="shared" si="2"/>
        <v>2</v>
      </c>
      <c r="F139" s="18">
        <f t="shared" si="3"/>
        <v>-2</v>
      </c>
      <c r="G139" s="18">
        <f t="shared" si="4"/>
        <v>2</v>
      </c>
    </row>
    <row r="140">
      <c r="A140" s="1">
        <v>10.0</v>
      </c>
      <c r="B140" s="1">
        <v>7.0</v>
      </c>
      <c r="C140" s="18">
        <v>8.0</v>
      </c>
      <c r="D140" s="18">
        <f t="shared" si="1"/>
        <v>-1</v>
      </c>
      <c r="E140" s="18">
        <f t="shared" si="2"/>
        <v>1</v>
      </c>
      <c r="F140" s="18">
        <f t="shared" si="3"/>
        <v>2</v>
      </c>
      <c r="G140" s="18">
        <f t="shared" si="4"/>
        <v>2</v>
      </c>
    </row>
    <row r="141">
      <c r="A141" s="1">
        <v>10.0</v>
      </c>
      <c r="B141" s="1">
        <v>7.0</v>
      </c>
      <c r="C141" s="18">
        <v>8.0</v>
      </c>
      <c r="D141" s="18">
        <f t="shared" si="1"/>
        <v>-1</v>
      </c>
      <c r="E141" s="18">
        <f t="shared" si="2"/>
        <v>1</v>
      </c>
      <c r="F141" s="18">
        <f t="shared" si="3"/>
        <v>2</v>
      </c>
      <c r="G141" s="18">
        <f t="shared" si="4"/>
        <v>2</v>
      </c>
    </row>
    <row r="142">
      <c r="A142" s="1">
        <v>8.0</v>
      </c>
      <c r="B142" s="1">
        <v>7.0</v>
      </c>
      <c r="C142" s="18">
        <v>8.0</v>
      </c>
      <c r="D142" s="18">
        <f t="shared" si="1"/>
        <v>-1</v>
      </c>
      <c r="E142" s="18">
        <f t="shared" si="2"/>
        <v>1</v>
      </c>
      <c r="F142" s="18">
        <f t="shared" si="3"/>
        <v>0</v>
      </c>
      <c r="G142" s="18">
        <f t="shared" si="4"/>
        <v>0</v>
      </c>
    </row>
    <row r="143">
      <c r="A143" s="1">
        <v>9.0</v>
      </c>
      <c r="B143" s="1">
        <v>7.0</v>
      </c>
      <c r="C143" s="18">
        <v>8.0</v>
      </c>
      <c r="D143" s="18">
        <f t="shared" si="1"/>
        <v>-1</v>
      </c>
      <c r="E143" s="18">
        <f t="shared" si="2"/>
        <v>1</v>
      </c>
      <c r="F143" s="18">
        <f t="shared" si="3"/>
        <v>1</v>
      </c>
      <c r="G143" s="18">
        <f t="shared" si="4"/>
        <v>1</v>
      </c>
    </row>
    <row r="144">
      <c r="A144" s="1">
        <v>6.0</v>
      </c>
      <c r="B144" s="1">
        <v>8.0</v>
      </c>
      <c r="C144" s="18">
        <v>8.0</v>
      </c>
      <c r="D144" s="18">
        <f t="shared" si="1"/>
        <v>0</v>
      </c>
      <c r="E144" s="18">
        <f t="shared" si="2"/>
        <v>0</v>
      </c>
      <c r="F144" s="18">
        <f t="shared" si="3"/>
        <v>-2</v>
      </c>
      <c r="G144" s="18">
        <f t="shared" si="4"/>
        <v>2</v>
      </c>
    </row>
    <row r="145">
      <c r="A145" s="1">
        <v>6.0</v>
      </c>
      <c r="B145" s="1">
        <v>7.0</v>
      </c>
      <c r="C145" s="18">
        <v>8.0</v>
      </c>
      <c r="D145" s="18">
        <f t="shared" si="1"/>
        <v>-1</v>
      </c>
      <c r="E145" s="18">
        <f t="shared" si="2"/>
        <v>1</v>
      </c>
      <c r="F145" s="18">
        <f t="shared" si="3"/>
        <v>-2</v>
      </c>
      <c r="G145" s="18">
        <f t="shared" si="4"/>
        <v>2</v>
      </c>
    </row>
    <row r="146">
      <c r="A146" s="1">
        <v>6.0</v>
      </c>
      <c r="B146" s="1">
        <v>7.0</v>
      </c>
      <c r="C146" s="18">
        <v>8.0</v>
      </c>
      <c r="D146" s="18">
        <f t="shared" si="1"/>
        <v>-1</v>
      </c>
      <c r="E146" s="18">
        <f t="shared" si="2"/>
        <v>1</v>
      </c>
      <c r="F146" s="18">
        <f t="shared" si="3"/>
        <v>-2</v>
      </c>
      <c r="G146" s="18">
        <f t="shared" si="4"/>
        <v>2</v>
      </c>
    </row>
    <row r="147">
      <c r="A147" s="1">
        <v>5.0</v>
      </c>
      <c r="B147" s="1">
        <v>6.0</v>
      </c>
      <c r="C147" s="18">
        <v>7.0</v>
      </c>
      <c r="D147" s="18">
        <f t="shared" si="1"/>
        <v>-1</v>
      </c>
      <c r="E147" s="18">
        <f t="shared" si="2"/>
        <v>1</v>
      </c>
      <c r="F147" s="18">
        <f t="shared" si="3"/>
        <v>-2</v>
      </c>
      <c r="G147" s="18">
        <f t="shared" si="4"/>
        <v>2</v>
      </c>
    </row>
    <row r="148">
      <c r="A148" s="1">
        <v>9.0</v>
      </c>
      <c r="B148" s="1">
        <v>7.0</v>
      </c>
      <c r="C148" s="18">
        <v>7.0</v>
      </c>
      <c r="D148" s="18">
        <f t="shared" si="1"/>
        <v>0</v>
      </c>
      <c r="E148" s="18">
        <f t="shared" si="2"/>
        <v>0</v>
      </c>
      <c r="F148" s="18">
        <f t="shared" si="3"/>
        <v>2</v>
      </c>
      <c r="G148" s="18">
        <f t="shared" si="4"/>
        <v>2</v>
      </c>
    </row>
    <row r="149">
      <c r="A149" s="1">
        <v>6.0</v>
      </c>
      <c r="B149" s="1">
        <v>6.0</v>
      </c>
      <c r="C149" s="18">
        <v>5.0</v>
      </c>
      <c r="D149" s="18">
        <f t="shared" si="1"/>
        <v>1</v>
      </c>
      <c r="E149" s="18">
        <f t="shared" si="2"/>
        <v>1</v>
      </c>
      <c r="F149" s="18">
        <f t="shared" si="3"/>
        <v>1</v>
      </c>
      <c r="G149" s="18">
        <f t="shared" si="4"/>
        <v>1</v>
      </c>
    </row>
    <row r="150">
      <c r="A150" s="1">
        <v>6.0</v>
      </c>
      <c r="B150" s="1">
        <v>6.0</v>
      </c>
      <c r="C150" s="18">
        <v>5.0</v>
      </c>
      <c r="D150" s="18">
        <f t="shared" si="1"/>
        <v>1</v>
      </c>
      <c r="E150" s="18">
        <f t="shared" si="2"/>
        <v>1</v>
      </c>
      <c r="F150" s="18">
        <f t="shared" si="3"/>
        <v>1</v>
      </c>
      <c r="G150" s="18">
        <f t="shared" si="4"/>
        <v>1</v>
      </c>
    </row>
    <row r="151">
      <c r="A151" s="1">
        <v>10.0</v>
      </c>
      <c r="B151" s="1">
        <v>7.0</v>
      </c>
      <c r="C151" s="18">
        <v>7.0</v>
      </c>
      <c r="D151" s="18">
        <f t="shared" si="1"/>
        <v>0</v>
      </c>
      <c r="E151" s="18">
        <f t="shared" si="2"/>
        <v>0</v>
      </c>
      <c r="F151" s="18">
        <f t="shared" si="3"/>
        <v>3</v>
      </c>
      <c r="G151" s="18">
        <f t="shared" si="4"/>
        <v>3</v>
      </c>
    </row>
    <row r="152">
      <c r="A152" s="1">
        <v>7.0</v>
      </c>
      <c r="B152" s="1">
        <v>6.0</v>
      </c>
      <c r="C152" s="18">
        <v>8.0</v>
      </c>
      <c r="D152" s="18">
        <f t="shared" si="1"/>
        <v>-2</v>
      </c>
      <c r="E152" s="18">
        <f t="shared" si="2"/>
        <v>2</v>
      </c>
      <c r="F152" s="18">
        <f t="shared" si="3"/>
        <v>-1</v>
      </c>
      <c r="G152" s="18">
        <f t="shared" si="4"/>
        <v>1</v>
      </c>
    </row>
    <row r="153">
      <c r="A153" s="1">
        <v>9.0</v>
      </c>
      <c r="B153" s="1">
        <v>6.0</v>
      </c>
      <c r="C153" s="18">
        <v>8.0</v>
      </c>
      <c r="D153" s="18">
        <f t="shared" si="1"/>
        <v>-2</v>
      </c>
      <c r="E153" s="18">
        <f t="shared" si="2"/>
        <v>2</v>
      </c>
      <c r="F153" s="18">
        <f t="shared" si="3"/>
        <v>1</v>
      </c>
      <c r="G153" s="18">
        <f t="shared" si="4"/>
        <v>1</v>
      </c>
    </row>
    <row r="154">
      <c r="A154" s="1">
        <v>6.0</v>
      </c>
      <c r="B154" s="1">
        <v>6.0</v>
      </c>
      <c r="C154" s="18">
        <v>8.0</v>
      </c>
      <c r="D154" s="18">
        <f t="shared" si="1"/>
        <v>-2</v>
      </c>
      <c r="E154" s="18">
        <f t="shared" si="2"/>
        <v>2</v>
      </c>
      <c r="F154" s="18">
        <f t="shared" si="3"/>
        <v>-2</v>
      </c>
      <c r="G154" s="18">
        <f t="shared" si="4"/>
        <v>2</v>
      </c>
    </row>
    <row r="155">
      <c r="A155" s="1">
        <v>8.0</v>
      </c>
      <c r="B155" s="1">
        <v>6.0</v>
      </c>
      <c r="C155" s="18">
        <v>8.0</v>
      </c>
      <c r="D155" s="18">
        <f t="shared" si="1"/>
        <v>-2</v>
      </c>
      <c r="E155" s="18">
        <f t="shared" si="2"/>
        <v>2</v>
      </c>
      <c r="F155" s="18">
        <f t="shared" si="3"/>
        <v>0</v>
      </c>
      <c r="G155" s="18">
        <f t="shared" si="4"/>
        <v>0</v>
      </c>
    </row>
    <row r="156">
      <c r="A156" s="1">
        <v>8.0</v>
      </c>
      <c r="B156" s="1">
        <v>6.0</v>
      </c>
      <c r="C156" s="18">
        <v>4.0</v>
      </c>
      <c r="D156" s="18">
        <f t="shared" si="1"/>
        <v>2</v>
      </c>
      <c r="E156" s="18">
        <f t="shared" si="2"/>
        <v>2</v>
      </c>
      <c r="F156" s="18">
        <f t="shared" si="3"/>
        <v>4</v>
      </c>
      <c r="G156" s="18">
        <f t="shared" si="4"/>
        <v>4</v>
      </c>
    </row>
    <row r="157">
      <c r="A157" s="1">
        <v>4.0</v>
      </c>
      <c r="B157" s="1">
        <v>6.0</v>
      </c>
      <c r="C157" s="18">
        <v>7.0</v>
      </c>
      <c r="D157" s="18">
        <f t="shared" si="1"/>
        <v>-1</v>
      </c>
      <c r="E157" s="18">
        <f t="shared" si="2"/>
        <v>1</v>
      </c>
      <c r="F157" s="18">
        <f t="shared" si="3"/>
        <v>-3</v>
      </c>
      <c r="G157" s="18">
        <f t="shared" si="4"/>
        <v>3</v>
      </c>
    </row>
    <row r="158">
      <c r="A158" s="1">
        <v>4.0</v>
      </c>
      <c r="B158" s="1">
        <v>6.0</v>
      </c>
      <c r="C158" s="18">
        <v>6.0</v>
      </c>
      <c r="D158" s="18">
        <f t="shared" si="1"/>
        <v>0</v>
      </c>
      <c r="E158" s="18">
        <f t="shared" si="2"/>
        <v>0</v>
      </c>
      <c r="F158" s="18">
        <f t="shared" si="3"/>
        <v>-2</v>
      </c>
      <c r="G158" s="18">
        <f t="shared" si="4"/>
        <v>2</v>
      </c>
    </row>
    <row r="159">
      <c r="A159" s="1">
        <v>7.0</v>
      </c>
      <c r="B159" s="1">
        <v>6.0</v>
      </c>
      <c r="C159" s="18">
        <v>4.0</v>
      </c>
      <c r="D159" s="18">
        <f t="shared" si="1"/>
        <v>2</v>
      </c>
      <c r="E159" s="18">
        <f t="shared" si="2"/>
        <v>2</v>
      </c>
      <c r="F159" s="18">
        <f t="shared" si="3"/>
        <v>3</v>
      </c>
      <c r="G159" s="18">
        <f t="shared" si="4"/>
        <v>3</v>
      </c>
    </row>
    <row r="160">
      <c r="A160" s="1">
        <v>5.0</v>
      </c>
      <c r="B160" s="1">
        <v>6.0</v>
      </c>
      <c r="C160" s="18">
        <v>8.0</v>
      </c>
      <c r="D160" s="18">
        <f t="shared" si="1"/>
        <v>-2</v>
      </c>
      <c r="E160" s="18">
        <f t="shared" si="2"/>
        <v>2</v>
      </c>
      <c r="F160" s="18">
        <f t="shared" si="3"/>
        <v>-3</v>
      </c>
      <c r="G160" s="18">
        <f t="shared" si="4"/>
        <v>3</v>
      </c>
    </row>
    <row r="161">
      <c r="A161" s="1">
        <v>7.0</v>
      </c>
      <c r="B161" s="1">
        <v>6.0</v>
      </c>
      <c r="C161" s="18">
        <v>6.0</v>
      </c>
      <c r="D161" s="18">
        <f t="shared" si="1"/>
        <v>0</v>
      </c>
      <c r="E161" s="18">
        <f t="shared" si="2"/>
        <v>0</v>
      </c>
      <c r="F161" s="18">
        <f t="shared" si="3"/>
        <v>1</v>
      </c>
      <c r="G161" s="18">
        <f t="shared" si="4"/>
        <v>1</v>
      </c>
    </row>
    <row r="162">
      <c r="A162" s="1">
        <v>6.0</v>
      </c>
      <c r="B162" s="1">
        <v>6.0</v>
      </c>
      <c r="C162" s="18">
        <v>8.0</v>
      </c>
      <c r="D162" s="18">
        <f t="shared" si="1"/>
        <v>-2</v>
      </c>
      <c r="E162" s="18">
        <f t="shared" si="2"/>
        <v>2</v>
      </c>
      <c r="F162" s="18">
        <f t="shared" si="3"/>
        <v>-2</v>
      </c>
      <c r="G162" s="18">
        <f t="shared" si="4"/>
        <v>2</v>
      </c>
    </row>
    <row r="163">
      <c r="A163" s="1">
        <v>9.0</v>
      </c>
      <c r="B163" s="1">
        <v>9.0</v>
      </c>
      <c r="C163" s="18">
        <v>8.0</v>
      </c>
      <c r="D163" s="18">
        <f t="shared" si="1"/>
        <v>1</v>
      </c>
      <c r="E163" s="18">
        <f t="shared" si="2"/>
        <v>1</v>
      </c>
      <c r="F163" s="18">
        <f t="shared" si="3"/>
        <v>1</v>
      </c>
      <c r="G163" s="18">
        <f t="shared" si="4"/>
        <v>1</v>
      </c>
    </row>
    <row r="164">
      <c r="A164" s="1">
        <v>10.0</v>
      </c>
      <c r="B164" s="1">
        <v>6.0</v>
      </c>
      <c r="C164" s="18">
        <v>8.0</v>
      </c>
      <c r="D164" s="18">
        <f t="shared" si="1"/>
        <v>-2</v>
      </c>
      <c r="E164" s="18">
        <f t="shared" si="2"/>
        <v>2</v>
      </c>
      <c r="F164" s="18">
        <f t="shared" si="3"/>
        <v>2</v>
      </c>
      <c r="G164" s="18">
        <f t="shared" si="4"/>
        <v>2</v>
      </c>
    </row>
    <row r="165">
      <c r="A165" s="1">
        <v>9.0</v>
      </c>
      <c r="B165" s="1">
        <v>8.0</v>
      </c>
      <c r="C165" s="18">
        <v>8.0</v>
      </c>
      <c r="D165" s="18">
        <f t="shared" si="1"/>
        <v>0</v>
      </c>
      <c r="E165" s="18">
        <f t="shared" si="2"/>
        <v>0</v>
      </c>
      <c r="F165" s="18">
        <f t="shared" si="3"/>
        <v>1</v>
      </c>
      <c r="G165" s="18">
        <f t="shared" si="4"/>
        <v>1</v>
      </c>
    </row>
    <row r="166">
      <c r="A166" s="1">
        <v>3.0</v>
      </c>
      <c r="B166" s="1">
        <v>4.0</v>
      </c>
      <c r="C166" s="18">
        <v>7.0</v>
      </c>
      <c r="D166" s="18">
        <f t="shared" si="1"/>
        <v>-3</v>
      </c>
      <c r="E166" s="18">
        <f t="shared" si="2"/>
        <v>3</v>
      </c>
      <c r="F166" s="18">
        <f t="shared" si="3"/>
        <v>-4</v>
      </c>
      <c r="G166" s="18">
        <f t="shared" si="4"/>
        <v>4</v>
      </c>
    </row>
    <row r="167">
      <c r="A167" s="1">
        <v>1.0</v>
      </c>
      <c r="B167" s="1">
        <v>4.0</v>
      </c>
      <c r="C167" s="18">
        <v>4.0</v>
      </c>
      <c r="D167" s="18">
        <f t="shared" si="1"/>
        <v>0</v>
      </c>
      <c r="E167" s="18">
        <f t="shared" si="2"/>
        <v>0</v>
      </c>
      <c r="F167" s="18">
        <f t="shared" si="3"/>
        <v>-3</v>
      </c>
      <c r="G167" s="18">
        <f t="shared" si="4"/>
        <v>3</v>
      </c>
    </row>
    <row r="168">
      <c r="A168" s="1">
        <v>2.0</v>
      </c>
      <c r="B168" s="1">
        <v>2.0</v>
      </c>
      <c r="C168" s="18">
        <v>4.0</v>
      </c>
      <c r="D168" s="18">
        <f t="shared" si="1"/>
        <v>-2</v>
      </c>
      <c r="E168" s="18">
        <f t="shared" si="2"/>
        <v>2</v>
      </c>
      <c r="F168" s="18">
        <f t="shared" si="3"/>
        <v>-2</v>
      </c>
      <c r="G168" s="18">
        <f t="shared" si="4"/>
        <v>2</v>
      </c>
    </row>
    <row r="169">
      <c r="A169" s="1">
        <v>1.0</v>
      </c>
      <c r="B169" s="1">
        <v>4.0</v>
      </c>
      <c r="C169" s="18">
        <v>3.0</v>
      </c>
      <c r="D169" s="18">
        <f t="shared" si="1"/>
        <v>1</v>
      </c>
      <c r="E169" s="18">
        <f t="shared" si="2"/>
        <v>1</v>
      </c>
      <c r="F169" s="18">
        <f t="shared" si="3"/>
        <v>-2</v>
      </c>
      <c r="G169" s="18">
        <f t="shared" si="4"/>
        <v>2</v>
      </c>
    </row>
    <row r="170">
      <c r="A170" s="1">
        <v>9.0</v>
      </c>
      <c r="B170" s="1">
        <v>6.0</v>
      </c>
      <c r="C170" s="18">
        <v>8.0</v>
      </c>
      <c r="D170" s="18">
        <f t="shared" si="1"/>
        <v>-2</v>
      </c>
      <c r="E170" s="18">
        <f t="shared" si="2"/>
        <v>2</v>
      </c>
      <c r="F170" s="18">
        <f t="shared" si="3"/>
        <v>1</v>
      </c>
      <c r="G170" s="18">
        <f t="shared" si="4"/>
        <v>1</v>
      </c>
    </row>
    <row r="171">
      <c r="A171" s="1">
        <v>9.0</v>
      </c>
      <c r="B171" s="1">
        <v>7.0</v>
      </c>
      <c r="C171" s="18">
        <v>5.0</v>
      </c>
      <c r="D171" s="18">
        <f t="shared" si="1"/>
        <v>2</v>
      </c>
      <c r="E171" s="18">
        <f t="shared" si="2"/>
        <v>2</v>
      </c>
      <c r="F171" s="18">
        <f t="shared" si="3"/>
        <v>4</v>
      </c>
      <c r="G171" s="18">
        <f t="shared" si="4"/>
        <v>4</v>
      </c>
    </row>
    <row r="172">
      <c r="A172" s="1">
        <v>8.0</v>
      </c>
      <c r="B172" s="1">
        <v>7.0</v>
      </c>
      <c r="C172" s="18">
        <v>8.0</v>
      </c>
      <c r="D172" s="18">
        <f t="shared" si="1"/>
        <v>-1</v>
      </c>
      <c r="E172" s="18">
        <f t="shared" si="2"/>
        <v>1</v>
      </c>
      <c r="F172" s="18">
        <f t="shared" si="3"/>
        <v>0</v>
      </c>
      <c r="G172" s="18">
        <f t="shared" si="4"/>
        <v>0</v>
      </c>
    </row>
    <row r="173">
      <c r="A173" s="1">
        <v>9.0</v>
      </c>
      <c r="B173" s="1">
        <v>8.0</v>
      </c>
      <c r="C173" s="18">
        <v>7.0</v>
      </c>
      <c r="D173" s="18">
        <f t="shared" si="1"/>
        <v>1</v>
      </c>
      <c r="E173" s="18">
        <f t="shared" si="2"/>
        <v>1</v>
      </c>
      <c r="F173" s="18">
        <f t="shared" si="3"/>
        <v>2</v>
      </c>
      <c r="G173" s="18">
        <f t="shared" si="4"/>
        <v>2</v>
      </c>
    </row>
    <row r="174">
      <c r="A174" s="1">
        <v>5.0</v>
      </c>
      <c r="B174" s="1">
        <v>4.0</v>
      </c>
      <c r="C174" s="18">
        <v>5.0</v>
      </c>
      <c r="D174" s="18">
        <f t="shared" si="1"/>
        <v>-1</v>
      </c>
      <c r="E174" s="18">
        <f t="shared" si="2"/>
        <v>1</v>
      </c>
      <c r="F174" s="18">
        <f t="shared" si="3"/>
        <v>0</v>
      </c>
      <c r="G174" s="18">
        <f t="shared" si="4"/>
        <v>0</v>
      </c>
    </row>
    <row r="175">
      <c r="A175" s="1">
        <v>3.0</v>
      </c>
      <c r="B175" s="1">
        <v>6.0</v>
      </c>
      <c r="C175" s="18">
        <v>4.0</v>
      </c>
      <c r="D175" s="18">
        <f t="shared" si="1"/>
        <v>2</v>
      </c>
      <c r="E175" s="18">
        <f t="shared" si="2"/>
        <v>2</v>
      </c>
      <c r="F175" s="18">
        <f t="shared" si="3"/>
        <v>-1</v>
      </c>
      <c r="G175" s="18">
        <f t="shared" si="4"/>
        <v>1</v>
      </c>
    </row>
    <row r="176">
      <c r="A176" s="1">
        <v>2.0</v>
      </c>
      <c r="B176" s="1">
        <v>2.0</v>
      </c>
      <c r="C176" s="18">
        <v>3.0</v>
      </c>
      <c r="D176" s="18">
        <f t="shared" si="1"/>
        <v>-1</v>
      </c>
      <c r="E176" s="18">
        <f t="shared" si="2"/>
        <v>1</v>
      </c>
      <c r="F176" s="18">
        <f t="shared" si="3"/>
        <v>-1</v>
      </c>
      <c r="G176" s="18">
        <f t="shared" si="4"/>
        <v>1</v>
      </c>
    </row>
    <row r="177">
      <c r="A177" s="1">
        <v>2.0</v>
      </c>
      <c r="B177" s="1">
        <v>4.0</v>
      </c>
      <c r="C177" s="18">
        <v>5.0</v>
      </c>
      <c r="D177" s="18">
        <f t="shared" si="1"/>
        <v>-1</v>
      </c>
      <c r="E177" s="18">
        <f t="shared" si="2"/>
        <v>1</v>
      </c>
      <c r="F177" s="18">
        <f t="shared" si="3"/>
        <v>-3</v>
      </c>
      <c r="G177" s="18">
        <f t="shared" si="4"/>
        <v>3</v>
      </c>
    </row>
    <row r="178">
      <c r="A178" s="1">
        <v>6.0</v>
      </c>
      <c r="B178" s="1">
        <v>6.0</v>
      </c>
      <c r="C178" s="18">
        <v>7.5</v>
      </c>
      <c r="D178" s="18">
        <f t="shared" si="1"/>
        <v>-1.5</v>
      </c>
      <c r="E178" s="18">
        <f t="shared" si="2"/>
        <v>1.5</v>
      </c>
      <c r="F178" s="18">
        <f t="shared" si="3"/>
        <v>-1.5</v>
      </c>
      <c r="G178" s="18">
        <f t="shared" si="4"/>
        <v>1.5</v>
      </c>
    </row>
    <row r="179">
      <c r="A179" s="1">
        <v>3.0</v>
      </c>
      <c r="B179" s="1">
        <v>6.0</v>
      </c>
      <c r="C179" s="18">
        <v>7.0</v>
      </c>
      <c r="D179" s="18">
        <f t="shared" si="1"/>
        <v>-1</v>
      </c>
      <c r="E179" s="18">
        <f t="shared" si="2"/>
        <v>1</v>
      </c>
      <c r="F179" s="18">
        <f t="shared" si="3"/>
        <v>-4</v>
      </c>
      <c r="G179" s="18">
        <f t="shared" si="4"/>
        <v>4</v>
      </c>
    </row>
    <row r="180">
      <c r="A180" s="1">
        <v>4.0</v>
      </c>
      <c r="B180" s="1">
        <v>4.0</v>
      </c>
      <c r="C180" s="18">
        <v>4.0</v>
      </c>
      <c r="D180" s="18">
        <f t="shared" si="1"/>
        <v>0</v>
      </c>
      <c r="E180" s="18">
        <f t="shared" si="2"/>
        <v>0</v>
      </c>
      <c r="F180" s="18">
        <f t="shared" si="3"/>
        <v>0</v>
      </c>
      <c r="G180" s="18">
        <f t="shared" si="4"/>
        <v>0</v>
      </c>
    </row>
    <row r="181">
      <c r="A181" s="1">
        <v>5.0</v>
      </c>
      <c r="B181" s="1">
        <v>4.0</v>
      </c>
      <c r="C181" s="18">
        <v>5.0</v>
      </c>
      <c r="D181" s="18">
        <f t="shared" si="1"/>
        <v>-1</v>
      </c>
      <c r="E181" s="18">
        <f t="shared" si="2"/>
        <v>1</v>
      </c>
      <c r="F181" s="18">
        <f t="shared" si="3"/>
        <v>0</v>
      </c>
      <c r="G181" s="18">
        <f t="shared" si="4"/>
        <v>0</v>
      </c>
    </row>
    <row r="182">
      <c r="A182" s="1">
        <v>9.0</v>
      </c>
      <c r="B182" s="1">
        <v>7.0</v>
      </c>
      <c r="C182" s="18">
        <v>8.0</v>
      </c>
      <c r="D182" s="18">
        <f t="shared" si="1"/>
        <v>-1</v>
      </c>
      <c r="E182" s="18">
        <f t="shared" si="2"/>
        <v>1</v>
      </c>
      <c r="F182" s="18">
        <f t="shared" si="3"/>
        <v>1</v>
      </c>
      <c r="G182" s="18">
        <f t="shared" si="4"/>
        <v>1</v>
      </c>
    </row>
    <row r="183">
      <c r="A183" s="1">
        <v>8.0</v>
      </c>
      <c r="B183" s="1">
        <v>7.0</v>
      </c>
      <c r="C183" s="18">
        <v>5.0</v>
      </c>
      <c r="D183" s="18">
        <f t="shared" si="1"/>
        <v>2</v>
      </c>
      <c r="E183" s="18">
        <f t="shared" si="2"/>
        <v>2</v>
      </c>
      <c r="F183" s="18">
        <f t="shared" si="3"/>
        <v>3</v>
      </c>
      <c r="G183" s="18">
        <f t="shared" si="4"/>
        <v>3</v>
      </c>
    </row>
    <row r="184">
      <c r="A184" s="1">
        <v>7.0</v>
      </c>
      <c r="B184" s="1">
        <v>6.0</v>
      </c>
      <c r="C184" s="18">
        <v>6.0</v>
      </c>
      <c r="D184" s="18">
        <f t="shared" si="1"/>
        <v>0</v>
      </c>
      <c r="E184" s="18">
        <f t="shared" si="2"/>
        <v>0</v>
      </c>
      <c r="F184" s="18">
        <f t="shared" si="3"/>
        <v>1</v>
      </c>
      <c r="G184" s="18">
        <f t="shared" si="4"/>
        <v>1</v>
      </c>
    </row>
    <row r="185">
      <c r="A185" s="1">
        <v>7.0</v>
      </c>
      <c r="B185" s="1">
        <v>6.0</v>
      </c>
      <c r="C185" s="18">
        <v>8.0</v>
      </c>
      <c r="D185" s="18">
        <f t="shared" si="1"/>
        <v>-2</v>
      </c>
      <c r="E185" s="18">
        <f t="shared" si="2"/>
        <v>2</v>
      </c>
      <c r="F185" s="18">
        <f t="shared" si="3"/>
        <v>-1</v>
      </c>
      <c r="G185" s="18">
        <f t="shared" si="4"/>
        <v>1</v>
      </c>
    </row>
    <row r="186">
      <c r="A186" s="1">
        <v>9.0</v>
      </c>
      <c r="B186" s="1">
        <v>6.0</v>
      </c>
      <c r="C186" s="18">
        <v>8.0</v>
      </c>
      <c r="D186" s="18">
        <f t="shared" si="1"/>
        <v>-2</v>
      </c>
      <c r="E186" s="18">
        <f t="shared" si="2"/>
        <v>2</v>
      </c>
      <c r="F186" s="18">
        <f t="shared" si="3"/>
        <v>1</v>
      </c>
      <c r="G186" s="18">
        <f t="shared" si="4"/>
        <v>1</v>
      </c>
    </row>
    <row r="187">
      <c r="A187" s="1">
        <v>5.0</v>
      </c>
      <c r="B187" s="1">
        <v>6.0</v>
      </c>
      <c r="C187" s="18">
        <v>4.0</v>
      </c>
      <c r="D187" s="18">
        <f t="shared" si="1"/>
        <v>2</v>
      </c>
      <c r="E187" s="18">
        <f t="shared" si="2"/>
        <v>2</v>
      </c>
      <c r="F187" s="18">
        <f t="shared" si="3"/>
        <v>1</v>
      </c>
      <c r="G187" s="18">
        <f t="shared" si="4"/>
        <v>1</v>
      </c>
    </row>
    <row r="188">
      <c r="A188" s="1">
        <v>6.0</v>
      </c>
      <c r="B188" s="1">
        <v>6.0</v>
      </c>
      <c r="C188" s="18">
        <v>8.0</v>
      </c>
      <c r="D188" s="18">
        <f t="shared" si="1"/>
        <v>-2</v>
      </c>
      <c r="E188" s="18">
        <f t="shared" si="2"/>
        <v>2</v>
      </c>
      <c r="F188" s="18">
        <f t="shared" si="3"/>
        <v>-2</v>
      </c>
      <c r="G188" s="18">
        <f t="shared" si="4"/>
        <v>2</v>
      </c>
    </row>
    <row r="189">
      <c r="A189" s="1">
        <v>6.0</v>
      </c>
      <c r="B189" s="1">
        <v>6.0</v>
      </c>
      <c r="C189" s="18">
        <v>8.0</v>
      </c>
      <c r="D189" s="18">
        <f t="shared" si="1"/>
        <v>-2</v>
      </c>
      <c r="E189" s="18">
        <f t="shared" si="2"/>
        <v>2</v>
      </c>
      <c r="F189" s="18">
        <f t="shared" si="3"/>
        <v>-2</v>
      </c>
      <c r="G189" s="18">
        <f t="shared" si="4"/>
        <v>2</v>
      </c>
    </row>
    <row r="190">
      <c r="A190" s="1">
        <v>10.0</v>
      </c>
      <c r="B190" s="1">
        <v>7.0</v>
      </c>
      <c r="C190" s="18">
        <v>8.0</v>
      </c>
      <c r="D190" s="18">
        <f t="shared" si="1"/>
        <v>-1</v>
      </c>
      <c r="E190" s="18">
        <f t="shared" si="2"/>
        <v>1</v>
      </c>
      <c r="F190" s="18">
        <f t="shared" si="3"/>
        <v>2</v>
      </c>
      <c r="G190" s="18">
        <f t="shared" si="4"/>
        <v>2</v>
      </c>
    </row>
    <row r="191">
      <c r="A191" s="1">
        <v>9.0</v>
      </c>
      <c r="B191" s="1">
        <v>6.0</v>
      </c>
      <c r="C191" s="18">
        <v>8.0</v>
      </c>
      <c r="D191" s="18">
        <f t="shared" si="1"/>
        <v>-2</v>
      </c>
      <c r="E191" s="18">
        <f t="shared" si="2"/>
        <v>2</v>
      </c>
      <c r="F191" s="18">
        <f t="shared" si="3"/>
        <v>1</v>
      </c>
      <c r="G191" s="18">
        <f t="shared" si="4"/>
        <v>1</v>
      </c>
    </row>
    <row r="192">
      <c r="A192" s="1">
        <v>8.0</v>
      </c>
      <c r="B192" s="1">
        <v>6.0</v>
      </c>
      <c r="C192" s="18">
        <v>7.0</v>
      </c>
      <c r="D192" s="18">
        <f t="shared" si="1"/>
        <v>-1</v>
      </c>
      <c r="E192" s="18">
        <f t="shared" si="2"/>
        <v>1</v>
      </c>
      <c r="F192" s="18">
        <f t="shared" si="3"/>
        <v>1</v>
      </c>
      <c r="G192" s="18">
        <f t="shared" si="4"/>
        <v>1</v>
      </c>
    </row>
    <row r="193">
      <c r="A193" s="1">
        <v>9.0</v>
      </c>
      <c r="B193" s="1">
        <v>7.0</v>
      </c>
      <c r="C193" s="18">
        <v>8.0</v>
      </c>
      <c r="D193" s="18">
        <f t="shared" si="1"/>
        <v>-1</v>
      </c>
      <c r="E193" s="18">
        <f t="shared" si="2"/>
        <v>1</v>
      </c>
      <c r="F193" s="18">
        <f t="shared" si="3"/>
        <v>1</v>
      </c>
      <c r="G193" s="18">
        <f t="shared" si="4"/>
        <v>1</v>
      </c>
    </row>
    <row r="194">
      <c r="A194" s="1">
        <v>4.0</v>
      </c>
      <c r="B194" s="1">
        <v>6.0</v>
      </c>
      <c r="C194" s="18">
        <v>8.0</v>
      </c>
      <c r="D194" s="18">
        <f t="shared" si="1"/>
        <v>-2</v>
      </c>
      <c r="E194" s="18">
        <f t="shared" si="2"/>
        <v>2</v>
      </c>
      <c r="F194" s="18">
        <f t="shared" si="3"/>
        <v>-4</v>
      </c>
      <c r="G194" s="18">
        <f t="shared" si="4"/>
        <v>4</v>
      </c>
    </row>
    <row r="195">
      <c r="A195" s="1">
        <v>2.0</v>
      </c>
      <c r="B195" s="1">
        <v>6.0</v>
      </c>
      <c r="C195" s="18">
        <v>5.0</v>
      </c>
      <c r="D195" s="18">
        <f t="shared" si="1"/>
        <v>1</v>
      </c>
      <c r="E195" s="18">
        <f t="shared" si="2"/>
        <v>1</v>
      </c>
      <c r="F195" s="18">
        <f t="shared" si="3"/>
        <v>-3</v>
      </c>
      <c r="G195" s="18">
        <f t="shared" si="4"/>
        <v>3</v>
      </c>
    </row>
    <row r="196">
      <c r="A196" s="1">
        <v>4.0</v>
      </c>
      <c r="B196" s="1">
        <v>6.0</v>
      </c>
      <c r="C196" s="18">
        <v>7.0</v>
      </c>
      <c r="D196" s="18">
        <f t="shared" si="1"/>
        <v>-1</v>
      </c>
      <c r="E196" s="18">
        <f t="shared" si="2"/>
        <v>1</v>
      </c>
      <c r="F196" s="18">
        <f t="shared" si="3"/>
        <v>-3</v>
      </c>
      <c r="G196" s="18">
        <f t="shared" si="4"/>
        <v>3</v>
      </c>
    </row>
    <row r="197">
      <c r="A197" s="1">
        <v>7.0</v>
      </c>
      <c r="B197" s="1">
        <v>8.0</v>
      </c>
      <c r="C197" s="18">
        <v>6.0</v>
      </c>
      <c r="D197" s="18">
        <f t="shared" si="1"/>
        <v>2</v>
      </c>
      <c r="E197" s="18">
        <f t="shared" si="2"/>
        <v>2</v>
      </c>
      <c r="F197" s="18">
        <f t="shared" si="3"/>
        <v>1</v>
      </c>
      <c r="G197" s="18">
        <f t="shared" si="4"/>
        <v>1</v>
      </c>
    </row>
    <row r="198">
      <c r="A198" s="1">
        <v>5.0</v>
      </c>
      <c r="B198" s="1">
        <v>4.0</v>
      </c>
      <c r="C198" s="18">
        <v>4.0</v>
      </c>
      <c r="D198" s="18">
        <f t="shared" si="1"/>
        <v>0</v>
      </c>
      <c r="E198" s="18">
        <f t="shared" si="2"/>
        <v>0</v>
      </c>
      <c r="F198" s="18">
        <f t="shared" si="3"/>
        <v>1</v>
      </c>
      <c r="G198" s="18">
        <f t="shared" si="4"/>
        <v>1</v>
      </c>
    </row>
    <row r="199">
      <c r="A199" s="1">
        <v>4.0</v>
      </c>
      <c r="B199" s="1">
        <v>6.0</v>
      </c>
      <c r="C199" s="18">
        <v>4.0</v>
      </c>
      <c r="D199" s="18">
        <f t="shared" si="1"/>
        <v>2</v>
      </c>
      <c r="E199" s="18">
        <f t="shared" si="2"/>
        <v>2</v>
      </c>
      <c r="F199" s="18">
        <f t="shared" si="3"/>
        <v>0</v>
      </c>
      <c r="G199" s="18">
        <f t="shared" si="4"/>
        <v>0</v>
      </c>
    </row>
    <row r="200">
      <c r="A200" s="1">
        <v>3.0</v>
      </c>
      <c r="B200" s="1">
        <v>4.0</v>
      </c>
      <c r="C200" s="18">
        <v>4.0</v>
      </c>
      <c r="D200" s="18">
        <f t="shared" si="1"/>
        <v>0</v>
      </c>
      <c r="E200" s="18">
        <f t="shared" si="2"/>
        <v>0</v>
      </c>
      <c r="F200" s="18">
        <f t="shared" si="3"/>
        <v>-1</v>
      </c>
      <c r="G200" s="18">
        <f t="shared" si="4"/>
        <v>1</v>
      </c>
    </row>
    <row r="201">
      <c r="A201" s="1">
        <v>4.0</v>
      </c>
      <c r="B201" s="1">
        <v>6.0</v>
      </c>
      <c r="C201" s="18">
        <v>5.0</v>
      </c>
      <c r="D201" s="18">
        <f t="shared" si="1"/>
        <v>1</v>
      </c>
      <c r="E201" s="18">
        <f t="shared" si="2"/>
        <v>1</v>
      </c>
      <c r="F201" s="18">
        <f t="shared" si="3"/>
        <v>-1</v>
      </c>
      <c r="G201" s="18">
        <f t="shared" si="4"/>
        <v>1</v>
      </c>
    </row>
    <row r="202">
      <c r="A202" s="1">
        <v>6.0</v>
      </c>
      <c r="B202" s="1">
        <v>6.0</v>
      </c>
      <c r="C202" s="18">
        <v>7.0</v>
      </c>
      <c r="D202" s="18">
        <f t="shared" si="1"/>
        <v>-1</v>
      </c>
      <c r="E202" s="18">
        <f t="shared" si="2"/>
        <v>1</v>
      </c>
      <c r="F202" s="18">
        <f t="shared" si="3"/>
        <v>-1</v>
      </c>
      <c r="G202" s="18">
        <f t="shared" si="4"/>
        <v>1</v>
      </c>
    </row>
    <row r="203">
      <c r="A203" s="1">
        <v>4.0</v>
      </c>
      <c r="B203" s="1">
        <v>6.0</v>
      </c>
      <c r="C203" s="18">
        <v>8.0</v>
      </c>
      <c r="D203" s="18">
        <f t="shared" si="1"/>
        <v>-2</v>
      </c>
      <c r="E203" s="18">
        <f t="shared" si="2"/>
        <v>2</v>
      </c>
      <c r="F203" s="18">
        <f t="shared" si="3"/>
        <v>-4</v>
      </c>
      <c r="G203" s="18">
        <f t="shared" si="4"/>
        <v>4</v>
      </c>
    </row>
    <row r="204">
      <c r="A204" s="1">
        <v>7.0</v>
      </c>
      <c r="B204" s="1">
        <v>6.0</v>
      </c>
      <c r="C204" s="18">
        <v>8.0</v>
      </c>
      <c r="D204" s="18">
        <f t="shared" si="1"/>
        <v>-2</v>
      </c>
      <c r="E204" s="18">
        <f t="shared" si="2"/>
        <v>2</v>
      </c>
      <c r="F204" s="18">
        <f t="shared" si="3"/>
        <v>-1</v>
      </c>
      <c r="G204" s="18">
        <f t="shared" si="4"/>
        <v>1</v>
      </c>
    </row>
    <row r="205">
      <c r="A205" s="1">
        <v>5.0</v>
      </c>
      <c r="B205" s="1">
        <v>6.0</v>
      </c>
      <c r="C205" s="18">
        <v>8.0</v>
      </c>
      <c r="D205" s="18">
        <f t="shared" si="1"/>
        <v>-2</v>
      </c>
      <c r="E205" s="18">
        <f t="shared" si="2"/>
        <v>2</v>
      </c>
      <c r="F205" s="18">
        <f t="shared" si="3"/>
        <v>-3</v>
      </c>
      <c r="G205" s="18">
        <f t="shared" si="4"/>
        <v>3</v>
      </c>
    </row>
    <row r="206">
      <c r="A206" s="1">
        <v>9.0</v>
      </c>
      <c r="B206" s="1">
        <v>6.0</v>
      </c>
      <c r="C206" s="18">
        <v>6.0</v>
      </c>
      <c r="D206" s="18">
        <f t="shared" si="1"/>
        <v>0</v>
      </c>
      <c r="E206" s="18">
        <f t="shared" si="2"/>
        <v>0</v>
      </c>
      <c r="F206" s="18">
        <f t="shared" si="3"/>
        <v>3</v>
      </c>
      <c r="G206" s="18">
        <f t="shared" si="4"/>
        <v>3</v>
      </c>
    </row>
    <row r="207">
      <c r="A207" s="1">
        <v>8.0</v>
      </c>
      <c r="B207" s="1">
        <v>7.0</v>
      </c>
      <c r="C207" s="18">
        <v>5.0</v>
      </c>
      <c r="D207" s="18">
        <f t="shared" si="1"/>
        <v>2</v>
      </c>
      <c r="E207" s="18">
        <f t="shared" si="2"/>
        <v>2</v>
      </c>
      <c r="F207" s="18">
        <f t="shared" si="3"/>
        <v>3</v>
      </c>
      <c r="G207" s="18">
        <f t="shared" si="4"/>
        <v>3</v>
      </c>
    </row>
    <row r="208">
      <c r="A208" s="1">
        <v>7.0</v>
      </c>
      <c r="B208" s="1">
        <v>7.0</v>
      </c>
      <c r="C208" s="18">
        <v>8.0</v>
      </c>
      <c r="D208" s="18">
        <f t="shared" si="1"/>
        <v>-1</v>
      </c>
      <c r="E208" s="18">
        <f t="shared" si="2"/>
        <v>1</v>
      </c>
      <c r="F208" s="18">
        <f t="shared" si="3"/>
        <v>-1</v>
      </c>
      <c r="G208" s="18">
        <f t="shared" si="4"/>
        <v>1</v>
      </c>
    </row>
    <row r="209">
      <c r="A209" s="1">
        <v>7.0</v>
      </c>
      <c r="B209" s="1">
        <v>7.0</v>
      </c>
      <c r="C209" s="18">
        <v>7.0</v>
      </c>
      <c r="D209" s="18">
        <f t="shared" si="1"/>
        <v>0</v>
      </c>
      <c r="E209" s="18">
        <f t="shared" si="2"/>
        <v>0</v>
      </c>
      <c r="F209" s="18">
        <f t="shared" si="3"/>
        <v>0</v>
      </c>
      <c r="G209" s="18">
        <f t="shared" si="4"/>
        <v>0</v>
      </c>
    </row>
    <row r="210">
      <c r="A210" s="1">
        <v>7.0</v>
      </c>
      <c r="B210" s="1">
        <v>6.0</v>
      </c>
      <c r="C210" s="18">
        <v>8.0</v>
      </c>
      <c r="D210" s="18">
        <f t="shared" si="1"/>
        <v>-2</v>
      </c>
      <c r="E210" s="18">
        <f t="shared" si="2"/>
        <v>2</v>
      </c>
      <c r="F210" s="18">
        <f t="shared" si="3"/>
        <v>-1</v>
      </c>
      <c r="G210" s="18">
        <f t="shared" si="4"/>
        <v>1</v>
      </c>
    </row>
    <row r="211">
      <c r="A211" s="1">
        <v>5.0</v>
      </c>
      <c r="B211" s="1">
        <v>6.0</v>
      </c>
      <c r="C211" s="18">
        <v>8.0</v>
      </c>
      <c r="D211" s="18">
        <f t="shared" si="1"/>
        <v>-2</v>
      </c>
      <c r="E211" s="18">
        <f t="shared" si="2"/>
        <v>2</v>
      </c>
      <c r="F211" s="18">
        <f t="shared" si="3"/>
        <v>-3</v>
      </c>
      <c r="G211" s="18">
        <f t="shared" si="4"/>
        <v>3</v>
      </c>
    </row>
    <row r="212">
      <c r="A212" s="1">
        <v>4.0</v>
      </c>
      <c r="B212" s="1">
        <v>6.0</v>
      </c>
      <c r="C212" s="18">
        <v>6.0</v>
      </c>
      <c r="D212" s="18">
        <f t="shared" si="1"/>
        <v>0</v>
      </c>
      <c r="E212" s="18">
        <f t="shared" si="2"/>
        <v>0</v>
      </c>
      <c r="F212" s="18">
        <f t="shared" si="3"/>
        <v>-2</v>
      </c>
      <c r="G212" s="18">
        <f t="shared" si="4"/>
        <v>2</v>
      </c>
    </row>
    <row r="213">
      <c r="A213" s="1">
        <v>4.0</v>
      </c>
      <c r="B213" s="1">
        <v>6.0</v>
      </c>
      <c r="C213" s="18">
        <v>4.0</v>
      </c>
      <c r="D213" s="18">
        <f t="shared" si="1"/>
        <v>2</v>
      </c>
      <c r="E213" s="18">
        <f t="shared" si="2"/>
        <v>2</v>
      </c>
      <c r="F213" s="18">
        <f t="shared" si="3"/>
        <v>0</v>
      </c>
      <c r="G213" s="18">
        <f t="shared" si="4"/>
        <v>0</v>
      </c>
    </row>
    <row r="214">
      <c r="A214" s="1">
        <v>10.0</v>
      </c>
      <c r="B214" s="1">
        <v>7.0</v>
      </c>
      <c r="C214" s="18">
        <v>5.0</v>
      </c>
      <c r="D214" s="18">
        <f t="shared" si="1"/>
        <v>2</v>
      </c>
      <c r="E214" s="18">
        <f t="shared" si="2"/>
        <v>2</v>
      </c>
      <c r="F214" s="18">
        <f t="shared" si="3"/>
        <v>5</v>
      </c>
      <c r="G214" s="18">
        <f t="shared" si="4"/>
        <v>5</v>
      </c>
    </row>
    <row r="215">
      <c r="A215" s="1">
        <v>9.0</v>
      </c>
      <c r="B215" s="1">
        <v>7.0</v>
      </c>
      <c r="C215" s="18">
        <v>8.0</v>
      </c>
      <c r="D215" s="18">
        <f t="shared" si="1"/>
        <v>-1</v>
      </c>
      <c r="E215" s="18">
        <f t="shared" si="2"/>
        <v>1</v>
      </c>
      <c r="F215" s="18">
        <f t="shared" si="3"/>
        <v>1</v>
      </c>
      <c r="G215" s="18">
        <f t="shared" si="4"/>
        <v>1</v>
      </c>
    </row>
    <row r="216">
      <c r="A216" s="1">
        <v>8.0</v>
      </c>
      <c r="B216" s="1">
        <v>7.0</v>
      </c>
      <c r="C216" s="18">
        <v>8.0</v>
      </c>
      <c r="D216" s="18">
        <f t="shared" si="1"/>
        <v>-1</v>
      </c>
      <c r="E216" s="18">
        <f t="shared" si="2"/>
        <v>1</v>
      </c>
      <c r="F216" s="18">
        <f t="shared" si="3"/>
        <v>0</v>
      </c>
      <c r="G216" s="18">
        <f t="shared" si="4"/>
        <v>0</v>
      </c>
    </row>
    <row r="217">
      <c r="A217" s="1">
        <v>6.0</v>
      </c>
      <c r="B217" s="1">
        <v>6.0</v>
      </c>
      <c r="C217" s="18">
        <v>6.0</v>
      </c>
      <c r="D217" s="18">
        <f t="shared" si="1"/>
        <v>0</v>
      </c>
      <c r="E217" s="18">
        <f t="shared" si="2"/>
        <v>0</v>
      </c>
      <c r="F217" s="18">
        <f t="shared" si="3"/>
        <v>0</v>
      </c>
      <c r="G217" s="18">
        <f t="shared" si="4"/>
        <v>0</v>
      </c>
    </row>
    <row r="218">
      <c r="A218" s="1">
        <v>5.0</v>
      </c>
      <c r="B218" s="1">
        <v>6.0</v>
      </c>
      <c r="C218" s="18">
        <v>7.0</v>
      </c>
      <c r="D218" s="18">
        <f t="shared" si="1"/>
        <v>-1</v>
      </c>
      <c r="E218" s="18">
        <f t="shared" si="2"/>
        <v>1</v>
      </c>
      <c r="F218" s="18">
        <f t="shared" si="3"/>
        <v>-2</v>
      </c>
      <c r="G218" s="18">
        <f t="shared" si="4"/>
        <v>2</v>
      </c>
    </row>
    <row r="219">
      <c r="A219" s="1">
        <v>4.0</v>
      </c>
      <c r="B219" s="1">
        <v>4.0</v>
      </c>
      <c r="C219" s="18">
        <v>4.0</v>
      </c>
      <c r="D219" s="18">
        <f t="shared" si="1"/>
        <v>0</v>
      </c>
      <c r="E219" s="18">
        <f t="shared" si="2"/>
        <v>0</v>
      </c>
      <c r="F219" s="18">
        <f t="shared" si="3"/>
        <v>0</v>
      </c>
      <c r="G219" s="18">
        <f t="shared" si="4"/>
        <v>0</v>
      </c>
    </row>
    <row r="220">
      <c r="A220" s="1">
        <v>4.0</v>
      </c>
      <c r="B220" s="1">
        <v>6.0</v>
      </c>
      <c r="C220" s="18">
        <v>4.0</v>
      </c>
      <c r="D220" s="18">
        <f t="shared" si="1"/>
        <v>2</v>
      </c>
      <c r="E220" s="18">
        <f t="shared" si="2"/>
        <v>2</v>
      </c>
      <c r="F220" s="18">
        <f t="shared" si="3"/>
        <v>0</v>
      </c>
      <c r="G220" s="18">
        <f t="shared" si="4"/>
        <v>0</v>
      </c>
    </row>
    <row r="221">
      <c r="A221" s="1">
        <v>6.0</v>
      </c>
      <c r="B221" s="1">
        <v>6.0</v>
      </c>
      <c r="C221" s="18">
        <v>8.0</v>
      </c>
      <c r="D221" s="18">
        <f t="shared" si="1"/>
        <v>-2</v>
      </c>
      <c r="E221" s="18">
        <f t="shared" si="2"/>
        <v>2</v>
      </c>
      <c r="F221" s="18">
        <f t="shared" si="3"/>
        <v>-2</v>
      </c>
      <c r="G221" s="18">
        <f t="shared" si="4"/>
        <v>2</v>
      </c>
    </row>
    <row r="222">
      <c r="A222" s="1">
        <v>9.0</v>
      </c>
      <c r="B222" s="1">
        <v>6.0</v>
      </c>
      <c r="C222" s="18">
        <v>7.0</v>
      </c>
      <c r="D222" s="18">
        <f t="shared" si="1"/>
        <v>-1</v>
      </c>
      <c r="E222" s="18">
        <f t="shared" si="2"/>
        <v>1</v>
      </c>
      <c r="F222" s="18">
        <f t="shared" si="3"/>
        <v>2</v>
      </c>
      <c r="G222" s="18">
        <f t="shared" si="4"/>
        <v>2</v>
      </c>
    </row>
    <row r="223">
      <c r="A223" s="1">
        <v>8.0</v>
      </c>
      <c r="B223" s="1">
        <v>6.0</v>
      </c>
      <c r="C223" s="18">
        <v>7.0</v>
      </c>
      <c r="D223" s="18">
        <f t="shared" si="1"/>
        <v>-1</v>
      </c>
      <c r="E223" s="18">
        <f t="shared" si="2"/>
        <v>1</v>
      </c>
      <c r="F223" s="18">
        <f t="shared" si="3"/>
        <v>1</v>
      </c>
      <c r="G223" s="18">
        <f t="shared" si="4"/>
        <v>1</v>
      </c>
    </row>
    <row r="224">
      <c r="A224" s="1">
        <v>8.0</v>
      </c>
      <c r="B224" s="1">
        <v>6.0</v>
      </c>
      <c r="C224" s="18">
        <v>7.0</v>
      </c>
      <c r="D224" s="18">
        <f t="shared" si="1"/>
        <v>-1</v>
      </c>
      <c r="E224" s="18">
        <f t="shared" si="2"/>
        <v>1</v>
      </c>
      <c r="F224" s="18">
        <f t="shared" si="3"/>
        <v>1</v>
      </c>
      <c r="G224" s="18">
        <f t="shared" si="4"/>
        <v>1</v>
      </c>
    </row>
    <row r="225">
      <c r="A225" s="1">
        <v>6.0</v>
      </c>
      <c r="B225" s="1">
        <v>6.0</v>
      </c>
      <c r="C225" s="18">
        <v>4.0</v>
      </c>
      <c r="D225" s="18">
        <f t="shared" si="1"/>
        <v>2</v>
      </c>
      <c r="E225" s="18">
        <f t="shared" si="2"/>
        <v>2</v>
      </c>
      <c r="F225" s="18">
        <f t="shared" si="3"/>
        <v>2</v>
      </c>
      <c r="G225" s="18">
        <f t="shared" si="4"/>
        <v>2</v>
      </c>
    </row>
    <row r="226">
      <c r="A226" s="1">
        <v>7.0</v>
      </c>
      <c r="B226" s="1">
        <v>6.0</v>
      </c>
      <c r="C226" s="18">
        <v>5.0</v>
      </c>
      <c r="D226" s="18">
        <f t="shared" si="1"/>
        <v>1</v>
      </c>
      <c r="E226" s="18">
        <f t="shared" si="2"/>
        <v>1</v>
      </c>
      <c r="F226" s="18">
        <f t="shared" si="3"/>
        <v>2</v>
      </c>
      <c r="G226" s="18">
        <f t="shared" si="4"/>
        <v>2</v>
      </c>
    </row>
    <row r="227">
      <c r="A227" s="1">
        <v>7.0</v>
      </c>
      <c r="B227" s="1">
        <v>6.0</v>
      </c>
      <c r="C227" s="18">
        <v>4.0</v>
      </c>
      <c r="D227" s="18">
        <f t="shared" si="1"/>
        <v>2</v>
      </c>
      <c r="E227" s="18">
        <f t="shared" si="2"/>
        <v>2</v>
      </c>
      <c r="F227" s="18">
        <f t="shared" si="3"/>
        <v>3</v>
      </c>
      <c r="G227" s="18">
        <f t="shared" si="4"/>
        <v>3</v>
      </c>
    </row>
    <row r="228">
      <c r="A228" s="1">
        <v>5.0</v>
      </c>
      <c r="B228" s="1">
        <v>6.0</v>
      </c>
      <c r="C228" s="18">
        <v>5.0</v>
      </c>
      <c r="D228" s="18">
        <f t="shared" si="1"/>
        <v>1</v>
      </c>
      <c r="E228" s="18">
        <f t="shared" si="2"/>
        <v>1</v>
      </c>
      <c r="F228" s="18">
        <f t="shared" si="3"/>
        <v>0</v>
      </c>
      <c r="G228" s="18">
        <f t="shared" si="4"/>
        <v>0</v>
      </c>
    </row>
    <row r="229">
      <c r="A229" s="1">
        <v>6.0</v>
      </c>
      <c r="B229" s="1">
        <v>6.0</v>
      </c>
      <c r="C229" s="18">
        <v>7.0</v>
      </c>
      <c r="D229" s="18">
        <f t="shared" si="1"/>
        <v>-1</v>
      </c>
      <c r="E229" s="18">
        <f t="shared" si="2"/>
        <v>1</v>
      </c>
      <c r="F229" s="18">
        <f t="shared" si="3"/>
        <v>-1</v>
      </c>
      <c r="G229" s="18">
        <f t="shared" si="4"/>
        <v>1</v>
      </c>
    </row>
    <row r="230">
      <c r="A230" s="1">
        <v>4.0</v>
      </c>
      <c r="B230" s="1">
        <v>4.0</v>
      </c>
      <c r="C230" s="18">
        <v>7.0</v>
      </c>
      <c r="D230" s="18">
        <f t="shared" si="1"/>
        <v>-3</v>
      </c>
      <c r="E230" s="18">
        <f t="shared" si="2"/>
        <v>3</v>
      </c>
      <c r="F230" s="18">
        <f t="shared" si="3"/>
        <v>-3</v>
      </c>
      <c r="G230" s="18">
        <f t="shared" si="4"/>
        <v>3</v>
      </c>
    </row>
    <row r="231">
      <c r="A231" s="1">
        <v>7.0</v>
      </c>
      <c r="B231" s="1">
        <v>6.0</v>
      </c>
      <c r="C231" s="18">
        <v>5.0</v>
      </c>
      <c r="D231" s="18">
        <f t="shared" si="1"/>
        <v>1</v>
      </c>
      <c r="E231" s="18">
        <f t="shared" si="2"/>
        <v>1</v>
      </c>
      <c r="F231" s="18">
        <f t="shared" si="3"/>
        <v>2</v>
      </c>
      <c r="G231" s="18">
        <f t="shared" si="4"/>
        <v>2</v>
      </c>
    </row>
    <row r="232">
      <c r="A232" s="1">
        <v>5.0</v>
      </c>
      <c r="B232" s="1">
        <v>6.0</v>
      </c>
      <c r="C232" s="18">
        <v>8.0</v>
      </c>
      <c r="D232" s="18">
        <f t="shared" si="1"/>
        <v>-2</v>
      </c>
      <c r="E232" s="18">
        <f t="shared" si="2"/>
        <v>2</v>
      </c>
      <c r="F232" s="18">
        <f t="shared" si="3"/>
        <v>-3</v>
      </c>
      <c r="G232" s="18">
        <f t="shared" si="4"/>
        <v>3</v>
      </c>
    </row>
    <row r="233">
      <c r="A233" s="1">
        <v>4.0</v>
      </c>
      <c r="B233" s="1">
        <v>6.0</v>
      </c>
      <c r="C233" s="18">
        <v>4.0</v>
      </c>
      <c r="D233" s="18">
        <f t="shared" si="1"/>
        <v>2</v>
      </c>
      <c r="E233" s="18">
        <f t="shared" si="2"/>
        <v>2</v>
      </c>
      <c r="F233" s="18">
        <f t="shared" si="3"/>
        <v>0</v>
      </c>
      <c r="G233" s="18">
        <f t="shared" si="4"/>
        <v>0</v>
      </c>
    </row>
    <row r="234">
      <c r="A234" s="1">
        <v>10.0</v>
      </c>
      <c r="B234" s="1">
        <v>6.0</v>
      </c>
      <c r="C234" s="18">
        <v>8.0</v>
      </c>
      <c r="D234" s="18">
        <f t="shared" si="1"/>
        <v>-2</v>
      </c>
      <c r="E234" s="18">
        <f t="shared" si="2"/>
        <v>2</v>
      </c>
      <c r="F234" s="18">
        <f t="shared" si="3"/>
        <v>2</v>
      </c>
      <c r="G234" s="18">
        <f t="shared" si="4"/>
        <v>2</v>
      </c>
    </row>
    <row r="235">
      <c r="A235" s="1">
        <v>9.0</v>
      </c>
      <c r="B235" s="1">
        <v>7.0</v>
      </c>
      <c r="C235" s="18">
        <v>8.0</v>
      </c>
      <c r="D235" s="18">
        <f t="shared" si="1"/>
        <v>-1</v>
      </c>
      <c r="E235" s="18">
        <f t="shared" si="2"/>
        <v>1</v>
      </c>
      <c r="F235" s="18">
        <f t="shared" si="3"/>
        <v>1</v>
      </c>
      <c r="G235" s="18">
        <f t="shared" si="4"/>
        <v>1</v>
      </c>
    </row>
    <row r="236">
      <c r="A236" s="1">
        <v>9.0</v>
      </c>
      <c r="B236" s="1">
        <v>7.0</v>
      </c>
      <c r="C236" s="18">
        <v>5.0</v>
      </c>
      <c r="D236" s="18">
        <f t="shared" si="1"/>
        <v>2</v>
      </c>
      <c r="E236" s="18">
        <f t="shared" si="2"/>
        <v>2</v>
      </c>
      <c r="F236" s="18">
        <f t="shared" si="3"/>
        <v>4</v>
      </c>
      <c r="G236" s="18">
        <f t="shared" si="4"/>
        <v>4</v>
      </c>
    </row>
    <row r="237">
      <c r="A237" s="1">
        <v>7.0</v>
      </c>
      <c r="B237" s="1">
        <v>7.0</v>
      </c>
      <c r="C237" s="18">
        <v>7.0</v>
      </c>
      <c r="D237" s="18">
        <f t="shared" si="1"/>
        <v>0</v>
      </c>
      <c r="E237" s="18">
        <f t="shared" si="2"/>
        <v>0</v>
      </c>
      <c r="F237" s="18">
        <f t="shared" si="3"/>
        <v>0</v>
      </c>
      <c r="G237" s="18">
        <f t="shared" si="4"/>
        <v>0</v>
      </c>
    </row>
    <row r="238">
      <c r="A238" s="1">
        <v>9.0</v>
      </c>
      <c r="B238" s="1">
        <v>6.0</v>
      </c>
      <c r="C238" s="18">
        <v>6.0</v>
      </c>
      <c r="D238" s="18">
        <f t="shared" si="1"/>
        <v>0</v>
      </c>
      <c r="E238" s="18">
        <f t="shared" si="2"/>
        <v>0</v>
      </c>
      <c r="F238" s="18">
        <f t="shared" si="3"/>
        <v>3</v>
      </c>
      <c r="G238" s="18">
        <f t="shared" si="4"/>
        <v>3</v>
      </c>
    </row>
    <row r="239">
      <c r="A239" s="1">
        <v>5.0</v>
      </c>
      <c r="B239" s="1">
        <v>4.0</v>
      </c>
      <c r="C239" s="18">
        <v>5.0</v>
      </c>
      <c r="D239" s="18">
        <f t="shared" si="1"/>
        <v>-1</v>
      </c>
      <c r="E239" s="18">
        <f t="shared" si="2"/>
        <v>1</v>
      </c>
      <c r="F239" s="18">
        <f t="shared" si="3"/>
        <v>0</v>
      </c>
      <c r="G239" s="18">
        <f t="shared" si="4"/>
        <v>0</v>
      </c>
    </row>
    <row r="240">
      <c r="A240" s="1">
        <v>8.0</v>
      </c>
      <c r="B240" s="1">
        <v>6.0</v>
      </c>
      <c r="C240" s="18">
        <v>8.0</v>
      </c>
      <c r="D240" s="18">
        <f t="shared" si="1"/>
        <v>-2</v>
      </c>
      <c r="E240" s="18">
        <f t="shared" si="2"/>
        <v>2</v>
      </c>
      <c r="F240" s="18">
        <f t="shared" si="3"/>
        <v>0</v>
      </c>
      <c r="G240" s="18">
        <f t="shared" si="4"/>
        <v>0</v>
      </c>
    </row>
    <row r="241">
      <c r="A241" s="1">
        <v>5.0</v>
      </c>
      <c r="B241" s="1">
        <v>6.0</v>
      </c>
      <c r="C241" s="18">
        <v>8.0</v>
      </c>
      <c r="D241" s="18">
        <f t="shared" si="1"/>
        <v>-2</v>
      </c>
      <c r="E241" s="18">
        <f t="shared" si="2"/>
        <v>2</v>
      </c>
      <c r="F241" s="18">
        <f t="shared" si="3"/>
        <v>-3</v>
      </c>
      <c r="G241" s="18">
        <f t="shared" si="4"/>
        <v>3</v>
      </c>
    </row>
    <row r="242">
      <c r="A242" s="1">
        <v>7.0</v>
      </c>
      <c r="B242" s="1">
        <v>6.0</v>
      </c>
      <c r="C242" s="18">
        <v>7.0</v>
      </c>
      <c r="D242" s="18">
        <f t="shared" si="1"/>
        <v>-1</v>
      </c>
      <c r="E242" s="18">
        <f t="shared" si="2"/>
        <v>1</v>
      </c>
      <c r="F242" s="18">
        <f t="shared" si="3"/>
        <v>0</v>
      </c>
      <c r="G242" s="18">
        <f t="shared" si="4"/>
        <v>0</v>
      </c>
    </row>
    <row r="243">
      <c r="A243" s="1">
        <v>3.0</v>
      </c>
      <c r="B243" s="1">
        <v>6.0</v>
      </c>
      <c r="C243" s="18">
        <v>5.0</v>
      </c>
      <c r="D243" s="18">
        <f t="shared" si="1"/>
        <v>1</v>
      </c>
      <c r="E243" s="18">
        <f t="shared" si="2"/>
        <v>1</v>
      </c>
      <c r="F243" s="18">
        <f t="shared" si="3"/>
        <v>-2</v>
      </c>
      <c r="G243" s="18">
        <f t="shared" si="4"/>
        <v>2</v>
      </c>
    </row>
    <row r="244">
      <c r="A244" s="1">
        <v>7.0</v>
      </c>
      <c r="B244" s="1">
        <v>6.0</v>
      </c>
      <c r="C244" s="18">
        <v>5.0</v>
      </c>
      <c r="D244" s="18">
        <f t="shared" si="1"/>
        <v>1</v>
      </c>
      <c r="E244" s="18">
        <f t="shared" si="2"/>
        <v>1</v>
      </c>
      <c r="F244" s="18">
        <f t="shared" si="3"/>
        <v>2</v>
      </c>
      <c r="G244" s="18">
        <f t="shared" si="4"/>
        <v>2</v>
      </c>
    </row>
    <row r="245">
      <c r="A245" s="1">
        <v>5.0</v>
      </c>
      <c r="B245" s="1">
        <v>6.0</v>
      </c>
      <c r="C245" s="18">
        <v>7.0</v>
      </c>
      <c r="D245" s="18">
        <f t="shared" si="1"/>
        <v>-1</v>
      </c>
      <c r="E245" s="18">
        <f t="shared" si="2"/>
        <v>1</v>
      </c>
      <c r="F245" s="18">
        <f t="shared" si="3"/>
        <v>-2</v>
      </c>
      <c r="G245" s="18">
        <f t="shared" si="4"/>
        <v>2</v>
      </c>
    </row>
    <row r="246">
      <c r="A246" s="1">
        <v>7.0</v>
      </c>
      <c r="B246" s="1">
        <v>6.0</v>
      </c>
      <c r="C246" s="18">
        <v>8.0</v>
      </c>
      <c r="D246" s="18">
        <f t="shared" si="1"/>
        <v>-2</v>
      </c>
      <c r="E246" s="18">
        <f t="shared" si="2"/>
        <v>2</v>
      </c>
      <c r="F246" s="18">
        <f t="shared" si="3"/>
        <v>-1</v>
      </c>
      <c r="G246" s="18">
        <f t="shared" si="4"/>
        <v>1</v>
      </c>
    </row>
    <row r="247">
      <c r="A247" s="1">
        <v>7.0</v>
      </c>
      <c r="B247" s="1">
        <v>6.0</v>
      </c>
      <c r="C247" s="18">
        <v>8.0</v>
      </c>
      <c r="D247" s="18">
        <f t="shared" si="1"/>
        <v>-2</v>
      </c>
      <c r="E247" s="18">
        <f t="shared" si="2"/>
        <v>2</v>
      </c>
      <c r="F247" s="18">
        <f t="shared" si="3"/>
        <v>-1</v>
      </c>
      <c r="G247" s="18">
        <f t="shared" si="4"/>
        <v>1</v>
      </c>
    </row>
    <row r="248">
      <c r="A248" s="1">
        <v>4.0</v>
      </c>
      <c r="B248" s="1">
        <v>6.0</v>
      </c>
      <c r="C248" s="18">
        <v>5.0</v>
      </c>
      <c r="D248" s="18">
        <f t="shared" si="1"/>
        <v>1</v>
      </c>
      <c r="E248" s="18">
        <f t="shared" si="2"/>
        <v>1</v>
      </c>
      <c r="F248" s="18">
        <f t="shared" si="3"/>
        <v>-1</v>
      </c>
      <c r="G248" s="18">
        <f t="shared" si="4"/>
        <v>1</v>
      </c>
    </row>
    <row r="249">
      <c r="A249" s="1">
        <v>6.0</v>
      </c>
      <c r="B249" s="1">
        <v>6.0</v>
      </c>
      <c r="C249" s="18">
        <v>8.0</v>
      </c>
      <c r="D249" s="18">
        <f t="shared" si="1"/>
        <v>-2</v>
      </c>
      <c r="E249" s="18">
        <f t="shared" si="2"/>
        <v>2</v>
      </c>
      <c r="F249" s="18">
        <f t="shared" si="3"/>
        <v>-2</v>
      </c>
      <c r="G249" s="18">
        <f t="shared" si="4"/>
        <v>2</v>
      </c>
    </row>
    <row r="250">
      <c r="A250" s="1">
        <v>8.0</v>
      </c>
      <c r="B250" s="1">
        <v>6.0</v>
      </c>
      <c r="C250" s="18">
        <v>7.0</v>
      </c>
      <c r="D250" s="18">
        <f t="shared" si="1"/>
        <v>-1</v>
      </c>
      <c r="E250" s="18">
        <f t="shared" si="2"/>
        <v>1</v>
      </c>
      <c r="F250" s="18">
        <f t="shared" si="3"/>
        <v>1</v>
      </c>
      <c r="G250" s="18">
        <f t="shared" si="4"/>
        <v>1</v>
      </c>
    </row>
    <row r="251">
      <c r="A251" s="1">
        <v>5.0</v>
      </c>
      <c r="B251" s="1">
        <v>4.0</v>
      </c>
      <c r="C251" s="18">
        <v>5.0</v>
      </c>
      <c r="D251" s="18">
        <f t="shared" si="1"/>
        <v>-1</v>
      </c>
      <c r="E251" s="18">
        <f t="shared" si="2"/>
        <v>1</v>
      </c>
      <c r="F251" s="18">
        <f t="shared" si="3"/>
        <v>0</v>
      </c>
      <c r="G251" s="18">
        <f t="shared" si="4"/>
        <v>0</v>
      </c>
    </row>
    <row r="252">
      <c r="A252" s="1">
        <v>4.0</v>
      </c>
      <c r="B252" s="1">
        <v>4.0</v>
      </c>
      <c r="C252" s="18">
        <v>4.0</v>
      </c>
      <c r="D252" s="18">
        <f t="shared" si="1"/>
        <v>0</v>
      </c>
      <c r="E252" s="18">
        <f t="shared" si="2"/>
        <v>0</v>
      </c>
      <c r="F252" s="18">
        <f t="shared" si="3"/>
        <v>0</v>
      </c>
      <c r="G252" s="18">
        <f t="shared" si="4"/>
        <v>0</v>
      </c>
    </row>
    <row r="253">
      <c r="A253" s="1">
        <v>9.0</v>
      </c>
      <c r="B253" s="1">
        <v>6.0</v>
      </c>
      <c r="C253" s="18">
        <v>6.5</v>
      </c>
      <c r="D253" s="18">
        <f t="shared" si="1"/>
        <v>-0.5</v>
      </c>
      <c r="E253" s="18">
        <f t="shared" si="2"/>
        <v>0.5</v>
      </c>
      <c r="F253" s="18">
        <f t="shared" si="3"/>
        <v>2.5</v>
      </c>
      <c r="G253" s="18">
        <f t="shared" si="4"/>
        <v>2.5</v>
      </c>
    </row>
    <row r="254">
      <c r="A254" s="1">
        <v>3.0</v>
      </c>
      <c r="B254" s="1">
        <v>4.0</v>
      </c>
      <c r="C254" s="18">
        <v>5.0</v>
      </c>
      <c r="D254" s="18">
        <f t="shared" si="1"/>
        <v>-1</v>
      </c>
      <c r="E254" s="18">
        <f t="shared" si="2"/>
        <v>1</v>
      </c>
      <c r="F254" s="18">
        <f t="shared" si="3"/>
        <v>-2</v>
      </c>
      <c r="G254" s="18">
        <f t="shared" si="4"/>
        <v>2</v>
      </c>
    </row>
    <row r="255">
      <c r="A255" s="1">
        <v>5.0</v>
      </c>
      <c r="B255" s="1">
        <v>6.0</v>
      </c>
      <c r="C255" s="18">
        <v>4.0</v>
      </c>
      <c r="D255" s="18">
        <f t="shared" si="1"/>
        <v>2</v>
      </c>
      <c r="E255" s="18">
        <f t="shared" si="2"/>
        <v>2</v>
      </c>
      <c r="F255" s="18">
        <f t="shared" si="3"/>
        <v>1</v>
      </c>
      <c r="G255" s="18">
        <f t="shared" si="4"/>
        <v>1</v>
      </c>
    </row>
    <row r="256">
      <c r="A256" s="1">
        <v>6.0</v>
      </c>
      <c r="B256" s="1">
        <v>7.0</v>
      </c>
      <c r="C256" s="18">
        <v>6.0</v>
      </c>
      <c r="D256" s="18">
        <f t="shared" si="1"/>
        <v>1</v>
      </c>
      <c r="E256" s="18">
        <f t="shared" si="2"/>
        <v>1</v>
      </c>
      <c r="F256" s="18">
        <f t="shared" si="3"/>
        <v>0</v>
      </c>
      <c r="G256" s="18">
        <f t="shared" si="4"/>
        <v>0</v>
      </c>
    </row>
    <row r="257">
      <c r="A257" s="1">
        <v>7.0</v>
      </c>
      <c r="B257" s="1">
        <v>6.0</v>
      </c>
      <c r="C257" s="18">
        <v>6.0</v>
      </c>
      <c r="D257" s="18">
        <f t="shared" si="1"/>
        <v>0</v>
      </c>
      <c r="E257" s="18">
        <f t="shared" si="2"/>
        <v>0</v>
      </c>
      <c r="F257" s="18">
        <f t="shared" si="3"/>
        <v>1</v>
      </c>
      <c r="G257" s="18">
        <f t="shared" si="4"/>
        <v>1</v>
      </c>
    </row>
    <row r="258">
      <c r="A258" s="1">
        <v>6.0</v>
      </c>
      <c r="B258" s="1">
        <v>6.0</v>
      </c>
      <c r="C258" s="18">
        <v>7.0</v>
      </c>
      <c r="D258" s="18">
        <f t="shared" si="1"/>
        <v>-1</v>
      </c>
      <c r="E258" s="18">
        <f t="shared" si="2"/>
        <v>1</v>
      </c>
      <c r="F258" s="18">
        <f t="shared" si="3"/>
        <v>-1</v>
      </c>
      <c r="G258" s="18">
        <f t="shared" si="4"/>
        <v>1</v>
      </c>
    </row>
    <row r="259">
      <c r="A259" s="1">
        <v>3.0</v>
      </c>
      <c r="B259" s="1">
        <v>6.0</v>
      </c>
      <c r="C259" s="18">
        <v>5.0</v>
      </c>
      <c r="D259" s="18">
        <f t="shared" si="1"/>
        <v>1</v>
      </c>
      <c r="E259" s="18">
        <f t="shared" si="2"/>
        <v>1</v>
      </c>
      <c r="F259" s="18">
        <f t="shared" si="3"/>
        <v>-2</v>
      </c>
      <c r="G259" s="18">
        <f t="shared" si="4"/>
        <v>2</v>
      </c>
    </row>
    <row r="260">
      <c r="A260" s="1">
        <v>5.0</v>
      </c>
      <c r="B260" s="1">
        <v>6.0</v>
      </c>
      <c r="C260" s="18">
        <v>4.0</v>
      </c>
      <c r="D260" s="18">
        <f t="shared" si="1"/>
        <v>2</v>
      </c>
      <c r="E260" s="18">
        <f t="shared" si="2"/>
        <v>2</v>
      </c>
      <c r="F260" s="18">
        <f t="shared" si="3"/>
        <v>1</v>
      </c>
      <c r="G260" s="18">
        <f t="shared" si="4"/>
        <v>1</v>
      </c>
    </row>
    <row r="261">
      <c r="A261" s="1">
        <v>10.0</v>
      </c>
      <c r="B261" s="1">
        <v>7.0</v>
      </c>
      <c r="C261" s="18">
        <v>7.0</v>
      </c>
      <c r="D261" s="18">
        <f t="shared" si="1"/>
        <v>0</v>
      </c>
      <c r="E261" s="18">
        <f t="shared" si="2"/>
        <v>0</v>
      </c>
      <c r="F261" s="18">
        <f t="shared" si="3"/>
        <v>3</v>
      </c>
      <c r="G261" s="18">
        <f t="shared" si="4"/>
        <v>3</v>
      </c>
    </row>
    <row r="262">
      <c r="A262" s="1">
        <v>9.0</v>
      </c>
      <c r="B262" s="1">
        <v>7.0</v>
      </c>
      <c r="C262" s="18">
        <v>7.0</v>
      </c>
      <c r="D262" s="18">
        <f t="shared" si="1"/>
        <v>0</v>
      </c>
      <c r="E262" s="18">
        <f t="shared" si="2"/>
        <v>0</v>
      </c>
      <c r="F262" s="18">
        <f t="shared" si="3"/>
        <v>2</v>
      </c>
      <c r="G262" s="18">
        <f t="shared" si="4"/>
        <v>2</v>
      </c>
    </row>
    <row r="263">
      <c r="A263" s="1">
        <v>8.0</v>
      </c>
      <c r="B263" s="1">
        <v>6.0</v>
      </c>
      <c r="C263" s="18">
        <v>8.0</v>
      </c>
      <c r="D263" s="18">
        <f t="shared" si="1"/>
        <v>-2</v>
      </c>
      <c r="E263" s="18">
        <f t="shared" si="2"/>
        <v>2</v>
      </c>
      <c r="F263" s="18">
        <f t="shared" si="3"/>
        <v>0</v>
      </c>
      <c r="G263" s="18">
        <f t="shared" si="4"/>
        <v>0</v>
      </c>
    </row>
    <row r="264">
      <c r="A264" s="1">
        <v>8.0</v>
      </c>
      <c r="B264" s="1">
        <v>7.0</v>
      </c>
      <c r="C264" s="18">
        <v>8.0</v>
      </c>
      <c r="D264" s="18">
        <f t="shared" si="1"/>
        <v>-1</v>
      </c>
      <c r="E264" s="18">
        <f t="shared" si="2"/>
        <v>1</v>
      </c>
      <c r="F264" s="18">
        <f t="shared" si="3"/>
        <v>0</v>
      </c>
      <c r="G264" s="18">
        <f t="shared" si="4"/>
        <v>0</v>
      </c>
    </row>
    <row r="265">
      <c r="A265" s="1">
        <v>4.0</v>
      </c>
      <c r="B265" s="1">
        <v>4.0</v>
      </c>
      <c r="C265" s="18">
        <v>5.0</v>
      </c>
      <c r="D265" s="18">
        <f t="shared" si="1"/>
        <v>-1</v>
      </c>
      <c r="E265" s="18">
        <f t="shared" si="2"/>
        <v>1</v>
      </c>
      <c r="F265" s="18">
        <f t="shared" si="3"/>
        <v>-1</v>
      </c>
      <c r="G265" s="18">
        <f t="shared" si="4"/>
        <v>1</v>
      </c>
    </row>
    <row r="266">
      <c r="A266" s="1">
        <v>7.0</v>
      </c>
      <c r="B266" s="1">
        <v>6.0</v>
      </c>
      <c r="C266" s="18">
        <v>5.0</v>
      </c>
      <c r="D266" s="18">
        <f t="shared" si="1"/>
        <v>1</v>
      </c>
      <c r="E266" s="18">
        <f t="shared" si="2"/>
        <v>1</v>
      </c>
      <c r="F266" s="18">
        <f t="shared" si="3"/>
        <v>2</v>
      </c>
      <c r="G266" s="18">
        <f t="shared" si="4"/>
        <v>2</v>
      </c>
    </row>
    <row r="267">
      <c r="A267" s="1">
        <v>3.0</v>
      </c>
      <c r="B267" s="1">
        <v>6.0</v>
      </c>
      <c r="C267" s="18">
        <v>7.0</v>
      </c>
      <c r="D267" s="18">
        <f t="shared" si="1"/>
        <v>-1</v>
      </c>
      <c r="E267" s="18">
        <f t="shared" si="2"/>
        <v>1</v>
      </c>
      <c r="F267" s="18">
        <f t="shared" si="3"/>
        <v>-4</v>
      </c>
      <c r="G267" s="18">
        <f t="shared" si="4"/>
        <v>4</v>
      </c>
    </row>
    <row r="268">
      <c r="A268" s="1">
        <v>0.0</v>
      </c>
      <c r="B268" s="1">
        <v>0.0</v>
      </c>
      <c r="C268" s="18">
        <v>2.0</v>
      </c>
      <c r="D268" s="18">
        <f t="shared" si="1"/>
        <v>-2</v>
      </c>
      <c r="E268" s="18">
        <f t="shared" si="2"/>
        <v>2</v>
      </c>
      <c r="F268" s="18">
        <f t="shared" si="3"/>
        <v>-2</v>
      </c>
      <c r="G268" s="18">
        <f t="shared" si="4"/>
        <v>2</v>
      </c>
    </row>
    <row r="269">
      <c r="A269" s="1">
        <v>5.0</v>
      </c>
      <c r="B269" s="1">
        <v>4.0</v>
      </c>
      <c r="C269" s="18">
        <v>3.0</v>
      </c>
      <c r="D269" s="18">
        <f t="shared" si="1"/>
        <v>1</v>
      </c>
      <c r="E269" s="18">
        <f t="shared" si="2"/>
        <v>1</v>
      </c>
      <c r="F269" s="18">
        <f t="shared" si="3"/>
        <v>2</v>
      </c>
      <c r="G269" s="18">
        <f t="shared" si="4"/>
        <v>2</v>
      </c>
    </row>
    <row r="270">
      <c r="A270" s="1">
        <v>3.0</v>
      </c>
      <c r="B270" s="1">
        <v>4.0</v>
      </c>
      <c r="C270" s="18">
        <v>5.0</v>
      </c>
      <c r="D270" s="18">
        <f t="shared" si="1"/>
        <v>-1</v>
      </c>
      <c r="E270" s="18">
        <f t="shared" si="2"/>
        <v>1</v>
      </c>
      <c r="F270" s="18">
        <f t="shared" si="3"/>
        <v>-2</v>
      </c>
      <c r="G270" s="18">
        <f t="shared" si="4"/>
        <v>2</v>
      </c>
    </row>
    <row r="271">
      <c r="A271" s="1">
        <v>4.0</v>
      </c>
      <c r="B271" s="1">
        <v>6.0</v>
      </c>
      <c r="C271" s="18">
        <v>4.0</v>
      </c>
      <c r="D271" s="18">
        <f t="shared" si="1"/>
        <v>2</v>
      </c>
      <c r="E271" s="18">
        <f t="shared" si="2"/>
        <v>2</v>
      </c>
      <c r="F271" s="18">
        <f t="shared" si="3"/>
        <v>0</v>
      </c>
      <c r="G271" s="18">
        <f t="shared" si="4"/>
        <v>0</v>
      </c>
    </row>
    <row r="272">
      <c r="A272" s="1">
        <v>2.0</v>
      </c>
      <c r="B272" s="1">
        <v>4.0</v>
      </c>
      <c r="C272" s="18">
        <v>7.0</v>
      </c>
      <c r="D272" s="18">
        <f t="shared" si="1"/>
        <v>-3</v>
      </c>
      <c r="E272" s="18">
        <f t="shared" si="2"/>
        <v>3</v>
      </c>
      <c r="F272" s="18">
        <f t="shared" si="3"/>
        <v>-5</v>
      </c>
      <c r="G272" s="18">
        <f t="shared" si="4"/>
        <v>5</v>
      </c>
    </row>
    <row r="273">
      <c r="A273" s="1">
        <v>4.0</v>
      </c>
      <c r="B273" s="1">
        <v>6.0</v>
      </c>
      <c r="C273" s="18">
        <v>7.0</v>
      </c>
      <c r="D273" s="18">
        <f t="shared" si="1"/>
        <v>-1</v>
      </c>
      <c r="E273" s="18">
        <f t="shared" si="2"/>
        <v>1</v>
      </c>
      <c r="F273" s="18">
        <f t="shared" si="3"/>
        <v>-3</v>
      </c>
      <c r="G273" s="18">
        <f t="shared" si="4"/>
        <v>3</v>
      </c>
    </row>
    <row r="274">
      <c r="A274" s="1">
        <v>6.0</v>
      </c>
      <c r="B274" s="1">
        <v>6.0</v>
      </c>
      <c r="C274" s="18">
        <v>6.0</v>
      </c>
      <c r="D274" s="18">
        <f t="shared" si="1"/>
        <v>0</v>
      </c>
      <c r="E274" s="18">
        <f t="shared" si="2"/>
        <v>0</v>
      </c>
      <c r="F274" s="18">
        <f t="shared" si="3"/>
        <v>0</v>
      </c>
      <c r="G274" s="18">
        <f t="shared" si="4"/>
        <v>0</v>
      </c>
    </row>
    <row r="275">
      <c r="A275" s="1">
        <v>3.0</v>
      </c>
      <c r="B275" s="1">
        <v>4.0</v>
      </c>
      <c r="C275" s="18">
        <v>4.0</v>
      </c>
      <c r="D275" s="18">
        <f t="shared" si="1"/>
        <v>0</v>
      </c>
      <c r="E275" s="18">
        <f t="shared" si="2"/>
        <v>0</v>
      </c>
      <c r="F275" s="18">
        <f t="shared" si="3"/>
        <v>-1</v>
      </c>
      <c r="G275" s="18">
        <f t="shared" si="4"/>
        <v>1</v>
      </c>
    </row>
    <row r="276">
      <c r="A276" s="1">
        <v>8.0</v>
      </c>
      <c r="B276" s="1">
        <v>6.0</v>
      </c>
      <c r="C276" s="18">
        <v>4.0</v>
      </c>
      <c r="D276" s="18">
        <f t="shared" si="1"/>
        <v>2</v>
      </c>
      <c r="E276" s="18">
        <f t="shared" si="2"/>
        <v>2</v>
      </c>
      <c r="F276" s="18">
        <f t="shared" si="3"/>
        <v>4</v>
      </c>
      <c r="G276" s="18">
        <f t="shared" si="4"/>
        <v>4</v>
      </c>
    </row>
    <row r="277">
      <c r="A277" s="1">
        <v>6.0</v>
      </c>
      <c r="B277" s="1">
        <v>6.0</v>
      </c>
      <c r="C277" s="18">
        <v>4.0</v>
      </c>
      <c r="D277" s="18">
        <f t="shared" si="1"/>
        <v>2</v>
      </c>
      <c r="E277" s="18">
        <f t="shared" si="2"/>
        <v>2</v>
      </c>
      <c r="F277" s="18">
        <f t="shared" si="3"/>
        <v>2</v>
      </c>
      <c r="G277" s="18">
        <f t="shared" si="4"/>
        <v>2</v>
      </c>
    </row>
    <row r="278">
      <c r="A278" s="1">
        <v>5.0</v>
      </c>
      <c r="B278" s="1">
        <v>6.0</v>
      </c>
      <c r="C278" s="18">
        <v>5.0</v>
      </c>
      <c r="D278" s="18">
        <f t="shared" si="1"/>
        <v>1</v>
      </c>
      <c r="E278" s="18">
        <f t="shared" si="2"/>
        <v>1</v>
      </c>
      <c r="F278" s="18">
        <f t="shared" si="3"/>
        <v>0</v>
      </c>
      <c r="G278" s="18">
        <f t="shared" si="4"/>
        <v>0</v>
      </c>
    </row>
    <row r="279">
      <c r="A279" s="1">
        <v>4.0</v>
      </c>
      <c r="B279" s="1">
        <v>6.0</v>
      </c>
      <c r="C279" s="18">
        <v>4.0</v>
      </c>
      <c r="D279" s="18">
        <f t="shared" si="1"/>
        <v>2</v>
      </c>
      <c r="E279" s="18">
        <f t="shared" si="2"/>
        <v>2</v>
      </c>
      <c r="F279" s="18">
        <f t="shared" si="3"/>
        <v>0</v>
      </c>
      <c r="G279" s="18">
        <f t="shared" si="4"/>
        <v>0</v>
      </c>
    </row>
    <row r="280">
      <c r="A280" s="1">
        <v>9.0</v>
      </c>
      <c r="B280" s="1">
        <v>8.0</v>
      </c>
      <c r="C280" s="18">
        <v>8.0</v>
      </c>
      <c r="D280" s="18">
        <f t="shared" si="1"/>
        <v>0</v>
      </c>
      <c r="E280" s="18">
        <f t="shared" si="2"/>
        <v>0</v>
      </c>
      <c r="F280" s="18">
        <f t="shared" si="3"/>
        <v>1</v>
      </c>
      <c r="G280" s="18">
        <f t="shared" si="4"/>
        <v>1</v>
      </c>
    </row>
    <row r="281">
      <c r="A281" s="1">
        <v>7.0</v>
      </c>
      <c r="B281" s="1">
        <v>6.0</v>
      </c>
      <c r="C281" s="18">
        <v>4.0</v>
      </c>
      <c r="D281" s="18">
        <f t="shared" si="1"/>
        <v>2</v>
      </c>
      <c r="E281" s="18">
        <f t="shared" si="2"/>
        <v>2</v>
      </c>
      <c r="F281" s="18">
        <f t="shared" si="3"/>
        <v>3</v>
      </c>
      <c r="G281" s="18">
        <f t="shared" si="4"/>
        <v>3</v>
      </c>
    </row>
    <row r="282">
      <c r="A282" s="1">
        <v>9.0</v>
      </c>
      <c r="B282" s="1">
        <v>7.0</v>
      </c>
      <c r="C282" s="18">
        <v>7.0</v>
      </c>
      <c r="D282" s="18">
        <f t="shared" si="1"/>
        <v>0</v>
      </c>
      <c r="E282" s="18">
        <f t="shared" si="2"/>
        <v>0</v>
      </c>
      <c r="F282" s="18">
        <f t="shared" si="3"/>
        <v>2</v>
      </c>
      <c r="G282" s="18">
        <f t="shared" si="4"/>
        <v>2</v>
      </c>
    </row>
    <row r="283">
      <c r="A283" s="1">
        <v>7.0</v>
      </c>
      <c r="B283" s="1">
        <v>6.0</v>
      </c>
      <c r="C283" s="18">
        <v>7.0</v>
      </c>
      <c r="D283" s="18">
        <f t="shared" si="1"/>
        <v>-1</v>
      </c>
      <c r="E283" s="18">
        <f t="shared" si="2"/>
        <v>1</v>
      </c>
      <c r="F283" s="18">
        <f t="shared" si="3"/>
        <v>0</v>
      </c>
      <c r="G283" s="18">
        <f t="shared" si="4"/>
        <v>0</v>
      </c>
    </row>
    <row r="284">
      <c r="A284" s="1">
        <v>8.0</v>
      </c>
      <c r="B284" s="1">
        <v>6.0</v>
      </c>
      <c r="C284" s="18">
        <v>8.0</v>
      </c>
      <c r="D284" s="18">
        <f t="shared" si="1"/>
        <v>-2</v>
      </c>
      <c r="E284" s="18">
        <f t="shared" si="2"/>
        <v>2</v>
      </c>
      <c r="F284" s="18">
        <f t="shared" si="3"/>
        <v>0</v>
      </c>
      <c r="G284" s="18">
        <f t="shared" si="4"/>
        <v>0</v>
      </c>
    </row>
    <row r="285">
      <c r="A285" s="1">
        <v>6.0</v>
      </c>
      <c r="B285" s="1">
        <v>6.0</v>
      </c>
      <c r="C285" s="18">
        <v>6.0</v>
      </c>
      <c r="D285" s="18">
        <f t="shared" si="1"/>
        <v>0</v>
      </c>
      <c r="E285" s="18">
        <f t="shared" si="2"/>
        <v>0</v>
      </c>
      <c r="F285" s="18">
        <f t="shared" si="3"/>
        <v>0</v>
      </c>
      <c r="G285" s="18">
        <f t="shared" si="4"/>
        <v>0</v>
      </c>
    </row>
    <row r="286">
      <c r="A286" s="1">
        <v>4.0</v>
      </c>
      <c r="B286" s="1">
        <v>4.0</v>
      </c>
      <c r="C286" s="18">
        <v>4.0</v>
      </c>
      <c r="D286" s="18">
        <f t="shared" si="1"/>
        <v>0</v>
      </c>
      <c r="E286" s="18">
        <f t="shared" si="2"/>
        <v>0</v>
      </c>
      <c r="F286" s="18">
        <f t="shared" si="3"/>
        <v>0</v>
      </c>
      <c r="G286" s="18">
        <f t="shared" si="4"/>
        <v>0</v>
      </c>
    </row>
    <row r="287">
      <c r="A287" s="1">
        <v>6.0</v>
      </c>
      <c r="B287" s="1">
        <v>6.0</v>
      </c>
      <c r="C287" s="18">
        <v>8.0</v>
      </c>
      <c r="D287" s="18">
        <f t="shared" si="1"/>
        <v>-2</v>
      </c>
      <c r="E287" s="18">
        <f t="shared" si="2"/>
        <v>2</v>
      </c>
      <c r="F287" s="18">
        <f t="shared" si="3"/>
        <v>-2</v>
      </c>
      <c r="G287" s="18">
        <f t="shared" si="4"/>
        <v>2</v>
      </c>
    </row>
    <row r="288">
      <c r="A288" s="1">
        <v>7.0</v>
      </c>
      <c r="B288" s="1">
        <v>6.0</v>
      </c>
      <c r="C288" s="18">
        <v>8.0</v>
      </c>
      <c r="D288" s="18">
        <f t="shared" si="1"/>
        <v>-2</v>
      </c>
      <c r="E288" s="18">
        <f t="shared" si="2"/>
        <v>2</v>
      </c>
      <c r="F288" s="18">
        <f t="shared" si="3"/>
        <v>-1</v>
      </c>
      <c r="G288" s="18">
        <f t="shared" si="4"/>
        <v>1</v>
      </c>
    </row>
    <row r="289">
      <c r="A289" s="1">
        <v>8.0</v>
      </c>
      <c r="B289" s="1">
        <v>6.0</v>
      </c>
      <c r="C289" s="18">
        <v>8.0</v>
      </c>
      <c r="D289" s="18">
        <f t="shared" si="1"/>
        <v>-2</v>
      </c>
      <c r="E289" s="18">
        <f t="shared" si="2"/>
        <v>2</v>
      </c>
      <c r="F289" s="18">
        <f t="shared" si="3"/>
        <v>0</v>
      </c>
      <c r="G289" s="18">
        <f t="shared" si="4"/>
        <v>0</v>
      </c>
    </row>
    <row r="290">
      <c r="A290" s="1">
        <v>6.0</v>
      </c>
      <c r="B290" s="1">
        <v>7.0</v>
      </c>
      <c r="C290" s="18">
        <v>7.0</v>
      </c>
      <c r="D290" s="18">
        <f t="shared" si="1"/>
        <v>0</v>
      </c>
      <c r="E290" s="18">
        <f t="shared" si="2"/>
        <v>0</v>
      </c>
      <c r="F290" s="18">
        <f t="shared" si="3"/>
        <v>-1</v>
      </c>
      <c r="G290" s="18">
        <f t="shared" si="4"/>
        <v>1</v>
      </c>
    </row>
    <row r="291">
      <c r="A291" s="1">
        <v>7.0</v>
      </c>
      <c r="B291" s="1">
        <v>7.0</v>
      </c>
      <c r="C291" s="18">
        <v>7.0</v>
      </c>
      <c r="D291" s="18">
        <f t="shared" si="1"/>
        <v>0</v>
      </c>
      <c r="E291" s="18">
        <f t="shared" si="2"/>
        <v>0</v>
      </c>
      <c r="F291" s="18">
        <f t="shared" si="3"/>
        <v>0</v>
      </c>
      <c r="G291" s="18">
        <f t="shared" si="4"/>
        <v>0</v>
      </c>
    </row>
    <row r="292">
      <c r="A292" s="1">
        <v>3.0</v>
      </c>
      <c r="B292" s="1">
        <v>4.0</v>
      </c>
      <c r="C292" s="18">
        <v>4.0</v>
      </c>
      <c r="D292" s="18">
        <f t="shared" si="1"/>
        <v>0</v>
      </c>
      <c r="E292" s="18">
        <f t="shared" si="2"/>
        <v>0</v>
      </c>
      <c r="F292" s="18">
        <f t="shared" si="3"/>
        <v>-1</v>
      </c>
      <c r="G292" s="18">
        <f t="shared" si="4"/>
        <v>1</v>
      </c>
    </row>
    <row r="293">
      <c r="A293" s="1">
        <v>7.0</v>
      </c>
      <c r="B293" s="1">
        <v>6.0</v>
      </c>
      <c r="C293" s="18">
        <v>4.0</v>
      </c>
      <c r="D293" s="18">
        <f t="shared" si="1"/>
        <v>2</v>
      </c>
      <c r="E293" s="18">
        <f t="shared" si="2"/>
        <v>2</v>
      </c>
      <c r="F293" s="18">
        <f t="shared" si="3"/>
        <v>3</v>
      </c>
      <c r="G293" s="18">
        <f t="shared" si="4"/>
        <v>3</v>
      </c>
    </row>
    <row r="294">
      <c r="A294" s="1">
        <v>5.0</v>
      </c>
      <c r="B294" s="1">
        <v>6.0</v>
      </c>
      <c r="C294" s="18">
        <v>7.0</v>
      </c>
      <c r="D294" s="18">
        <f t="shared" si="1"/>
        <v>-1</v>
      </c>
      <c r="E294" s="18">
        <f t="shared" si="2"/>
        <v>1</v>
      </c>
      <c r="F294" s="18">
        <f t="shared" si="3"/>
        <v>-2</v>
      </c>
      <c r="G294" s="18">
        <f t="shared" si="4"/>
        <v>2</v>
      </c>
    </row>
    <row r="295">
      <c r="A295" s="1">
        <v>6.0</v>
      </c>
      <c r="B295" s="1">
        <v>8.0</v>
      </c>
      <c r="C295" s="18">
        <v>8.0</v>
      </c>
      <c r="D295" s="18">
        <f t="shared" si="1"/>
        <v>0</v>
      </c>
      <c r="E295" s="18">
        <f t="shared" si="2"/>
        <v>0</v>
      </c>
      <c r="F295" s="18">
        <f t="shared" si="3"/>
        <v>-2</v>
      </c>
      <c r="G295" s="18">
        <f t="shared" si="4"/>
        <v>2</v>
      </c>
    </row>
    <row r="296">
      <c r="A296" s="1">
        <v>7.0</v>
      </c>
      <c r="B296" s="1">
        <v>6.0</v>
      </c>
      <c r="C296" s="18">
        <v>8.0</v>
      </c>
      <c r="D296" s="18">
        <f t="shared" si="1"/>
        <v>-2</v>
      </c>
      <c r="E296" s="18">
        <f t="shared" si="2"/>
        <v>2</v>
      </c>
      <c r="F296" s="18">
        <f t="shared" si="3"/>
        <v>-1</v>
      </c>
      <c r="G296" s="18">
        <f t="shared" si="4"/>
        <v>1</v>
      </c>
    </row>
    <row r="297">
      <c r="A297" s="1">
        <v>4.0</v>
      </c>
      <c r="B297" s="1">
        <v>6.0</v>
      </c>
      <c r="C297" s="18">
        <v>4.0</v>
      </c>
      <c r="D297" s="18">
        <f t="shared" si="1"/>
        <v>2</v>
      </c>
      <c r="E297" s="18">
        <f t="shared" si="2"/>
        <v>2</v>
      </c>
      <c r="F297" s="18">
        <f t="shared" si="3"/>
        <v>0</v>
      </c>
      <c r="G297" s="18">
        <f t="shared" si="4"/>
        <v>0</v>
      </c>
    </row>
    <row r="298">
      <c r="A298" s="1">
        <v>3.0</v>
      </c>
      <c r="B298" s="1">
        <v>6.0</v>
      </c>
      <c r="C298" s="18">
        <v>6.0</v>
      </c>
      <c r="D298" s="18">
        <f t="shared" si="1"/>
        <v>0</v>
      </c>
      <c r="E298" s="18">
        <f t="shared" si="2"/>
        <v>0</v>
      </c>
      <c r="F298" s="18">
        <f t="shared" si="3"/>
        <v>-3</v>
      </c>
      <c r="G298" s="18">
        <f t="shared" si="4"/>
        <v>3</v>
      </c>
    </row>
    <row r="299">
      <c r="A299" s="1">
        <v>0.0</v>
      </c>
      <c r="B299" s="1">
        <v>2.0</v>
      </c>
      <c r="C299" s="18">
        <v>0.0</v>
      </c>
      <c r="D299" s="18">
        <f t="shared" si="1"/>
        <v>2</v>
      </c>
      <c r="E299" s="18">
        <f t="shared" si="2"/>
        <v>2</v>
      </c>
      <c r="F299" s="18">
        <f t="shared" si="3"/>
        <v>0</v>
      </c>
      <c r="G299" s="18">
        <f t="shared" si="4"/>
        <v>0</v>
      </c>
    </row>
    <row r="305">
      <c r="D305" s="18">
        <f t="shared" ref="D305:F305" si="5">AVERAGE(D2:D304)</f>
        <v>-0.466442953</v>
      </c>
      <c r="E305" s="18">
        <f t="shared" si="5"/>
        <v>1.255033557</v>
      </c>
      <c r="F305" s="18">
        <f t="shared" si="5"/>
        <v>-0.110738255</v>
      </c>
      <c r="G305" s="18">
        <f>ABS(F305)</f>
        <v>0.110738255</v>
      </c>
    </row>
  </sheetData>
  <drawing r:id="rId1"/>
</worksheet>
</file>