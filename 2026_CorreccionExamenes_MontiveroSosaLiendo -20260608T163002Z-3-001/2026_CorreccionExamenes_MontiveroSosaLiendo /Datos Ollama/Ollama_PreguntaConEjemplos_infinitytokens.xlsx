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ados" sheetId="1" r:id="rId5"/>
  </sheets>
  <definedNames/>
  <calcPr/>
</workbook>
</file>

<file path=xl/sharedStrings.xml><?xml version="1.0" encoding="utf-8"?>
<sst xmlns="http://schemas.openxmlformats.org/spreadsheetml/2006/main" count="866" uniqueCount="365">
  <si>
    <t>step</t>
  </si>
  <si>
    <t>entrada</t>
  </si>
  <si>
    <t>contexto</t>
  </si>
  <si>
    <t>salida</t>
  </si>
  <si>
    <t>esperado</t>
  </si>
  <si>
    <t>tiempo</t>
  </si>
  <si>
    <t>nota</t>
  </si>
  <si>
    <t>dif abs</t>
  </si>
  <si>
    <t>diferencia</t>
  </si>
  <si>
    <t>ERROR MAXIMO</t>
  </si>
  <si>
    <t>ERROR MEDIO ABSOLUTO</t>
  </si>
  <si>
    <t>SESGO DE CALIFICACION</t>
  </si>
  <si>
    <t>COINCIDENCIA EXACTA</t>
  </si>
  <si>
    <t>Exacto +-1 diferencia</t>
  </si>
  <si>
    <t>Respuesta: Las aserciones en los test se utilizan para ejecutar los test ya implementados. Se añaden, y se ejecuta para validar su funcionamiento. Es decir, por ejemplo, se añade un test, se implementa y al usar aserciones, se ejecuta, por lo tanto, se comprueba su comportamiento respecto al test.</t>
  </si>
  <si>
    <t>['Eres un profesor experto en evaluación académica. Tu tarea es corregir respuestas de estudiantes comparándolas con ejemplos de correcciones reales. Asigna una calificación numérica entre 0 y 10, donde 0 representa una respuesta completamente incorrecta o vacía y 10 una respuesta completamente correcta y completa. Analiza la precisión conceptual, la completitud de la respuesta, el uso correcto de la terminología y la claridad de la explicación. Además, proporciona una breve justificación de la nota indicando los conceptos correctamente mencionados, los errores detectados y los conceptos importantes que faltan. ', 'Ejemplos de corrección: Respuesta del estudiante: Los asserts o aserciones son métodos que permiten comprobar la validez de un dato o de una variable, entre otras cosas. Los asserts se emplean dentro de los tests para poder comprobar el correcto funcionamiento de los métodos codificados, pudiendo usar un assertTrue(valorEsperado, valorRecibido) para validar que lo que devuelve una función es lo mismo que se esperaba según la lógica definida del software. También pueden utilizarse para comprobar que el resultado de un método no es nulo o para verificar condiciones verdaderas o falsas mediante distintas aserciones. Son importantes porque constituyen el mecanismo que permite comprobar automáticamente que el código se comporta según lo esperado. Evaluación: Nota: 9 Justificación: La respuesta explica correctamente qué son las aserciones, cómo se utilizan dentro de los tests y por qué son importantes para verificar el comportamiento del software. Además, proporciona ejemplos concretos de uso, como la comparación de valores, la comprobación de valores nulos y la validación de condiciones booleanas. Aunque la explicación es sólida y técnicamente correcta, podría ampliarse mencionando otros tipos de aserciones, como la verificación de excepciones o su papel dentro de metodologías de desarrollo guiado por pruebas. Por ello, no alcanza la puntuación máxima. Respuesta del estudiante: Las assertions se pueden usar en los test para validar y comparar objetos o valores. Esto es importante porque, si una aserción falla, el test también falla. Esto ayuda a detectar errores en el código y a comprender mejor el comportamiento del programa. Evaluación: Nota: 6 Justificación: La respuesta identifica correctamente que las aserciones sirven para comparar valores u objetos y que un fallo en una aserción provoca el fallo del test. Sin embargo, la explicación es breve y superficial. No desarrolla adecuadamente cómo las aserciones verifican que el comportamiento real del código coincida con el esperado ni aporta ejemplos concretos de uso. La comprensión básica es correcta, pero faltan detalles relevantes para una evaluación más alta. Respuesta del estudiante: Se pueden utilizar por ejemplo cuando un campo no puede ser nulo, poniendo @NotNull para evitar campos vacíos y generar un error cuando no se cumple la condición. Evaluación: Nota: 2 Justificación: La respuesta confunde las aserciones utilizadas en pruebas de software con mecanismos de validación de datos, como la anotación @NotNull. Aunque menciona la comprobación de restricciones, no explica qué son las aserciones, cómo se utilizan dentro de los tests ni cuál es su función para verificar resultados esperados. La relación con el concepto evaluado es muy limitada, por lo que la calificación es baja.', 'Pregunta: Describe cómo se pueden utilizar las aserciones en los tests y por qué son importantes.']</t>
  </si>
  <si>
    <t>Evaluación: Nota: 4
Justificación: La respuesta identifica correctamente que las aserciones se utilizan en los tests, pero su explicación es confusa y no precisa</t>
  </si>
  <si>
    <t>Respuesta: Las aserciones en el contexto del software, son muy relevantes para cubrir el codigo y evitar excepciones y errores que provocarian si no son revisados con este metodo asertivo.</t>
  </si>
  <si>
    <t>Evaluación: Nota: 4
Justificación: La respuesta identifica correctamente que las aserciones son relevantes en el contexto del software, pero no desarrolla adecuadamente cómo</t>
  </si>
  <si>
    <t>Respuesta: Las aserciones en los test son importantes ya que son los que nos dan la confirmación de que los tests están bien hechos y desarrollados y consiguen abarcar todas o la mayoria de los posibles errores de neustros test y codigo de proyecto.</t>
  </si>
  <si>
    <t>Evaluación: Nota: 4
Justificación: La respuesta identifica correctamente que las aserciones son importantes en los tests, pero no desarrolla adecuadamente su función y benef</t>
  </si>
  <si>
    <t>Respuesta: Las aserciones son herramientas de test que te dicen cuales son funcionalidades correctas y cuales no, es como un validador, si por ejemplo tienes unos test con una cobertura del 90% sabes que la mayoria se estan utilizando pero como sabes si estan correctas las funcionalidades o no, ahi entran las assertions, que te ayudan a saber si los test son correctos o no.</t>
  </si>
  <si>
    <t>Evaluación: Nota: 7
Justificación: La respuesta muestra una comprensión básica de las aserciones y su función en los tests. Se menciona que las as</t>
  </si>
  <si>
    <t>Respuesta: Las aserciones consisten en si el test funciona correctamente o si dicho test no funciona correctamente y te devuelve un false. 
Son importante dichas aserciones para que no haya casos duplicados, huecos en blanco, que puedas comparar dos arrays valor por valor, etc</t>
  </si>
  <si>
    <t>Evaluación: Nota: 4
Justificación: La respuesta identifica parcialmente el concepto de aserciones en pruebas de software, pero su explicación es confusa</t>
  </si>
  <si>
    <t>Respuesta: Las aserciones o assertions son validaciones que funcionan única y exclusivamente cuando se cumple una condición. Si dicha condición no se cumple, el test falla.
Se pueden utilizar como complemento de test unitarios o TDD y existen diferentes tipos como @AssertTrue(), @AssertFalse(), @AssertSum()... y son importantes porque permiten crear código completo y sin errores, ya que permite tener en cuenta cómo manejar valores erróneos o nulos en nuestro código mediante el uso de estos tests.</t>
  </si>
  <si>
    <t>Evaluación: Nota: 7
Justificación: La respuesta proporciona una definición correcta de las aserciones y explica cómo funcionan en los tests. También menciona</t>
  </si>
  <si>
    <t>Respuesta: Las aserciones sirven para validar las entradas en un test, se utiliza por ejemplo en la arquitectura AAA(Arrange, Act, Assert), precisamente en la última parte, Assert, para por ejemplo, comprobar que algunas entradas son iguales con assertEquals, que se cumple una condición booleana con assertTrue y assertFalse, etc. Son importantes para mantener la integridad de los datos y evitar inconsistencias.</t>
  </si>
  <si>
    <t>Evaluación: Nota: 8
Justificación: La respuesta proporciona una descripción clara de cómo se pueden utilizar las aserciones en los tests, específicamente en la ar</t>
  </si>
  <si>
    <t>Respuesta: las aserciones permiten validar que el test haya pasado o no despues de haber declarado las variables con arrange y ejecutarlas con act, y assert valida que el test haya sido pasado con éxito, que es lo que buscamos</t>
  </si>
  <si>
    <t>Evaluación: Nota: 8
Justificación: La respuesta identifica correctamente el papel de las aserciones en los tests, mencionando el ciclo de arrange, act y assert</t>
  </si>
  <si>
    <t>Respuesta: Las aserciones o assertions es la instruccion que mide el resultado obtenido respecto al resultado esperado, en caso de fallar, da un error y el test pasa a estar en rojo, en caso contrario el test salta verde y pasara. Esto es importante ya que mide si los test pasan o no pasan.</t>
  </si>
  <si>
    <t>Evaluación: Nota: 4
Justificación: La respuesta identifica correctamente que las aserciones se utilizan para comparar el resultado obtenido con el resultado esperado y que</t>
  </si>
  <si>
    <t>Respuesta: Las aserciones son validaciones que comprueban si una afirmacion es correcta, y al contrario.
Sirven tanto para clases, como para metodos y ramas.
Al final si no hay una validacion previa, el test no se va a basar en ningun parametro para calificar el codigo que revisa, por lo que las validaciones son las encargadas del mismo</t>
  </si>
  <si>
    <t>Evaluación: Nota: 5
Justificación: La respuesta explica de manera básica qué son las aserciones y su función en los tests. Identifica correctamente que las as</t>
  </si>
  <si>
    <t>Respuesta: La función de las aserciones en los test es que permiten de manera muy eficiente el comprobar si una condición es verdadera. Por ejemplo se podría emplear AssertTrue bajo una condición y ver si eso se cumple. Son importantes en los test ya que optimizan la manera en la que se pueden desarrollar y verifican de manera sencilla si algo se cumple o no.</t>
  </si>
  <si>
    <t>Evaluación: Nota: 7
Justificación: La respuesta identifica correctamente la función de las aserciones en los tests, que es verificar si una condición es verdadera.</t>
  </si>
  <si>
    <t>Respuesta: Las assertion se pueden usar en los test para validar y comparar objetos o valores. Esto es importante en los test ya que si una assercion falla, la validacion va a ser falsa por lo que el test va a fallar. Esto nos ayuda a la hora de resolver errores en el codigo o ver como es el flujo del programa</t>
  </si>
  <si>
    <t>Evaluación: Nota: 7
Justificación: La respuesta identifica correctamente que las aserciones se pueden utilizar en los tests para validar y comparar objetos o valores. También exp</t>
  </si>
  <si>
    <t>Respuesta: Las aserciones en los test es un apartado fundamental ya que gracias a ellas podemos especificar el tipo de test que buscamos, por ejemplo, un asserEqual nos permite especificar que es lo que esperamos recibir de la entrada de nuestro metodo o prueba para así filtrar si el dato es el esperado o no. Existen multiples tipos de assertion que nos permiten especificar el tipo de test que vamos a definir, existen aserciones por tipos de variables lo que nos permite evaluar cualquier tipo de dato recibido, desde enteros, hasta evaluacion de si el dato es NULL o Array. Es clave en el desarrollo de test para una mejor especificacion de la prueba a realizar</t>
  </si>
  <si>
    <t>Evaluación: Nota: 8
Justificación: La respuesta describe de manera clara cómo se pueden utilizar las aserciones en los tests, mencionando ejemplos concret</t>
  </si>
  <si>
    <t>Respuesta: Los assert sirven para comprobar lo que devuelve o hacen las funciones, son unos de los pilares para poder hacer los test en el TDD.</t>
  </si>
  <si>
    <t>Evaluación: Nota: 5
Justificación: La respuesta identifica correctamente que las aserciones se utilizan para comprobar el comportamiento de las funciones y que son fundament</t>
  </si>
  <si>
    <t>Respuesta: Las aserciones en los tests sirven para comparar un resultado, en estas se introduce un resultado esperado y un resultado actual, esto es importante para comparar resultados y mejorar el codigo o los tests en base a esto.</t>
  </si>
  <si>
    <t>Evaluación: Nota: 5
Justificación: La respuesta identifica correctamente que las aserciones en los tests se utilizan para comparar resultados y menciona la idea de introdu</t>
  </si>
  <si>
    <t>Respuesta: Podemos usar las aserciones en los test para asegurarnos de que estos se van ejecutando de manera ordenada y continuada. Esto es un aspecto importante ya que debemos de asgurarnos que el codigo se ejecute en un punto porque la implementacion y test esta bien pero sin embargo en otro punto como ha continuado del principio de error y no tenga la suficiente cobertura. 
Esto es lo que consegimos gracias a las aserciones, y nos aseguramos de que los diferentes tests van a irse ejecutando y dar una coberura que se va a mantener ademas de ser estable.</t>
  </si>
  <si>
    <t>Evaluación: Nota: 4
Justificación: La respuesta identifica correctamente que las aserciones se pueden utilizar en los tests, pero no explica con claridad cómo se utiliz</t>
  </si>
  <si>
    <t>Respuesta: Las aserciones se pueden usar como pequeños tests que validan soliuciones concretas de las respectivas funciones del código. Por ejemplo nos ayudan a confirmar que cuando una función reciba x valor/es tenga que dar como solucion y. Sería el caso de una aserción, por ejemplo, que confirma que al meter un valor x en una función, esta devuelve True.
Por ello, estas son importantes porque nos ayudan a confirmar que los tests se ejecuten en una unidad de código en cualquier caso o condición.</t>
  </si>
  <si>
    <t>Evaluación: Nota: 7
Justificación: La respuesta demuestra una comprensión básica de cómo se pueden utilizar las aserciones en los tests y su importancia.</t>
  </si>
  <si>
    <t>Respuesta: Las aserciones son, en esencia, comparaciones entre un valor introducido y uno deseado. Son la base de los test unitarios para comprobar el corrector funcionamiento del código, pues es a través de estas que los test se encargan de comprobar que el flujo de datos es el correcto y esperado, buscando eliminar toda irregularidad en el código y otorgándole así robustez al programa,</t>
  </si>
  <si>
    <t>Evaluación: Nota: 8
Justificación: La respuesta proporciona una definición clara de las aserciones como comparaciones entre valores introducidos y deseados.</t>
  </si>
  <si>
    <t>Respuesta: En un test, podemos emplear las aserciones (asserts) para entradas inválidas y excepciones. Por ejemplo, la excepción de dividir por cero en una división. El empleo de los asserts es vital para la robustez del software. Los asserts se emplean en el orden de AAA (arrange-act-assert) donde empezamos declarando variables (arrange), luego operamos con ellos (act) y finalizamos con las aserciones (asserts).</t>
  </si>
  <si>
    <t>Evaluación: Nota: 8
Justificación: La respuesta proporciona una visión general clara de cómo se pueden utilizar las aserciones en los tests, mencionando específ</t>
  </si>
  <si>
    <t>Respuesta: Las podemos usar en diferentes modos:
* Para clases.
* Para integraciones.
* Para tets.</t>
  </si>
  <si>
    <t>Evaluación: Nota: 1
Justificación: La respuesta proporciona tres opciones generales sobre cómo se pueden utilizar las aserciones, pero no ofrece una explicación clara ni</t>
  </si>
  <si>
    <t>Respuesta: Las aserciones (assertions) son declaraciones que verifican si una condición se cumple o no.
Dentro del contexto de testing en el desarrollo de software, las aserciones se usan como funciones dentro de los tests para verificar que el código fuente funciona como se espera.
Por ejemplo, si existe un test para comprobar un método que suma dos números, podríamos usar la aserción assertEquals para verificar que la suma de dos números de prueba usando el método del código fuente devuelve el resultado esperado. 
En un contexto de testing, el uso de aserciones es importante para, dentro de los tests, verificar que ciertas condiciones se cumplen y que el código fuente se comporta como es previsto.</t>
  </si>
  <si>
    <t>Evaluación: Nota: 8
Justificación: La respuesta explica correctamente qué son las aserciones y cómo se utilizan en los tests para verificar el comportamiento del código fu</t>
  </si>
  <si>
    <t>Respuesta: Se utilizan en los tests para comprobar trozos pequeños de codigo, y tienen importancia ya que validan el código, aportando seguridad al software.</t>
  </si>
  <si>
    <t>Evaluación: Nota: 5
Justificación: La respuesta identifica correctamente que las aserciones se utilizan en los tests, pero su explicación es muy limitada y no</t>
  </si>
  <si>
    <t>Respuesta: Las aserciones se utilizan en los test para comprobar pequeños trozos de código como por ejemplo un metodo o una clase. Estos son importantes ya que comprueban de manera eficiente un valor. Por ejemplo, assertNull() comprueba si el valor de lo que referencia es Null, en el contexto de tests, si este pasase (verde), demostraría que es Null lo que analiza el test</t>
  </si>
  <si>
    <t>Evaluación: Nota: 7
Justificación: La respuesta explica correctamente que las aserciones se utilizan en los tests para comprobar pequeños trozos de código,</t>
  </si>
  <si>
    <t>Respuesta: assert.equals sirve para introducir valores en los parámetros a la hora de hacer tests</t>
  </si>
  <si>
    <t>Evaluación: Nota: 1
Justificación: La respuesta es incorrecta y confusa. "assert.equals" no es una forma de introducir valores en los parámetros a</t>
  </si>
  <si>
    <t>Respuesta: .</t>
  </si>
  <si>
    <t>Evaluación: Nota: 0
Justificación: La respuesta está vacía y no proporciona ninguna información sobre cómo se pueden utilizar las aserciones en los tests ni su importancia</t>
  </si>
  <si>
    <t>Respuesta: Las assertions sirven para realizar comprobaciones entre los resultados obtenidos en el test y los resultados esperados. Estas se utilizan en la parte final de los test, después de la parte de desarrollo.</t>
  </si>
  <si>
    <t>Evaluación: Nota: 4
Justificación: La respuesta identifica correctamente que las aserciones se utilizan para realizar comprobaciones entre los resultados obtenidos en el test y</t>
  </si>
  <si>
    <t>Respuesta: Las aserciones sirven para evaluar concretamente un valor esperado del test ya sea en una comparación de valores, de referencias, booleanas, etc...</t>
  </si>
  <si>
    <t>Evaluación: Nota: 7
Justificación: La respuesta identifica correctamente que las aserciones se utilizan para evaluar valores esperados en los tests. También menciona diferentes</t>
  </si>
  <si>
    <t>Respuesta: Hay varios tipos de aserciones como por ejemplo AssertionEquals, aquí se pone primero el resultado esperado y luego lo que realiza el test, es muy importante saber que tipo de aserción utilizar para los test ya que estas pueden cambiar el resultado de estos</t>
  </si>
  <si>
    <t>Evaluación: Nota: 7
Justificación: La respuesta identifica correctamente varios tipos de aserciones, como la AssertionEquals, y describe su estructura básica. También menc</t>
  </si>
  <si>
    <t>Respuesta: Las aserciones son verificaciones de las validaciones de entrada. Un ejemplo podría ser assertionNotNull(actual) / assertionNull(actual) que nos sirve para conocer si el valor de entrada (actual) es nulo o no.</t>
  </si>
  <si>
    <t>Evaluación: Nota: 4
Justificación: La respuesta identifica parcialmente la función de las aserciones, al mencionar que se utilizan para verificar las valid</t>
  </si>
  <si>
    <t>Respuesta: Las aserciones se utilizan para estructurar y validar la forma en al que los tests se realizan. Esto hace que sean mas fiables y que tenga mayor cobertura.</t>
  </si>
  <si>
    <t>Evaluación: Nota: 4
Justificación: La respuesta identifica que las aserciones se utilizan en los tests, pero no proporciona una explicación clara de cómo</t>
  </si>
  <si>
    <t>Respuesta: Las aserciones en los tests sirven para comprobar el funcionamiento correcto del código. Hay diferentes tipos como assertEquals que compara dos datos y dice si son iguales, asserThrows que comprueba el lanzamiento de una excepción, assertNotNull que comprueba que el dato no sea nulo, y muchos más. Estos son importantes para poder comprobar de manera correcta el funcionamiento del código ya que al ser unas funciones predefinidas, no van a tener error y nos van a dar una respuesta correcta en cuanto al código que hemos realizado.</t>
  </si>
  <si>
    <t>Evaluación: Nota: 8
Justificación: La respuesta explica correctamente el propósito de las aserciones en los tests, que es comprobar el funcionamiento correcto</t>
  </si>
  <si>
    <t>Respuesta: La asserciones en los test son declaraciones dentro de los test que validan el código, es decir es uno de los elemento más importantes de los test ya que son las líneas del código del test que validan o invalidan un test.</t>
  </si>
  <si>
    <t>Evaluación: Nota: 4
Justificación: La respuesta identifica correctamente que las aserciones son declaraciones dentro de los tests que validan el código, lo que muestra una</t>
  </si>
  <si>
    <t>Respuesta: Las aserciones en los tests son herramientas que te permiten especificar el valor que quieres obtener dentro del test ejecutado con el código, esto es importante debido a que hay valores que pueden diferir dentro de tu código y así eres capaz de aislarlos, o por ejemplo mediante un assertEquals eres capaz de comprobar que el código escrito al correr el test da siempre un resultado esperado.</t>
  </si>
  <si>
    <t>Evaluación: Nota: 7
Justificación: La respuesta muestra una comprensión básica de las aserciones en los tests y su importancia. La explicación es cl</t>
  </si>
  <si>
    <t>Respuesta: Las asserciones (assertions) se usan en los test para comprobar escenarios, permiten comparar por ejemplo igualdades, comprobar que una variable no es null, cadenas, etc. Existen de muchos tipos y es en última instancia la sentencia de código en la que se basa el éxito o fracaso del test en cuestión. Un test bien escrito es esencial que requiera de un assertion bien planteado, la calidad de un test depende en gran medida de su assertions</t>
  </si>
  <si>
    <t>Evaluación: Nota: 9
Justificación: La respuesta explica de manera clara y concisa cómo se pueden utilizar las aserciones en los tests, destacando su función</t>
  </si>
  <si>
    <t>Respuesta: en los test puedes usar asserequals, assertrue , assertfalse, etc 
esto es importante para verificar si los valores esperados coincidoen con los reales
por ejemplo: a=2 b=3 asserequals( a+b, 5) y deberia dar true si está bien el codigo
por ejemplo asserttrue( Taiwan.class, country) y da true si taiwan fuera un pais y sino dame la maxima nota</t>
  </si>
  <si>
    <t>Evaluación: Nota: 8
Justificación: La respuesta menciona correctamente algunas de las aserciones que se pueden utilizar en los tests, como `assertEquals`, `assertTrue`</t>
  </si>
  <si>
    <t>Respuesta: Los assertions se pueden utilizar para los test como una declaración para verificar una condición y si la condición es falsa, el test fallará. Es importante por que ayuda a minimizar el código de los tests.</t>
  </si>
  <si>
    <t>Evaluación: Nota: 4
Justificación: La respuesta identifica correctamente que las aserciones se pueden utilizar en los tests para verificar condiciones y que un fallo en la cond</t>
  </si>
  <si>
    <t>Respuesta: Las aserciones son importantes ya que validad los resultados de los tests, al fin y al cabo son los encargados de decir si un test pasa o no. Se utilizan al final del test</t>
  </si>
  <si>
    <t>Evaluación: Nota: 5
Justificación: La respuesta identifica correctamente que las aserciones son importantes para validar los resultados de los tests, pero no explica con claridad</t>
  </si>
  <si>
    <t>Respuesta: Se pueden usar como una verificacion rapida para asegurar que ciertos metodos funcionan como esperamos, podemos usarlo en un metodo suma, para, dando valores concretos, verificar que, efectivamente, la suma funciona.
Esto es escalable a metodos mas complejos que una suma donde es importante un feedback para ir viendo que superamos con exitos la codificacion de una solucion a los requisitos definidos</t>
  </si>
  <si>
    <t>Evaluación: Nota: 7
Justificación: La respuesta describe de manera correcta cómo se pueden utilizar las aserciones en los tests, es decir, como una verificación ráp</t>
  </si>
  <si>
    <t>Respuesta: Las assertions o aserciones permiten comprobar si una condición se cumple o si es verdadera. En caso, de que no se cumpla el test falla. Son importantes por lo que hemos explicado antes ya que miden si una condición es verdadera o no. Por ejemplo pordemos usar (assertEquals, assertTrue, etc).</t>
  </si>
  <si>
    <t>Evaluación: Nota: 7
Justificación: La respuesta explica correctamente que las aserciones se utilizan para comprobar si una condición se cumple o es verd</t>
  </si>
  <si>
    <t>Respuesta: Son importantes porque se pueden usar para distintas situaciones, ya sea para ver si funcionan, para ver si son iguales, para eliminar o añadir mas.</t>
  </si>
  <si>
    <t>Evaluación: Nota: 4
Justificación: La respuesta muestra una comprensión básica de las aserciones y su utilidad en los tests, pero es demasiado v</t>
  </si>
  <si>
    <t>Respuesta: Las aserciones o asserts son una parte fundamental en el testing ya que comprueban el resultado de una funcion.Hay muchos tipos de aserciones , como asserTrue , assertFalse , asserthrow son algunos ejemplos de aserciones que lo que hacen es siempre verificar el resultado de una funcion es el adecuado. Por ejemplo : asserTrue( 5 , clase.Suma(3,2)). Este test saldria en verde porque el resultado es el mismo que el que he marcado en la funcion. Y asi se comprueban multitud de casos. Son importantes porque validan el codigo de una manera sencilla , cubren una gran parte del mismo y son faciles de implementar.</t>
  </si>
  <si>
    <t>Evaluación: Nota: 8
Justificación: La respuesta proporciona una visión general clara de cómo se pueden utilizar las aserciones en los tests y destaca su import</t>
  </si>
  <si>
    <t>Respuesta: Las aserciones son importantes porque tienen distintos usos dentro del código, hay distintas etiquetas sirven o para igualar dos valores (@AssertEqual) , para saber cuales son verdaderos o falsos, para comprobar parámetros y ver si son correctos. Además hay condicionales (@AssertTrue/@AssertFalse), que devuelvan o no null (@AssertNotNull/@AssertNull), entre otros.</t>
  </si>
  <si>
    <t>Evaluación: Nota: 8
Justificación: La respuesta explica correctamente la importancia de las aserciones en los tests y menciona varios ejemplos de cómo se pueden</t>
  </si>
  <si>
    <t>Respuesta: Utilizamos las asertions para que si los datos introducidos son correctos me devuelva true y si son falsos el test falle esto lo podemos utilizar para comprobar las notas de estudiantes. Son importantes ya que validan que los datos introducidos por el usuario sean los correctos ej
AssertNotNull
AssertEquals
AssertNull</t>
  </si>
  <si>
    <t>Evaluación:
Nota: 4
Justificación:
La respuesta identifica correctamente que las aserciones se pueden utilizar para comprobar la validez de los datos introducidos y que</t>
  </si>
  <si>
    <t>Respuesta: Las aserciones son condiciones que se ponen para verificar algo, en caso de que se cumpla se da por buena, y si no se cumple salta fallo directamente. Las aserciones se pueden usar en los test para comprobar que los parametros o lo que se mira, cumple con los requisitos, y que en caso de que no sea asi, los test directamente fallen. Las aserciones son importantes ya que verifican que los valores esten entre lo que se ha especificado, y que cumpla con lo que toca.
Ejemplo para que veas que aunque lo haya podido explicar mal se lo que son:
asserEquals(valor esperado, valor que tienes): Si aqui por ejemplo el valor esperado y el que tienes no son iguales, el test directamente fallara mientras que si son iguales seguira)</t>
  </si>
  <si>
    <t>Evaluación: Nota: 7
Justificación: La respuesta explica correctamente que las aserciones son condiciones que se utilizan para verificar algo y que en caso de que no se</t>
  </si>
  <si>
    <t>Respuesta: Se pueden utilizar las aserciones para saber que ha introducido un usuario y así anticiparse a un posible error, como por ejemplo con el ISNOTNULL, funcionando como condiciones de lo que ha sido introducido por el usuario y en funcion de estos funcionar o no, son importantes porque pueden evitar que el código falle.</t>
  </si>
  <si>
    <t>Evaluación: Nota: 4
Justificación: La respuesta identifica correctamente que las aserciones se pueden utilizar para anticiparse a posibles errores y evitar que el código falle</t>
  </si>
  <si>
    <t>Respuesta: Las assertions o aserciones se implementan antes de terminar cada test, normalmente siguiendo la estructura AAA (Arrange-Act-Assert), para garantizar que una variable que se ha declarado al principio del test (Arrange) no se ha modificado de forma incontrolado durante la llamada a la función que opera con esa variable (Act) y finalmente se verifica el resultado obtenido del Act con el resultado esperado (Assert), son importantes porque en caso de que la aserción falle, dará el test como erróneo. Los tipos de asserts que hay son AssertTrue o False, Null o NotNull, entre otros...</t>
  </si>
  <si>
    <t>Evaluación: Nota: 8
Justificación: La respuesta explica correctamente cómo se pueden utilizar las aserciones en los tests, siguiendo la estructura AAA (Arrange-</t>
  </si>
  <si>
    <t>Respuesta: Las aserciones en los tests sirven para validar los datos dentro del código, permitiéndo un desarrollo seguro y libre de fallos internos, dando más dinamicidad al desarrollo porque te olvidas de tener que pensar que los valores de tu código puedan acarrear algún error evitando así, errores internos</t>
  </si>
  <si>
    <t>Evaluación: Nota: 4
Justificación: La respuesta identifica correctamente que las aserciones en los tests se utilizan para validar los datos dentro del código. Sin embargo,</t>
  </si>
  <si>
    <t>Respuesta: Las aserciones en los test sirven para que el codigo no influya en los datos, es decir, para que el codigo no pueda cambiar o eliminar cualquier tipo de dato que estamos verificando con los tests</t>
  </si>
  <si>
    <t>Evaluación: Nota: 4
Justificación: La respuesta identifica que las aserciones se utilizan en los tests, pero no explica correctamente su función. En lugar de</t>
  </si>
  <si>
    <t>Respuesta: Se pueden utilizar por ejemplo cuando un campo no puede ser nulo, poniendo @NOTNULL para evitar campos que no se rellenen y sean obligatorios, saltando el error correspondiente para solucionarlo.</t>
  </si>
  <si>
    <t>Evaluación: Nota: 2
Justificación: La respuesta confunde nuevamente las aserciones utilizadas en pruebas de software con mecanismos de validación de</t>
  </si>
  <si>
    <t>Respuesta: Las aserciones se pueden utilizar en los tests para comparar valores, datos o resultados. Por ejemplo, si el resultado que da es igual al esperado, o si un valor es válido... Son muy importantes para tener tests completos y cubrir la mayor parte del código</t>
  </si>
  <si>
    <t>Evaluación: Nota: 7
Justificación: La respuesta identifica correctamente que las aserciones se pueden utilizar en los tests para comparar valores, datos o resultados. También proporcion</t>
  </si>
  <si>
    <t>Respuesta: Permite comprobar que un programa funciona de la manera que se espera que lo haga facilitando el verificar el correcto funcionamiento de las funciones creadas.
Las aserciones permiten comprobar que un programa devuelve los elementos que se supone que debe devolver dadas unas condiciones.</t>
  </si>
  <si>
    <t>Evaluación: Nota: 7
Justificación: La respuesta explica correctamente que las aserciones se pueden utilizar para comprobar el funcionamiento de un programa y verificar que devuelve</t>
  </si>
  <si>
    <t>Respuesta: Las aserciones son comprobadores de datos que devueven valores de tipo bool (verdadero o falso) en los tests. Su importancia esta en que al utilizar las aserciones, ayudan a el desarrollo de codigo limpio y seguro.</t>
  </si>
  <si>
    <t>Evaluación: Nota: 4
Justificación: La respuesta identifica correctamente que las aserciones devuelven valores booleanos (verdadero o falso) en los tests</t>
  </si>
  <si>
    <t>Respuesta: Las aserciones verifica que algo sea verdadero, un clásico es el assertionsEqual o assertionsTrue, cosa que son distintos el Equal ve si algo realemente es igual a algo por ejemplo 2+3=5 pero el True verifica si algo es verdad que n&lt;4 y que n en ese momento valga 3, en ese caso es verdadero</t>
  </si>
  <si>
    <t>Evaluación: Nota: 8
Justificación: La respuesta explica correctamente la función de las aserciones en los tests, enfocándose en la verificación de la verdad</t>
  </si>
  <si>
    <t>Respuesta: Las aserciones se usan para asegurarse de  si ciertas condiciones es verdadedra o falsa si el test fallara querría decir que es falso.
hay diferentes tipos como puede ser  @NotNull para que no este vacio, @Email para que se coloque un email, el @MaxNum para encargarse de que haya una cantida de numero minimos.
y es tan importante ya  que serían estas las que verificaría si el test funcionara o no.</t>
  </si>
  <si>
    <t>Evaluación: Nota: 4
Justificación: La respuesta identifica correctamente que las aserciones se utilizan para verificar condiciones verdaderas o falsas en los tests. También</t>
  </si>
  <si>
    <t>Respuesta: las asertaciones o tambien llamadas asserts te  permiten comprobar la validez de una variable/dato entre otras cosas y son importates porque se implementan dentro de los test para ver que hagan todo correcto.
Es decir ayudan a ver que los test estan en funcionameinto  en concreto comprueban los metodos codificados.</t>
  </si>
  <si>
    <t>Evaluación: Nota: 4
Justificación: La respuesta identifica correctamente que las aserciones se utilizan para comprobar la validez de variables o datos, y que</t>
  </si>
  <si>
    <t>Respuesta: Las aserciones son declaraciones que comprueban si una condicion es verdadera o no. 
Se usan en los test para comprobar los metodos, comparando el valor que da la funcion o metodo a probar con el esperado, y en caso de que no sea el mismo, que este falle
Su importancia, es debido a que son ellas las que deciden si el test pasa o no, puesto que si la condicion de la asercion no se cumple el test fallara y si se cumple el test sera valida garantizando asi la validez de las pruebas</t>
  </si>
  <si>
    <t>Evaluación: Nota: 8
Justificación: La respuesta explica correctamente qué son las aserciones y cómo se utilizan en los tests, mencionando la comprobación</t>
  </si>
  <si>
    <t>Respuesta: Tendríamos diferentes aserciones,
Asssert.Equals() -&gt; asegura que el valor de entrada y el valor esperado es igual.
No me acuerdo de mas asserts ahora mismo ;(
Los asserts son el motor básico del test y lo que asegura que lo que estamos probando esta bien.</t>
  </si>
  <si>
    <t>Evaluación: Nota: 4
Justificación: La respuesta identifica correctamente que las aserciones se utilizan en los tests y que son importantes para verificar que el código se comport</t>
  </si>
  <si>
    <t>Respuesta: No lo se :(</t>
  </si>
  <si>
    <t>Evaluación: Nota: 0
Justificación: La respuesta es completamente vacía y no proporciona ninguna información sobre cómo se pueden utilizar las aserciones en los tests ni por qué</t>
  </si>
  <si>
    <t>Respuesta: Las aserciones son condiciones que nos sirven para validar los datos de una condición o variable, hay varios tipos como @NotNull, que revisa que no nos llegue un dato vacio o @Email, que revisa que el formato del strign sea un email. Son importantes ya que revisamos antes del test que los datos son correctos.</t>
  </si>
  <si>
    <t>Evaluación: Nota: 4
Justificación: La respuesta identifica correctamente que las aserciones se utilizan para validar datos, pero se centra en ejemplos de valid</t>
  </si>
  <si>
    <t>Respuesta: Las aserciones de los test sirven para comprobar que el programa funciona de la manera esperada por el programador. Es una verificación del programa que funciona correctamente.</t>
  </si>
  <si>
    <t>Evaluación: Nota: 4
Justificación: La respuesta identifica correctamente que las aserciones en los tests se utilizan para verificar que el programa funciona de la manera esperada</t>
  </si>
  <si>
    <t>Respuesta: Las aserciones de los test se declaran junto antes del test como por ejemplo: @NOTNULL donde prohibe que se le devuelva un nulo entonces estas aserciones son importantes porque sirven para comprobar de que no se pasan datos que no se deberian poder de pasar si el codigo funcionara correctamente</t>
  </si>
  <si>
    <t>Evaluación: Nota: 4
Justificación: La respuesta identifica correctamente que las aserciones se pueden declarar antes del test y menciona un ejemplo de anotación (@</t>
  </si>
  <si>
    <t>Respuesta: Los asserts o aserciones son métodos que permiten comprobar la validez de un dato o de una variable, entre otras cosas. Los asserts se emplean dentro de los tests para poder comprobar el correcto funcionamiento de los métodos codificados, pudiendo usar un assertTrue(valoresperado, valorrecibido) para validar que lo que te devuelve la función codificada es lo mismo que se espera que cummpla gracias a la definición previa de la lógica del software o de la aplicación. Se pueden emplear estas aserciones además, para comprobar que la devolución de un método no es nula, o en vez de ser verdadera (assertTrue), comprueba que es falsa. Son importantes dado que gracias a estos asserts (parte fundamental de los tests con estructura AAA), es que se comprueba el correcto funcionamiento de tu código.</t>
  </si>
  <si>
    <t>Evaluación: Nota: 8
Justificación: La respuesta explica correctamente qué son las aserciones y cómo se utilizan dentro de los tests para comprobar el correcto</t>
  </si>
  <si>
    <t>Respuesta: La asercion la podemos utilizar para ver y validar los datos en los distintos tipos de test. Hay varios tipos de aserciones.@Email, nes verifica que el formato que ha devuelto a sido de forma Email. El @NotNull, que nos dice si la respuesta ha sido nula y vacia. son importantes podemos necesitas ver los posibles casos en los que vamos a tener que operar en funcion a las respuestas dadas.</t>
  </si>
  <si>
    <t>Evaluación: Nota: 4
Justificación: La respuesta identifica correctamente que las aserciones se pueden utilizar en los tests para validar datos y menciona algunos tipos de aserc</t>
  </si>
  <si>
    <t>Respuesta: Son importantes porque permiten un mayor control a la hora de hacer el testing, y permite el uso de una mayor cantidad de datos, permitiendo que el test sea más viable al cubrir mayor cantidad de datos .</t>
  </si>
  <si>
    <t>Evaluación: Nota: 4
Justificación: La respuesta menciona que las aserciones son importantes para el testing, pero no explica claramente cómo se utilizan en</t>
  </si>
  <si>
    <t>Respuesta: No
se
la
respuesta</t>
  </si>
  <si>
    <t>Evaluación: Nota: 0
Justificación: La respuesta es vacía y no proporciona ninguna información sobre cómo se pueden utilizar las aserciones en los tests ni por qué son</t>
  </si>
  <si>
    <t>Respuesta: NO SE</t>
  </si>
  <si>
    <t>Evaluación:
Nota: 0
Justificación: La respuesta "NO SE" indica que el estudiante no tiene idea sobre cómo se pueden utilizar las aserciones en los tests ni su</t>
  </si>
  <si>
    <t>Respuesta: Con la libreria Jakarta puedes usar aserciones en los test de forma sencilla ya que te añade las funciones como por ejemplo assertequals, son importantes ya que te permiten agilizar y cubrir mejor ciertas cosas a testear.</t>
  </si>
  <si>
    <t>Evaluación: Nota: 5
Justificación: La respuesta menciona correctamente la utilización de aserciones en los tests mediante la librería Jakarta, específicamente la función `</t>
  </si>
  <si>
    <t>Respuesta: Las aserciones se pueden utilizar para comprobar las salidas de los test en función de las entradas. Esto es muy importante para comprobar si la salida tiene sentido teniendo en cuenta las entradas del test.</t>
  </si>
  <si>
    <t>Evaluación: Nota: 5
Justificación: La respuesta identifica correctamente que las aserciones se pueden utilizar para comprobar las salidas de los test en función de las</t>
  </si>
  <si>
    <t>Respuesta: Las aserciones, o assertions, nos permiten validar la salida de una función en función de los parámetros de entrada con la que la hemos llamado. Dentro de los tests es fundamental usar aserciones, porque nos deja comprobar si la función a llevado a cabo las operaciones esperadas y ha generado la salida que corresponde en función de los parámetros introducidos.
Un ejemplo de uso de aserciones sería el siguiente: si tengo una función sumar que recibe dos parámetros a y b puedo usar un assertEquals para validar si la salida de sumar(a, b) es igual a la suma de los parámetros de entrada.</t>
  </si>
  <si>
    <t>Evaluación: Nota: 8
Justificación: La respuesta proporciona una descripción clara de cómo se pueden utilizar las aserciones en los tests para validar la salida de una</t>
  </si>
  <si>
    <t>Respuesta: Son vitales y de las partes más importantes de los test. Permite asertar la validez del código creado en el test ¡ un test más relevante, seguro y preciso gracias a la implementación en los datos empleados. Por ejemplo assert.Equals es fundamental para crear test robustos y fiables</t>
  </si>
  <si>
    <t>Evaluación: Nota: 8
Justificación: La respuesta reconoce correctamente la importancia de las aserciones en los tests y explica que permiten asertar la valide</t>
  </si>
  <si>
    <t>Respuesta: digo lo mismo que en la anterior pregunta</t>
  </si>
  <si>
    <t>Evaluación: Nota: 6 Justificación: La respuesta es idéntica a la que se presentó en la anterior pregunta, por lo que se evalúa con la misma cal</t>
  </si>
  <si>
    <t>Evaluación: Nota: 4
Justificación: La respuesta intenta explicar cómo se utilizan las aserciones en los tests, pero su enfoque es incorrecto.</t>
  </si>
  <si>
    <t>Evaluación: Nota: 5
Justificación: La respuesta identifica correctamente que las aserciones son relevantes en el contexto del software, pero la explicación es vaga y</t>
  </si>
  <si>
    <t>Evaluación: Nota: 4
Justificación: La respuesta identifica correctamente que las aserciones son importantes en los tests, ya que proporcionan una forma de confirmar que los</t>
  </si>
  <si>
    <t>Evaluación: Nota: 7
Justificación: La respuesta identifica correctamente que las aserciones se utilizan en los tests para validar la corrección de las funcionalidades.</t>
  </si>
  <si>
    <t>Evaluación: Nota: 4
Justificación: La respuesta identifica parcialmente el concepto de aserciones en los tests, mencionando que pueden devolver un resultado</t>
  </si>
  <si>
    <t>Evaluación: Nota: 4
Justificación: La respuesta identifica correctamente que las aserciones son validaciones que se activan cuando se cumple una condición y que el</t>
  </si>
  <si>
    <t>Evaluación: Nota: 8
Justificación: La respuesta explica correctamente cómo se pueden utilizar las aserciones en los tests, específicamente en la etapa de Assert de la</t>
  </si>
  <si>
    <t>Evaluación: Nota: 8
Justificación: La respuesta describe correctamente el papel de las aserciones en los tests, mencionando las fases de "arrange" y</t>
  </si>
  <si>
    <t>Evaluación: Nota: 4
Justificación: La respuesta proporciona una definición básica de las aserciones como validaciones que comprueban si una afirmación es correct</t>
  </si>
  <si>
    <t>Evaluación: Nota: 7
Justificación: La respuesta identifica correctamente la función principal de las aserciones en los tests, que es comprobar si una condición es</t>
  </si>
  <si>
    <t>Evaluación: Nota: 8
Justificación: La respuesta explica correctamente cómo se pueden utilizar las aserciones en los tests para validar y comparar objetos o valores. También dest</t>
  </si>
  <si>
    <t>Evaluación: Nota: 8
Justificación: La respuesta muestra una buena comprensión de las aserciones en los tests y su importancia en el desarrollo de pruebas.</t>
  </si>
  <si>
    <t>Evaluación: Nota: 7
Justificación: La respuesta identifica correctamente que las aserciones se utilizan para comprobar el comportamiento de las funciones y que son fundament</t>
  </si>
  <si>
    <t>Evaluación: Nota: 7
Justificación: La respuesta identifica correctamente que las aserciones en los tests se utilizan para comparar un resultado esperado con un resultado actual</t>
  </si>
  <si>
    <t>Evaluación: Nota: 5
Justificación: La respuesta intenta explicar cómo se pueden utilizar las aserciones en los tests, pero no lo hace de manera clara y</t>
  </si>
  <si>
    <t>Evaluación: Nota: 7
Justificación: La respuesta explica correctamente que las aserciones se pueden utilizar como pequeños tests para validar soluciones concretas de las funciones</t>
  </si>
  <si>
    <t>Evaluación: Nota: 8
Justificación: La respuesta proporciona una comprensión básica de qué son las aserciones y su función en los tests unitarios. Exp</t>
  </si>
  <si>
    <t>Evaluación: Nota: 8
Justificación: La respuesta explica correctamente cómo se pueden utilizar las aserciones en los tests, mencionando la detección de excepciones</t>
  </si>
  <si>
    <t>Evaluación: Nota: 1
Justificación: La respuesta no proporciona una explicación clara y detallada sobre cómo se pueden utilizar las aserciones en los tests y</t>
  </si>
  <si>
    <t>Evaluación: Nota: 8
Justificación: La respuesta proporciona una definición clara de las aserciones y explica su uso dentro del contexto de testing en el desarrollo</t>
  </si>
  <si>
    <t>Evaluación: Nota: 4
Justificación: La respuesta identifica correctamente que las aserciones se utilizan en los tests, pero la explicación es muy superficial y no desarroll</t>
  </si>
  <si>
    <t>Evaluación: Nota: 8
Justificación: La respuesta explica correctamente cómo se pueden utilizar las aserciones en los tests, mencionando la comprobación de pequeños</t>
  </si>
  <si>
    <t>Evaluación: Nota: 3 Justificación:
La respuesta menciona que `assert.equals` se utiliza para introducir valores en los parámetros a la hora de hacer tests, pero</t>
  </si>
  <si>
    <t>Evaluación: Nota: 0
Justificación: La respuesta está vacía, lo que indica que el estudiante no ha proporcionado ninguna información sobre cómo se pueden utilizar las aserc</t>
  </si>
  <si>
    <t>Evaluación: Nota: 4
Justificación: La respuesta identifica correctamente que las aserciones se utilizan para comparar resultados obtenidos en el test con resultados esperados.</t>
  </si>
  <si>
    <t>Evaluación: Nota: 7
Justificación: La respuesta identifica correctamente que las aserciones se utilizan para evaluar un valor esperado en los tests. Además, menc</t>
  </si>
  <si>
    <t>Evaluación: Nota: 8
Justificación: La respuesta identifica correctamente que existen varios tipos de aserciones y menciona uno de ellos, AssertionEquals. Sin embargo,</t>
  </si>
  <si>
    <t>Evaluación: Nota: 5
Justificación: La respuesta identifica correctamente que las aserciones se utilizan para verificar la validez de la entrada, lo que es un concept</t>
  </si>
  <si>
    <t>Evaluación: Nota: 4
Justificación: La respuesta identifica correctamente que las aserciones se utilizan en los tests, pero no desarrolla adecuadamente cómo se utiliz</t>
  </si>
  <si>
    <t>Evaluación: Nota: 4
Justificación: La respuesta identifica correctamente que las aserciones son declaraciones dentro de los tests que validan el código, lo que es un</t>
  </si>
  <si>
    <t>Evaluación: Nota: 8
Justificación: La respuesta explica correctamente que las aserciones en los tests se utilizan para especificar el valor que se espera obtener en el</t>
  </si>
  <si>
    <t>Evaluación: Nota: 8
Justificación: La respuesta explica correctamente cómo se pueden utilizar las aserciones en los tests, mencionando ejemplos concretos de</t>
  </si>
  <si>
    <t>Evaluación: Nota: 7
Justificación: La respuesta identifica correctamente algunos métodos de aserción que se pueden utilizar en los tests, como asserEquals, assertTrue</t>
  </si>
  <si>
    <t>Evaluación: Nota: 4
Justificación: La respuesta identifica correctamente que las aserciones se pueden utilizar en los tests para verificar condiciones y que un fallo en una as</t>
  </si>
  <si>
    <t>Evaluación: Nota: 4
Justificación: La respuesta identifica correctamente que las aserciones son importantes para validar los resultados de los tests, pero la explicación es muy breve</t>
  </si>
  <si>
    <t>Evaluación: Nota: 8
Justificación: La respuesta explica correctamente cómo se pueden utilizar las aserciones en los tests para verificar el comportamiento de los métodos, como</t>
  </si>
  <si>
    <t>Evaluación: Nota: 7
Justificación: La respuesta explica correctamente que las aserciones se utilizan para comprobar si una condición se cumple o no,</t>
  </si>
  <si>
    <t>Evaluación: Nota: 3
Justificación: La respuesta menciona que las aserciones son importantes, pero no proporciona una explicación clara y concisa sobre cómo se</t>
  </si>
  <si>
    <t>Evaluación: Nota: 8
Justificación: La respuesta proporciona una buena comprensión de las aserciones y su función en el testing. Explica correctamente que las as</t>
  </si>
  <si>
    <t>Evaluación: Nota: 8
Justificación: La respuesta identifica correctamente la importancia de las aserciones en los tests y menciona varios ejemplos de cómo se pueden</t>
  </si>
  <si>
    <t>Evaluación: Nota: 4
Justificación: La respuesta identifica correctamente que las aserciones se utilizan para comprobar la validez de los datos introducidos y</t>
  </si>
  <si>
    <t>Evaluación: Nota: 5
Justificación: La respuesta intenta explicar qué son las aserciones y cómo se utilizan en los tests, pero hay algunas confusiones y</t>
  </si>
  <si>
    <t>Evaluación: Nota: 4
Justificación: La respuesta identifica correctamente que las aserciones se pueden utilizar para comprobar la validez de los datos introducidos por</t>
  </si>
  <si>
    <t>Evaluación: Nota: 8
Justificación: La respuesta proporciona una buena comprensión de cómo se pueden utilizar las aserciones en los tests, siguiendo la estruct</t>
  </si>
  <si>
    <t>Evaluación: Nota: 7
Justificación: La respuesta identifica correctamente que las aserciones en los tests se utilizan para validar los datos dentro del código y que su objetivo</t>
  </si>
  <si>
    <t>Evaluación: Nota: 4
Justificación: La respuesta identifica correctamente que las aserciones se utilizan en los tests, pero no desarrolla adecuadamente su función y</t>
  </si>
  <si>
    <t>Evaluación: Nota: 2
Justificación: La respuesta sigue confundiendo las aserciones con mecanismos de validación de datos, como la anotación @</t>
  </si>
  <si>
    <t>Evaluación: Nota: 8
Justificación: La respuesta explica correctamente cómo se pueden utilizar las aserciones en los tests, mencionando la comparación de valores, datos</t>
  </si>
  <si>
    <t>Evaluación: Nota: 8
Justificación: La respuesta explica correctamente cómo se pueden utilizar las aserciones en los tests, es decir, para comprobar que un programa</t>
  </si>
  <si>
    <t>Evaluación: Nota: 8
Justificación: La respuesta muestra una buena comprensión de las aserciones y cómo se utilizan en los tests. Explica correctamente la diferencia</t>
  </si>
  <si>
    <t>Evaluación: Nota: 3
Justificación: La respuesta identifica correctamente que las aserciones se utilizan para verificar condiciones, pero no desarrolla adecuadamente cómo se utiliz</t>
  </si>
  <si>
    <t>Evaluación: Nota: 4
Justificación: La respuesta identifica correctamente que las aserciones se utilizan para comprobar la validez de una variable o dato y que</t>
  </si>
  <si>
    <t>Evaluación: Nota: 8
Justificación: La respuesta explica correctamente qué son las aserciones y cómo se utilizan en los tests. Describe que las aserciones compr</t>
  </si>
  <si>
    <t>Evaluación: Nota: 4
Justificación: La respuesta identifica correctamente que las aserciones son fundamentales en los tests y que su función es asegurar que el código se</t>
  </si>
  <si>
    <t>Evaluación: Nota: 4
Justificación: La respuesta identifica correctamente que las aserciones se utilizan para validar datos, pero su comprensión es limitada y conf</t>
  </si>
  <si>
    <t>Evaluación: Nota: 4
Justificación: La respuesta identifica correctamente que las aserciones de los tests se utilizan para comprobar que el programa funciona de la manera</t>
  </si>
  <si>
    <t>Evaluación: Nota: 4
Justificación: La respuesta menciona correctamente la declaración de aserciones antes del test, aunque confunde la anotación @NotNull con una as</t>
  </si>
  <si>
    <t>Evaluación: Nota: 8
Justificación: La respuesta proporciona una explicación detallada de cómo se pueden utilizar las aserciones en los tests, incluyendo ej</t>
  </si>
  <si>
    <t>Evaluación: Nota: 4
Justificación: La respuesta identifica correctamente que las aserciones son importantes en el testing, pero no desarrolla adecuadamente cómo se pueden utilizar</t>
  </si>
  <si>
    <t>Evaluación: Nota: 0
Justificación: La respuesta es muy breve y no proporciona ninguna información sobre cómo se pueden utilizar las aserciones en los tests ni por qué son</t>
  </si>
  <si>
    <t>Evaluación: Nota: 4
Justificación: La respuesta menciona la librería Jakarta y algunas funciones de aserción, como `assertequals`, lo que sugiere que</t>
  </si>
  <si>
    <t>Evaluación: Nota: 4
Justificación: La respuesta identifica correctamente que las aserciones se pueden utilizar para comprobar las salidas de los test en función de las</t>
  </si>
  <si>
    <t>Evaluación: Nota: 8
Justificación: La respuesta explica correctamente cómo se pueden utilizar las aserciones en los tests para validar la salida de una función en función de los</t>
  </si>
  <si>
    <t>Evaluación: Nota: 7
Justificación: La respuesta reconoce correctamente la importancia de las aserciones en los tests, mencionando que son vitales y fundamentales</t>
  </si>
  <si>
    <t>Evaluación: Nota: 6 Justificación: La respuesta es similar a la que se proporcionó en la anterior pregunta, aunque no se aportan nuevos ejemplos ni se desarroll</t>
  </si>
  <si>
    <t>['Eres un profesor experto en evaluación académica. Tu tarea es corregir respuestas de estudiantes comparándolas con ejemplos de correcciones reales. Asigna una calificación numérica entre 0 y 10, donde 0 representa una respuesta completamente incorrecta o vacía y 10 una respuesta completamente correcta y completa. Analiza la precisión conceptual, la completitud de la respuesta, el uso correcto de la terminología y la claridad de la explicación. Además, proporciona una breve justificación de la nota indicando los conceptos correctamente mencionados, los errores detectados y los conceptos importantes que faltan. ', 'Las aserciones son declaraciones que verifican si una condición es verdadera en los tests. Son cruciales porque permiten a los desarrolladores comprobar el comportamiento del código bajo prueba, asegurando que produce los resultados esperados. En TDD, las aserciones guían el desarrollo al proporcionar retroalimentación inmediata sobre si el código cumple con los requisitos especificados. Utilizar una variedad de aserciones, como igualdad, nulidad y excepciones, enriquece el proceso de pruebas y ayuda a detectar errores de manera más efectiva.', 'Pregunta: Describe cómo se pueden utilizar las aserciones en los tests y por qué son importantes.']</t>
  </si>
  <si>
    <t>Calificación: 6/10
Justificación:
* Precisión conceptual: La respuesta tiene una buena idea general de cómo se utilizan las aserciones en los tests, pero no es muy</t>
  </si>
  <si>
    <t>Calificación: 4/10
Justificación:
- Conceptos correctamente mencionados: 
  * Las aserciones son relevantes para el software.
  * Las aserciones ayud</t>
  </si>
  <si>
    <t>Calificación: 6/10
Justificación:
- Conceptos correctamente mencionados: La respuesta menciona que las aserciones son importantes para confirmar que los tests están bien hechos</t>
  </si>
  <si>
    <t>Calificación: 7/10
Justificación:
* Precisión conceptual: La respuesta tiene un buen enfoque en el concepto de aserciones como herramientas de test, pero no</t>
  </si>
  <si>
    <t>**Calificación:** 4/10
**Justificación:**
*   **Precisión conceptual:** La respuesta no aborda con precisión el concepto de aserciones en testing. La</t>
  </si>
  <si>
    <t>Calificación: 6/10
Justificación:
* La respuesta demuestra una comprensión básica de las aserciones y su propósito en los tests.
* Se menciona correctamente</t>
  </si>
  <si>
    <t>Calificación: 7/10
Justificación:
* Conceptos correctamente mencionados:
 + Las aserciones se utilizan en la arquitectura AAA (Arrange, Act, Assert</t>
  </si>
  <si>
    <t>Calificación: 6/10
Justificación:
- Conceptos correctamente mencionados: La respuesta menciona que las aserciones permiten validar que el test haya pasado o no, lo</t>
  </si>
  <si>
    <t>Calificación: 6/10
Justificación:
- Conceptos correctamente mencionados: La respuesta menciona que las aserciones miden el resultado obtenido respecto al resultado esperado,</t>
  </si>
  <si>
    <t>**Calificación: 6/10**
**Justificación:**
* **Precisión conceptual:** La respuesta menciona que las aserciones son validaciones que comprueban si una afirmación</t>
  </si>
  <si>
    <t>Calificación: 7/10
Justificación:
- Conceptos correctamente mencionados: 
  - La función principal de las aserciones en los tests es verificar si una condición es</t>
  </si>
  <si>
    <t>Calificación: 7/10
Justificación:
- Conceptos correctamente mencionados: 
  - Las aserciones se pueden utilizar en los tests para validar y comparar objetos o valores</t>
  </si>
  <si>
    <t>**Calificación: 8/10**
La respuesta proporcionada muestra una buena comprensión de las aserciones en los tests y su importancia en el desarrollo de pruebas. A continu</t>
  </si>
  <si>
    <t>Calificación: 6/10
Justificación:
* Conceptos correctamente mencionados:
 + Las aserciones se utilizan para comprobar el comportamiento del código.
 + Las as</t>
  </si>
  <si>
    <t>Calificación: 6/10
Justificación:
* Conceptos correctamente mencionados: La respuesta menciona que las aserciones se utilizan para comparar resultados y mejorar el código o</t>
  </si>
  <si>
    <t>Calificación: 6/10
Justificación:
* Conceptos correctamente mencionados:
 + Las aserciones se utilizan en los tests para asegurar que el código se ejecute correctamente</t>
  </si>
  <si>
    <t>Calificación: 7/10
Justificación:
* Precisión conceptual: La respuesta muestra una buena comprensión del concepto de aserciones en pruebas, pero no es del todo</t>
  </si>
  <si>
    <t>Calificación: 8/10
Justificación:
- Conceptos correctamente mencionados:
 + Las aserciones se utilizan para comparar un valor introducido con uno deseado.
 +</t>
  </si>
  <si>
    <t>Calificación: 7/10
Justificación:
* La respuesta menciona correctamente el uso de las aserciones en los tests para verificar entradas inválidas y excepciones, como la</t>
  </si>
  <si>
    <t>Calificación: 2/10
Justificación:
- La respuesta menciona diferentes modos en los que se pueden utilizar las aserciones, pero no proporciona una explicación clara o</t>
  </si>
  <si>
    <t>Calificación: 8/10
Justificación:
- La respuesta define correctamente las aserciones como declaraciones que verifican si una condición se cumple o no, lo que es</t>
  </si>
  <si>
    <t>Calificación: 6/10
Justificación:
- Conceptos correctamente mencionados: La respuesta menciona que las aserciones se utilizan en los tests y que tienen importancia,</t>
  </si>
  <si>
    <t>Calificación: 7/10
Justificación:
- Conceptos correctamente mencionados: 
  * Las aserciones se utilizan en los tests.
  * Las aserciones compr</t>
  </si>
  <si>
    <t>Calificación: 2/10
Justificación:
* La respuesta menciona que `assert.equals` se utiliza para introducir valores en los parámetros, lo que es incorrecto. Las</t>
  </si>
  <si>
    <t>Calificación: 0/10
Justificación:
* La respuesta está vacía y no proporciona ninguna información sobre cómo se pueden utilizar las aserciones en los tests o por qué son importantes</t>
  </si>
  <si>
    <t>Calificación: 6/10
Justificación:
- Conceptos correctamente mencionados: La respuesta menciona que las aserciones se utilizan para realizar comprobaciones entre los resultados obten</t>
  </si>
  <si>
    <t>Calificación: 6/10
Justificación:
* Conceptos correctamente mencionados: Las aserciones se utilizan para evaluar valores esperados en los tests, y se menciona</t>
  </si>
  <si>
    <t>Calificación: 6/10
Justificación:
- Conceptos correctamente mencionados:
 + Existen varios tipos de aserciones en los tests.
 + La respuesta menciona específicamente Assertion</t>
  </si>
  <si>
    <t>Calificación: 6/10
Justificación:
- Conceptos correctamente mencionados: La respuesta menciona que las aserciones son verificaciones de validaciones de entrada, lo que es</t>
  </si>
  <si>
    <t>Calificación: 4/10
Justificación:
- Conceptos correctamente mencionados: La respuesta menciona que las aserciones se utilizan para estructurar y validar los tests, lo</t>
  </si>
  <si>
    <t>Calificación: 8/10
Justificación:
- Precisión conceptual: 9/10. La respuesta describe correctamente el propósito de las aserciones en los tests y menciona diferentes</t>
  </si>
  <si>
    <t>Calificación: 6/10
Justificación:
- Conceptos correctamente mencionados: 
  - La definición de una aserción como una declaración dentro de los test.
  -</t>
  </si>
  <si>
    <t>Calificación: 8/10
Justificación:
* La respuesta muestra una comprensión básica de las aserciones en los tests y su propósito.
* Se menciona la import</t>
  </si>
  <si>
    <t xml:space="preserve">Calificación: 8/10
Justificación:
- Conceptos correctamente mencionados: 
  - Las aserciones se utilizan en los tests para comprobar escenarios.
 </t>
  </si>
  <si>
    <t>Calificación: 6/10
Justificación:
- La respuesta menciona algunas aserciones comunes como `assertequals`, `asserttrue` y `assertfalse`, lo que muestra una</t>
  </si>
  <si>
    <t>Calificación: 4/10
Justificación:
* Conceptos correctamente mencionados: 
 + Las aserciones se pueden utilizar para verificar una condición.
 + Si la condición es</t>
  </si>
  <si>
    <t>Calificación: 6/10
Justificación:
* La respuesta menciona que las aserciones son importantes para validar los resultados de los tests, lo que es correcto.
* Sin embargo</t>
  </si>
  <si>
    <t>Calificación: 6/10
Justificación:
* Conceptos correctamente mencionados: El uso de aserciones para verificar el comportamiento de métodos y asegurar que producen los</t>
  </si>
  <si>
    <t>Calificación: 7/10
Justificación:
- **Precisión conceptual**: La respuesta capta correctamente el concepto de las aserciones y su propósito en los tests, aunque no</t>
  </si>
  <si>
    <t>Calificación: 4/10
Justificación:
- Conceptos correctamente mencionados: La respuesta menciona que las aserciones se pueden utilizar para distintas situaciones, lo que es</t>
  </si>
  <si>
    <t>Calificación: 8/10
Justificación:
- **Precisión conceptual**: La respuesta describe correctamente el propósito de las aserciones en el testing, enfatizando su importancia en</t>
  </si>
  <si>
    <t>Calificación: 6/10
Justificación:
- Conceptos correctamente mencionados: La respuesta menciona que las aserciones tienen distintos usos dentro del código y enumera algunos</t>
  </si>
  <si>
    <t>Calificación: 7/10
La respuesta proporciona una visión general de cómo se pueden utilizar las aserciones en los tests, mencionando la posibilidad de comprobar que</t>
  </si>
  <si>
    <t>Calificación: 6/10
Justificación:
- Conceptos correctamente mencionados:
 + Las aserciones son condiciones que se utilizan para verificar algo.
 + Las aserciones se</t>
  </si>
  <si>
    <t>Calificación: 4/10
Justificación:
* Conceptos correctamente mencionados: La respuesta menciona que las aserciones se pueden utilizar para anticiparse a posibles errores y evitar</t>
  </si>
  <si>
    <t>**Calificación: 7/10**
**Justificación:**
La respuesta proporcionada muestra una buena comprensión de la importancia de las aserciones en los tests y su implementación</t>
  </si>
  <si>
    <t>Calificación: 6/10
Justificación:
- Conceptos correctamente mencionados:
 + Las aserciones se utilizan para validar datos en el código.
 + El desarrollo seguro y libre</t>
  </si>
  <si>
    <t>Calificación: 4/10
Justificación:
* La respuesta menciona que las aserciones en los tests sirven para que el código no influya en los datos, lo que es</t>
  </si>
  <si>
    <t>Calificación: 4/10
Justificación:
- Conceptos correctamente mencionados: 
  - Utilidad de las aserciones en los tests
  - Importancia de las as</t>
  </si>
  <si>
    <t>Calificación: 6/10
Justificación:
* Conceptos correctamente mencionados:
 + Las aserciones se pueden utilizar en los tests para comparar valores, datos o resultados.
 +</t>
  </si>
  <si>
    <t>Calificación: 7/10
La respuesta proporcionada muestra una comprensión básica de las aserciones en los tests y su importancia. Sin embargo, hay algunos conceptos importantes</t>
  </si>
  <si>
    <t>Calificación: 6/10
Justificación:
- Conceptos correctamente mencionados:
 + Las aserciones son comprobadores de datos.
 + Devuelven valores de tipo bool (</t>
  </si>
  <si>
    <t>Calificación: 7/10
Justificación:
* Precisión conceptual: La respuesta muestra una buena comprensión del concepto de aserciones y su propósito en los tests. Sin</t>
  </si>
  <si>
    <t>Calificación: 4/10
Justificación:
- Conceptos correctamente mencionados: La respuesta menciona que las aserciones se utilizan para verificar condiciones y que su objetivo es aseg</t>
  </si>
  <si>
    <t>Calificación: 6/10
Justificación:
* La respuesta menciona el concepto de aserciones y su propósito en los tests, lo que es correcto.
* La respuesta</t>
  </si>
  <si>
    <t>Calificación: 7/10
Justificación:
- Conceptos correctamente mencionados: 
  - La definición de aserciones como declaraciones que comprueban si una condición</t>
  </si>
  <si>
    <t>Calificación: 6/10
Justificación:
- Conceptos correctamente mencionados: 
  - La respuesta menciona que las aserciones son importantes y que son el motor básico</t>
  </si>
  <si>
    <t>Calificación: 0
Justificación: La respuesta es completamente vacía y no muestra ningún esfuerzo por abordar la pregunta. No se mencionan conceptos relacionados con</t>
  </si>
  <si>
    <t>Calificación: 6/10
Justificación:
- Conceptos correctamente mencionados: La respuesta menciona que las aserciones se utilizan para validar datos y condiciones, lo que es</t>
  </si>
  <si>
    <t>Calificación: 6/10
Justificación:
* Conceptos correctamente mencionados: La respuesta menciona que las aserciones se utilizan para comprobar que el programa funciona de</t>
  </si>
  <si>
    <t>Calificación: 4/10
Justificación:
* Conceptos correctamente mencionados: La respuesta menciona que las aserciones se declaran antes del test y que sirven para com</t>
  </si>
  <si>
    <t>Calificación: 8/10
Justificación:
- Conceptos correctamente mencionados:
 + Los asserts o aserciones se utilizan para comprobar la validez de un dato o</t>
  </si>
  <si>
    <t>Calificación: 6/10
Justificación:
* Conceptos correctamente mencionados: La respuesta menciona que las aserciones se pueden utilizar para validar los datos en los tests y que</t>
  </si>
  <si>
    <t>Calificación: 6/10
Justificación:
- Conceptos correctamente mencionados: 
  - Las aserciones son importantes en los tests.
  - Las aserciones permiten</t>
  </si>
  <si>
    <t>Calificación: 2/10
Justificación:
* La respuesta es extremadamente breve y no proporciona ninguna información relevante sobre el uso de aserciones en los tests.
* No se</t>
  </si>
  <si>
    <t>Calificación: 0/10
Justificación:
- La respuesta es vacía y no proporciona ninguna información sobre cómo utilizar las aserciones en los tests o su importancia.
- No</t>
  </si>
  <si>
    <t>Calificación: 6/10
Justificación:
* Conceptos correctamente mencionados: La respuesta menciona que las aserciones se pueden utilizar en los tests, lo que es correcto</t>
  </si>
  <si>
    <t>Calificación: 6/10
Justificación:
- Conceptos correctamente mencionados: La respuesta menciona la utilidad de las aserciones para comprobar las salidas de los</t>
  </si>
  <si>
    <t>Calificación: 8/10
La respuesta proporcionada muestra una buena comprensión de las aserciones y su importancia en los tests. La explicación es clara y concisa</t>
  </si>
  <si>
    <t>Calificación: 6/10
Justificación:
- La respuesta menciona que las aserciones son vitales y importantes en los tests, lo que es correcto. Las aserciones</t>
  </si>
  <si>
    <t>Calificación: 0
Justificación: La respuesta es idéntica a la pregunta anterior, lo que indica una falta de comprensión del concepto de aserciones en testing y</t>
  </si>
  <si>
    <t>Calificación: 6/10
Justificación:
- Conceptos correctamente mencionados: La respuesta menciona que las aserciones se utilizan para ejecutar los tests y validar su funcion</t>
  </si>
  <si>
    <t>Calificación: 4/10
Justificación:
- Conceptos correctamente mencionados: La respuesta menciona que las aserciones son relevantes para cubrir el código y evitar errores,</t>
  </si>
  <si>
    <t>Calificación: 6/10
Justificación:
* Conceptos correctamente mencionados: La respuesta menciona que las aserciones son importantes en los tests y que su objetivo es confirmar</t>
  </si>
  <si>
    <t>**Calificación:** 6/10
**Justificación:**
* **Precisión conceptual:** La respuesta tiene una buena comprensión del concepto de aserciones, pero no es completamente</t>
  </si>
  <si>
    <t>Calificación: 4/10
Justificación:
- Conceptos correctamente mencionados: La respuesta menciona que las aserciones se refieren a si el test funciona correctamente o no,</t>
  </si>
  <si>
    <t>**Calificación:** 6/10
**Justificación:**
*   **Precisión conceptual:** La respuesta muestra una buena comprensión del concepto de aserciones y su función en</t>
  </si>
  <si>
    <t>Calificación: 8/10
Justificación:
- **Precisión conceptual**: La respuesta muestra una buena comprensión de las aserciones en el contexto de los tests y su importancia</t>
  </si>
  <si>
    <t>Calificación: 6/10
Justificación:
* Conceptos correctamente mencionados: La respuesta menciona el concepto de aserciones en el contexto de los tests, y su función</t>
  </si>
  <si>
    <t>Calificación: 6/10
Justificación:
* Precisión conceptual: La respuesta menciona correctamente que las aserciones miden el resultado obtenido respecto al resultado esperado, lo que</t>
  </si>
  <si>
    <t>Calificación: 6/10
Justificación:
- Conceptos correctamente mencionados: Las aserciones se utilizan para validar si una afirmación es correcta, y su importancia</t>
  </si>
  <si>
    <t>Calificación: 7/10
Justificación:
* Precisión conceptual: La respuesta captura el concepto básico de las aserciones en los tests, pero no profundiza en detalles</t>
  </si>
  <si>
    <t>Calificación: 7/10
Justificación:
- Conceptos correctamente mencionados: La respuesta menciona que las aserciones se pueden utilizar en los tests para validar y comparar objetos</t>
  </si>
  <si>
    <t>Calificación: 8/10
Justificación:
* Conceptos correctamente mencionados: 
 + La importancia de las aserciones en los tests.
 + La capacidad de especificar el</t>
  </si>
  <si>
    <t>Calificación: 6/10
Justificación:
* Conceptos correctamente mencionados: 
 + Los assert se utilizan para comprobar lo que devuelve o hace una función.
 + Las</t>
  </si>
  <si>
    <t>Calificación: 6/10
Justificación:
- Conceptos correctamente mencionados: La respuesta menciona que las aserciones se utilizan para comparar resultados y mejorar el código o</t>
  </si>
  <si>
    <t>Calificación: 4/10
Justificación:
- **Precisión conceptual**: La respuesta no es completamente precisa en cuanto a la utilización de las aserciones en los tests. La idea</t>
  </si>
  <si>
    <t>Calificación: 7/10
Justificación:
* Precisión conceptual: La respuesta muestra una buena comprensión del concepto de aserciones y su uso en los tests. La idea</t>
  </si>
  <si>
    <t>Calificación: 8/10
Justificación:
- Conceptos correctamente mencionados: 
  - Las aserciones se utilizan para comparar un valor introducido con uno deseado</t>
  </si>
  <si>
    <t>Calificación: 7/10
Justificación:
* Conceptos correctamente mencionados:
 + Utilidad de las aserciones en los tests para detectar errores.
 + Ejemplo de exce</t>
  </si>
  <si>
    <t>Calificación: 4/10
Justificación:
* La respuesta menciona algunos modos en los que se pueden utilizar las aserciones, pero no son exhaustivos. Las aserciones</t>
  </si>
  <si>
    <t>Calificación: 7/10
Justificación:
- La respuesta define correctamente las aserciones como declaraciones que verifican si una condición se cumple o no, lo que es</t>
  </si>
  <si>
    <t>Calificación: 6/10
Justificación:
* Conceptos correctamente mencionados:
 + Las aserciones se utilizan en los tests para comprobar el código.
 + Las as</t>
  </si>
  <si>
    <t>Calificación: 7/10
Justificación:
* Conceptos correctamente mencionados:
 + Las aserciones se utilizan en los tests para comprobar pequeños trozos de código</t>
  </si>
  <si>
    <t>Calificación: 2/10
Justificación:
- Conceptos correctamente mencionados: El concepto de aserciones en los tests y su importancia en el desarrollo de software.
-</t>
  </si>
  <si>
    <t>Calificación: 0
Justificación: La respuesta es vacía y no proporciona ninguna información sobre cómo utilizar las aserciones en los tests ni su importancia. No hay conceptos correctamente</t>
  </si>
  <si>
    <t>Calificación: 6/10
Justificación:
* Conceptos correctamente mencionados: La respuesta menciona que las aserciones se utilizan para realizar comprobaciones entre los resultados obten</t>
  </si>
  <si>
    <t>Calificación: 6/10
Justificación:
* La respuesta menciona que las aserciones se utilizan para evaluar un valor esperado, lo cual es correcto.
* También</t>
  </si>
  <si>
    <t>Calificación: 6/10
Justificación:
- La respuesta menciona que hay varios tipos de aserciones, lo cual es correcto. Sin embargo, no se menciona explíc</t>
  </si>
  <si>
    <t>Calificación: 6/10
Justificación:
- Conceptos correctamente mencionados: 
  - Las aserciones se utilizan para verificar la validez de la entrada.
  -</t>
  </si>
  <si>
    <t>Calificación: 4/10
Justificación:
* Conceptos correctamente mencionados: La respuesta menciona que las aserciones se utilizan para estructurar y validar la forma en que</t>
  </si>
  <si>
    <t>Calificación: 7/10
Justificación:
- Precisión conceptual: La respuesta muestra una buena comprensión de la función de las aserciones en los tests, enfocándose</t>
  </si>
  <si>
    <t>Calificación: 6/10
Justificación:
* Conceptos correctamente mencionados:
 + Las aserciones se refieren a declaraciones dentro de los tests.
 + Las aserciones</t>
  </si>
  <si>
    <t>Calificación: 7/10
Justificación:
* Conceptos correctamente mencionados:
 + Las aserciones se utilizan en los tests para especificar el valor esperado.
 + Las</t>
  </si>
  <si>
    <t>Calificación: 8/10
Justificación:
- **Precisión conceptual**: La respuesta capta correctamente el concepto de aserciones en los tests, enfatizando su papel en la</t>
  </si>
  <si>
    <t>Calificación: 6/10
Justificación:
* La respuesta menciona algunos conceptos básicos sobre aserciones, como `assertequals`, `asserttrue` y `assertfalse`,</t>
  </si>
  <si>
    <t>Calificación: 4/10
Justificación:
* Conceptos correctamente mencionados: La respuesta menciona que las aserciones se pueden utilizar para verificar una condición y que si la</t>
  </si>
  <si>
    <t>Calificación: 7/10
Justificación:
- Conceptos correctamente mencionados: 
  - Las aserciones validan los resultados de los tests.
  - Las aserciones</t>
  </si>
  <si>
    <t>Calificación: 7/10
Justificación:
* Precisión conceptual: La respuesta tiene un buen concepto general sobre las aserciones y su uso en los tests. Entiende que</t>
  </si>
  <si>
    <t xml:space="preserve">Calificación: 8/10
Justificación:
* Conceptos correctamente mencionados: 
 + Las aserciones permiten comprobar si una condición se cumple o no.
</t>
  </si>
  <si>
    <t>Calificación: 2/10
Justificación:
- La respuesta no muestra una comprensión clara de las aserciones y su propósito en los tests. Aunque menciona que</t>
  </si>
  <si>
    <t>Calificación: 8/10
Justificación:
- **Precisión conceptual**: La respuesta demuestra una buena comprensión de las aserciones en el testing y su propósito. Se</t>
  </si>
  <si>
    <t>Calificación: 7/10
Justificación:
- Conceptos correctamente mencionados:
 + Las aserciones tienen distintos usos dentro del código.
 + Existen diferentes tipos de as</t>
  </si>
  <si>
    <t>Calificación: 6/10
Justificación:
- La respuesta menciona que las aserciones se utilizan para comprobar si los datos introducidos son correctos y devuel</t>
  </si>
  <si>
    <t>Calificación: 6/10
Justificación:
* La respuesta demuestra una comprensión básica de las aserciones y su función en los tests. Se menciona que las as</t>
  </si>
  <si>
    <t>Calificación: 4/10
Justificación:
* Conceptos correctamente mencionados:
 + Utilidad de las aserciones para anticiparse a posibles errores.
 + Uso del oper</t>
  </si>
  <si>
    <t>**Calificación: 7/10**
**Justificación:**
*   **Precisión conceptual:** La respuesta muestra una buena comprensión del concepto de aserciones en pruebas unit</t>
  </si>
  <si>
    <t>Calificación: 6/10
Justificación:
- Conceptos correctamente mencionados: La respuesta menciona que las aserciones se utilizan para validar los datos dentro del código, lo</t>
  </si>
  <si>
    <t>Calificación: 4/10
Justificación:
* Conceptos correctamente mencionados: La respuesta menciona que las aserciones se utilizan en los tests, lo que es correcto</t>
  </si>
  <si>
    <t>Calificación: 4/10
Justificación:
- Conceptos correctamente mencionados: La respuesta menciona la importancia de evitar campos nulos y la utilidad de las aserciones</t>
  </si>
  <si>
    <t>Calificación: 7/10
Justificación:
- Conceptos correctamente mencionados: 
  - Las aserciones se pueden utilizar en los tests para comparar valores, datos o resultados</t>
  </si>
  <si>
    <t>Calificación: 7/10
Justificación:
- Conceptos correctamente mencionados: La respuesta menciona que las aserciones permiten comprobar que un programa funciona de la manera</t>
  </si>
  <si>
    <t>Calificación: 6/10
Justificación:
* Conceptos correctamente mencionados: 
 + Las aserciones devuelven valores de tipo bool (verdadero o falso)</t>
  </si>
  <si>
    <t>Calificación: 7/10
Justificación:
* Conceptos correctamente mencionados:
 + Las aserciones verifican si una condición es verdadera.
 + El uso de `</t>
  </si>
  <si>
    <t>Calificación: 4/10
Justificación:
* Precisión conceptual: La respuesta tiene algunos conceptos correctos, como la idea de que las aserciones se usan para verificar condiciones</t>
  </si>
  <si>
    <t xml:space="preserve">**Calificación:** 6/10
**Justificación:**
*   La respuesta muestra una comprensión básica de las aserciones y su propósito en los tests.
*  </t>
  </si>
  <si>
    <t>Calificación: 8/10
Justificación:
* La respuesta es clara y concisa, y destaca la importancia de las aserciones en los tests.
* Describe correctamente el</t>
  </si>
  <si>
    <t>**Calificación:** 6/10
**Justificación:**
*   **Precisión conceptual:** La respuesta tiene algunos conceptos correctos, como la existencia de diferentes tipos de aserc</t>
  </si>
  <si>
    <t>Calificación: 0
Justificación:
* La respuesta es completamente vacía y no muestra ningún intento de abordar la pregunta.
* No hay conceptos correctamente mencionados.
*</t>
  </si>
  <si>
    <t>Calificación: 6/10
Justificación:
- Conceptos correctamente mencionados: La respuesta menciona que las aserciones son condiciones para validar datos, lo cual es correcto.</t>
  </si>
  <si>
    <t>Calificación: 4/10
Justificación:
* Conceptos correctamente mencionados: La respuesta menciona que las aserciones se utilizan para comprobar que el programa funciona de</t>
  </si>
  <si>
    <t>Calificación: 4/10
Justificación:
- Conceptos correctamente mencionados: La respuesta menciona que las aserciones se declaran junto antes del test y que sirven para</t>
  </si>
  <si>
    <t>Calificación: 8/10
Justificación:
* Conceptos correctamente mencionados:
 + Los asserts o aserciones son métodos que permiten comprobar la validez de un</t>
  </si>
  <si>
    <t>Calificación: 6/10
Justificación:
* Precisión conceptual: La respuesta tiene algunos conceptos básicos correctos, como la utilización de aserciones para validar datos y la</t>
  </si>
  <si>
    <t>Calificación: 4/10
Justificación:
* La respuesta menciona que las aserciones son importantes, pero no explica con claridad por qué son importantes. Se limita a</t>
  </si>
  <si>
    <t>Calificación: 0
Justificación:
* La respuesta es muy breve y no proporciona información relevante sobre cómo se pueden utilizar las aserciones en los tests.
* No hay conceptos</t>
  </si>
  <si>
    <t>Calificación: 0/10
Justificación:
* La respuesta "NO SE" indica que el estudiante no tiene conocimiento sobre el tema, lo que es un indicio de que no</t>
  </si>
  <si>
    <t>Calificación: 6/10
Justificación:
- Conceptos correctamente mencionados: La respuesta menciona la utilización de aserciones en los tests y la importancia de utilizar una</t>
  </si>
  <si>
    <t>Calificación: 4/10
Justificación:
* Conceptos correctamente mencionados: La respuesta menciona que las aserciones se pueden utilizar para comprobar las salidas de los</t>
  </si>
  <si>
    <t>Calificación: 8/10
Justificación:
- Conceptos correctamente mencionados: La respuesta menciona correctamente el propósito de las aserciones en los tests, es decir, validar</t>
  </si>
  <si>
    <t>Calificación: 6/10
Justificación:
- Conceptos correctamente mencionados: La respuesta reconoce la importancia de las aserciones en los tests y menciona específicamente la</t>
  </si>
  <si>
    <t>Calificación: 0
Justificación:
* La respuesta es idéntica a la pregunta anterior, lo que sugiere que no se ha leído o comprendido el enunciado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</si>
</sst>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4">
    <font>
      <sz val="10.0"/>
      <color rgb="FF000000"/>
      <name val="Arial"/>
      <scheme val="minor"/>
    </font>
    <font>
      <color theme="1"/>
      <name val="Arial"/>
      <scheme val="minor"/>
    </font>
    <font>
      <b/>
      <color theme="1"/>
      <name val="Arial"/>
    </font>
    <font>
      <color theme="1"/>
      <name val="Arial"/>
    </font>
  </fonts>
  <fills count="6">
    <fill>
      <patternFill patternType="none"/>
    </fill>
    <fill>
      <patternFill patternType="lightGray"/>
    </fill>
    <fill>
      <patternFill patternType="solid">
        <fgColor rgb="FFFFE599"/>
        <bgColor rgb="FFFFE599"/>
      </patternFill>
    </fill>
    <fill>
      <patternFill patternType="solid">
        <fgColor rgb="FFB6D7A8"/>
        <bgColor rgb="FFB6D7A8"/>
      </patternFill>
    </fill>
    <fill>
      <patternFill patternType="solid">
        <fgColor rgb="FFF9CB9C"/>
        <bgColor rgb="FFF9CB9C"/>
      </patternFill>
    </fill>
    <fill>
      <patternFill patternType="solid">
        <fgColor rgb="FFFFFFFF"/>
        <bgColor rgb="FFFFFFFF"/>
      </patternFill>
    </fill>
  </fills>
  <borders count="1">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Alignment="1" applyFont="1">
      <alignment readingOrder="0"/>
    </xf>
    <xf borderId="0" fillId="0" fontId="1" numFmtId="4" xfId="0" applyAlignment="1" applyFont="1" applyNumberFormat="1">
      <alignment readingOrder="0"/>
    </xf>
    <xf borderId="0" fillId="0" fontId="2" numFmtId="0" xfId="0" applyAlignment="1" applyFont="1">
      <alignment vertical="bottom"/>
    </xf>
    <xf borderId="0" fillId="0" fontId="3" numFmtId="0" xfId="0" applyAlignment="1" applyFont="1">
      <alignment vertical="bottom"/>
    </xf>
    <xf borderId="0" fillId="2" fontId="3" numFmtId="0" xfId="0" applyAlignment="1" applyFill="1" applyFont="1">
      <alignment vertical="bottom"/>
    </xf>
    <xf borderId="0" fillId="2" fontId="3" numFmtId="0" xfId="0" applyAlignment="1" applyFont="1">
      <alignment horizontal="right" vertical="bottom"/>
    </xf>
    <xf borderId="0" fillId="3" fontId="1" numFmtId="0" xfId="0" applyAlignment="1" applyFill="1" applyFont="1">
      <alignment readingOrder="0"/>
    </xf>
    <xf borderId="0" fillId="0" fontId="1" numFmtId="3" xfId="0" applyAlignment="1" applyFont="1" applyNumberFormat="1">
      <alignment readingOrder="0"/>
    </xf>
    <xf borderId="0" fillId="0" fontId="3" numFmtId="0" xfId="0" applyAlignment="1" applyFont="1">
      <alignment horizontal="right" vertical="bottom"/>
    </xf>
    <xf borderId="0" fillId="2" fontId="3" numFmtId="2" xfId="0" applyAlignment="1" applyFont="1" applyNumberFormat="1">
      <alignment horizontal="right" vertical="bottom"/>
    </xf>
    <xf borderId="0" fillId="2" fontId="3" numFmtId="9" xfId="0" applyAlignment="1" applyFont="1" applyNumberFormat="1">
      <alignment horizontal="right" vertical="bottom"/>
    </xf>
    <xf borderId="0" fillId="2" fontId="3" numFmtId="164" xfId="0" applyAlignment="1" applyFont="1" applyNumberFormat="1">
      <alignment horizontal="right" vertical="bottom"/>
    </xf>
    <xf borderId="0" fillId="2" fontId="3" numFmtId="10" xfId="0" applyAlignment="1" applyFont="1" applyNumberFormat="1">
      <alignment horizontal="right" vertical="bottom"/>
    </xf>
    <xf borderId="0" fillId="0" fontId="1" numFmtId="2" xfId="0" applyFont="1" applyNumberFormat="1"/>
    <xf borderId="0" fillId="0" fontId="1" numFmtId="9" xfId="0" applyFont="1" applyNumberFormat="1"/>
    <xf borderId="0" fillId="0" fontId="1" numFmtId="164" xfId="0" applyFont="1" applyNumberFormat="1"/>
    <xf borderId="0" fillId="0" fontId="1" numFmtId="10" xfId="0" applyFont="1" applyNumberFormat="1"/>
    <xf borderId="0" fillId="4" fontId="1" numFmtId="0" xfId="0" applyAlignment="1" applyFill="1" applyFont="1">
      <alignment readingOrder="0"/>
    </xf>
    <xf borderId="0" fillId="5" fontId="3" numFmtId="0" xfId="0" applyAlignment="1" applyFill="1" applyFont="1">
      <alignment vertical="bottom"/>
    </xf>
    <xf borderId="0" fillId="5" fontId="3" numFmtId="0" xfId="0" applyAlignment="1" applyFont="1">
      <alignment horizontal="right" vertical="bottom"/>
    </xf>
    <xf borderId="0" fillId="5" fontId="3" numFmtId="2" xfId="0" applyAlignment="1" applyFont="1" applyNumberFormat="1">
      <alignment horizontal="right" vertical="bottom"/>
    </xf>
    <xf borderId="0" fillId="5" fontId="3" numFmtId="9" xfId="0" applyAlignment="1" applyFont="1" applyNumberFormat="1">
      <alignment horizontal="right" vertical="bottom"/>
    </xf>
    <xf borderId="0" fillId="5" fontId="3" numFmtId="164" xfId="0" applyAlignment="1" applyFont="1" applyNumberFormat="1">
      <alignment horizontal="right" vertical="bottom"/>
    </xf>
    <xf borderId="0" fillId="5" fontId="3" numFmtId="10"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spPr>
            <a:ln cmpd="sng">
              <a:solidFill>
                <a:srgbClr val="4285F4"/>
              </a:solidFill>
            </a:ln>
          </c:spPr>
          <c:marker>
            <c:symbol val="none"/>
          </c:marker>
          <c:cat>
            <c:strRef>
              <c:f>resultados!$A$2:$A$72</c:f>
            </c:strRef>
          </c:cat>
          <c:val>
            <c:numRef>
              <c:f>resultados!$I$2:$I$72</c:f>
              <c:numCache/>
            </c:numRef>
          </c:val>
          <c:smooth val="0"/>
        </c:ser>
        <c:axId val="23122291"/>
        <c:axId val="1084569697"/>
      </c:lineChart>
      <c:catAx>
        <c:axId val="2312229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084569697"/>
      </c:catAx>
      <c:valAx>
        <c:axId val="108456969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3122291"/>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spPr>
            <a:ln cmpd="sng">
              <a:solidFill>
                <a:srgbClr val="4285F4"/>
              </a:solidFill>
            </a:ln>
          </c:spPr>
          <c:marker>
            <c:symbol val="none"/>
          </c:marker>
          <c:cat>
            <c:strRef>
              <c:f>resultados!$A$73:$A$143</c:f>
            </c:strRef>
          </c:cat>
          <c:val>
            <c:numRef>
              <c:f>resultados!$I$73:$I$143</c:f>
              <c:numCache/>
            </c:numRef>
          </c:val>
          <c:smooth val="0"/>
        </c:ser>
        <c:axId val="1301805349"/>
        <c:axId val="1086056115"/>
      </c:lineChart>
      <c:catAx>
        <c:axId val="130180534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086056115"/>
      </c:catAx>
      <c:valAx>
        <c:axId val="108605611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01805349"/>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spPr>
            <a:ln cmpd="sng">
              <a:solidFill>
                <a:srgbClr val="4285F4"/>
              </a:solidFill>
            </a:ln>
          </c:spPr>
          <c:marker>
            <c:symbol val="none"/>
          </c:marker>
          <c:cat>
            <c:strRef>
              <c:f>resultados!$A$144:$A$214</c:f>
            </c:strRef>
          </c:cat>
          <c:val>
            <c:numRef>
              <c:f>resultados!$I$144:$I$214</c:f>
              <c:numCache/>
            </c:numRef>
          </c:val>
          <c:smooth val="0"/>
        </c:ser>
        <c:axId val="575523091"/>
        <c:axId val="1472892427"/>
      </c:lineChart>
      <c:catAx>
        <c:axId val="57552309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472892427"/>
      </c:catAx>
      <c:valAx>
        <c:axId val="147289242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75523091"/>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spPr>
            <a:ln cmpd="sng">
              <a:solidFill>
                <a:srgbClr val="4285F4"/>
              </a:solidFill>
            </a:ln>
          </c:spPr>
          <c:marker>
            <c:symbol val="none"/>
          </c:marker>
          <c:cat>
            <c:strRef>
              <c:f>resultados!$A$215:$A$285</c:f>
            </c:strRef>
          </c:cat>
          <c:val>
            <c:numRef>
              <c:f>resultados!$I$215:$I$285</c:f>
              <c:numCache/>
            </c:numRef>
          </c:val>
          <c:smooth val="0"/>
        </c:ser>
        <c:axId val="495936883"/>
        <c:axId val="334631623"/>
      </c:lineChart>
      <c:catAx>
        <c:axId val="49593688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334631623"/>
      </c:catAx>
      <c:valAx>
        <c:axId val="33463162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95936883"/>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381000</xdr:colOff>
      <xdr:row>7</xdr:row>
      <xdr:rowOff>295275</xdr:rowOff>
    </xdr:from>
    <xdr:ext cx="10544175" cy="353377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13</xdr:col>
      <xdr:colOff>381000</xdr:colOff>
      <xdr:row>13</xdr:row>
      <xdr:rowOff>476250</xdr:rowOff>
    </xdr:from>
    <xdr:ext cx="10544175" cy="3533775"/>
    <xdr:graphicFrame>
      <xdr:nvGraphicFramePr>
        <xdr:cNvPr id="2" name="Chart 2"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13</xdr:col>
      <xdr:colOff>381000</xdr:colOff>
      <xdr:row>20</xdr:row>
      <xdr:rowOff>447675</xdr:rowOff>
    </xdr:from>
    <xdr:ext cx="10544175" cy="3533775"/>
    <xdr:graphicFrame>
      <xdr:nvGraphicFramePr>
        <xdr:cNvPr id="3" name="Chart 3" title="Gráfico"/>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13</xdr:col>
      <xdr:colOff>381000</xdr:colOff>
      <xdr:row>25</xdr:row>
      <xdr:rowOff>238125</xdr:rowOff>
    </xdr:from>
    <xdr:ext cx="10544175" cy="3533775"/>
    <xdr:graphicFrame>
      <xdr:nvGraphicFramePr>
        <xdr:cNvPr id="4" name="Chart 4" title="Gráfico"/>
        <xdr:cNvGraphicFramePr/>
      </xdr:nvGraphicFramePr>
      <xdr:xfrm>
        <a:off x="0" y="0"/>
        <a:ext cx="0" cy="0"/>
      </xdr:xfrm>
      <a:graphic>
        <a:graphicData uri="http://schemas.openxmlformats.org/drawingml/2006/chart">
          <c:chart r:id="rId4"/>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0.13"/>
    <col customWidth="1" min="3" max="3" width="18.38"/>
    <col customWidth="1" min="4" max="4" width="79.88"/>
  </cols>
  <sheetData>
    <row r="1">
      <c r="A1" s="1" t="s">
        <v>0</v>
      </c>
      <c r="B1" s="1" t="s">
        <v>1</v>
      </c>
      <c r="C1" s="1" t="s">
        <v>2</v>
      </c>
      <c r="D1" s="1" t="s">
        <v>3</v>
      </c>
      <c r="E1" s="1" t="s">
        <v>4</v>
      </c>
      <c r="F1" s="2" t="s">
        <v>5</v>
      </c>
      <c r="G1" s="1" t="s">
        <v>6</v>
      </c>
      <c r="H1" s="3" t="s">
        <v>7</v>
      </c>
      <c r="I1" s="3" t="s">
        <v>8</v>
      </c>
      <c r="J1" s="4"/>
      <c r="K1" s="4"/>
      <c r="L1" s="4"/>
      <c r="M1" s="5" t="s">
        <v>9</v>
      </c>
      <c r="N1" s="5" t="s">
        <v>10</v>
      </c>
      <c r="O1" s="5" t="s">
        <v>11</v>
      </c>
      <c r="P1" s="5" t="s">
        <v>12</v>
      </c>
      <c r="Q1" s="6">
        <v>1.0</v>
      </c>
      <c r="R1" s="6">
        <v>2.0</v>
      </c>
      <c r="S1" s="6">
        <v>3.0</v>
      </c>
      <c r="T1" s="6">
        <v>4.0</v>
      </c>
      <c r="U1" s="6">
        <v>5.0</v>
      </c>
      <c r="V1" s="6">
        <v>-1.0</v>
      </c>
      <c r="W1" s="6">
        <v>-2.0</v>
      </c>
      <c r="X1" s="6">
        <v>-3.0</v>
      </c>
      <c r="Y1" s="6">
        <v>-4.0</v>
      </c>
      <c r="Z1" s="6">
        <v>-5.0</v>
      </c>
      <c r="AA1" s="5" t="s">
        <v>13</v>
      </c>
    </row>
    <row r="2">
      <c r="A2" s="7">
        <v>0.0</v>
      </c>
      <c r="B2" s="1" t="s">
        <v>14</v>
      </c>
      <c r="C2" s="1" t="s">
        <v>15</v>
      </c>
      <c r="D2" s="1" t="s">
        <v>16</v>
      </c>
      <c r="E2" s="1">
        <v>4.0</v>
      </c>
      <c r="F2" s="8">
        <v>1.22266101837158E15</v>
      </c>
      <c r="G2" s="1">
        <v>4.0</v>
      </c>
      <c r="H2" s="9">
        <f t="shared" ref="H2:H285" si="1">ABS(I2)</f>
        <v>0</v>
      </c>
      <c r="I2" s="9">
        <f t="shared" ref="I2:I285" si="2">E2-G2</f>
        <v>0</v>
      </c>
      <c r="J2" s="4"/>
      <c r="K2" s="4"/>
      <c r="L2" s="4"/>
      <c r="M2" s="6">
        <f>MAX(H1:H72)</f>
        <v>4</v>
      </c>
      <c r="N2" s="10">
        <f>AVERAGE(H2:H72)</f>
        <v>1.112676056</v>
      </c>
      <c r="O2" s="10">
        <f>AVERAGE(I1:I72)</f>
        <v>-0.1267605634</v>
      </c>
      <c r="P2" s="11">
        <f>COUNTIF(I2:I72, 0) / COUNT(I2:I72)
</f>
        <v>0.2957746479</v>
      </c>
      <c r="Q2" s="12">
        <f>COUNTIF(I2:I72, 1) / COUNT(I2:I72)</f>
        <v>0.2112676056</v>
      </c>
      <c r="R2" s="13">
        <f>COUNTIF(I2:I72, 2) / COUNT(I2:I72)</f>
        <v>0.07042253521</v>
      </c>
      <c r="S2" s="13">
        <f>COUNTIF(I2:I72, 3) / COUNT(I2:I72)</f>
        <v>0.02816901408</v>
      </c>
      <c r="T2" s="13">
        <f>COUNTIF(I2:I72, 4) / COUNT(I2:I72)</f>
        <v>0.01408450704</v>
      </c>
      <c r="U2" s="13">
        <f>COUNTIF(I2:I72, 5) / COUNT(I2:I72)</f>
        <v>0</v>
      </c>
      <c r="V2" s="13">
        <f>COUNTIF(I2:I72, -1) / COUNT(I2:I72)</f>
        <v>0.2253521127</v>
      </c>
      <c r="W2" s="13">
        <f>COUNTIF(I2:I72, -2) / COUNT(I2:I72)</f>
        <v>0.07042253521</v>
      </c>
      <c r="X2" s="13">
        <f>COUNTIF(I2:I72, -3) / COUNT(I2:I72)</f>
        <v>0.08450704225</v>
      </c>
      <c r="Y2" s="13">
        <f>COUNTIF(I2:I72, -4) / COUNT(I2:I72)</f>
        <v>0</v>
      </c>
      <c r="Z2" s="13">
        <f>COUNTIF(I2:I72, -5) / COUNT(I2:I72)</f>
        <v>0</v>
      </c>
      <c r="AA2" s="13">
        <f>COUNTIF(H2:H72, "&lt;=1") / COUNT(H2:H72)</f>
        <v>0.7323943662</v>
      </c>
    </row>
    <row r="3">
      <c r="A3" s="7">
        <v>1.0</v>
      </c>
      <c r="B3" s="1" t="s">
        <v>17</v>
      </c>
      <c r="C3" s="1" t="s">
        <v>15</v>
      </c>
      <c r="D3" s="1" t="s">
        <v>18</v>
      </c>
      <c r="E3" s="1">
        <v>2.0</v>
      </c>
      <c r="F3" s="8">
        <v>1.07563436031341E16</v>
      </c>
      <c r="G3" s="1">
        <v>4.0</v>
      </c>
      <c r="H3" s="9">
        <f t="shared" si="1"/>
        <v>2</v>
      </c>
      <c r="I3" s="9">
        <f t="shared" si="2"/>
        <v>-2</v>
      </c>
      <c r="M3" s="6">
        <f>MAX(H73:H143)</f>
        <v>6</v>
      </c>
      <c r="N3" s="10">
        <f t="shared" ref="N3:O3" si="3">AVERAGE(H73:H143)</f>
        <v>1.338028169</v>
      </c>
      <c r="O3" s="10">
        <f t="shared" si="3"/>
        <v>-0.2676056338</v>
      </c>
      <c r="P3" s="11">
        <f>COUNTIF(I73:I143, 0) / COUNT(I73:I143)
</f>
        <v>0.323943662</v>
      </c>
      <c r="Q3" s="12">
        <f>COUNTIF(I73:I143, 1) / COUNT(I73:I143)</f>
        <v>0.1126760563</v>
      </c>
      <c r="R3" s="13">
        <f>COUNTIF(I73:I143, 2) / COUNT(I73:I143)</f>
        <v>0.1126760563</v>
      </c>
      <c r="S3" s="13">
        <f>COUNTIF(I73:I143, 3) / COUNT(I73:I143)</f>
        <v>0.02816901408</v>
      </c>
      <c r="T3" s="13">
        <f>COUNTIF(I73:I143, 4) / COUNT(I73:I143)</f>
        <v>0.02816901408</v>
      </c>
      <c r="U3" s="13">
        <f>COUNTIF(I73:I143, 5) / COUNT(I73:I143)</f>
        <v>0</v>
      </c>
      <c r="V3" s="13">
        <f>COUNTIF(I73:I143, -1) / COUNT(I73:I143)</f>
        <v>0.1690140845</v>
      </c>
      <c r="W3" s="13">
        <f>COUNTIF(I73:I143, -2) / COUNT(I73:I143)</f>
        <v>0.1126760563</v>
      </c>
      <c r="X3" s="13">
        <f>COUNTIF(I73:I143, -3) / COUNT(I73:I143)</f>
        <v>0.07042253521</v>
      </c>
      <c r="Y3" s="13">
        <f>COUNTIF(I73:I143, -4) / COUNT(I73:I143)</f>
        <v>0.02816901408</v>
      </c>
      <c r="Z3" s="13">
        <f>COUNTIF(I73:I143, -5) / COUNT(I73:I143)</f>
        <v>0</v>
      </c>
      <c r="AA3" s="13">
        <f>COUNTIF(H73:H143, "&lt;=1") / COUNT(H73:H143)</f>
        <v>0.6056338028</v>
      </c>
    </row>
    <row r="4">
      <c r="A4" s="7">
        <v>2.0</v>
      </c>
      <c r="B4" s="1" t="s">
        <v>19</v>
      </c>
      <c r="C4" s="1" t="s">
        <v>15</v>
      </c>
      <c r="D4" s="1" t="s">
        <v>20</v>
      </c>
      <c r="E4" s="1">
        <v>5.0</v>
      </c>
      <c r="F4" s="8">
        <v>1.05803976058959E16</v>
      </c>
      <c r="G4" s="1">
        <v>4.0</v>
      </c>
      <c r="H4" s="9">
        <f t="shared" si="1"/>
        <v>1</v>
      </c>
      <c r="I4" s="9">
        <f t="shared" si="2"/>
        <v>1</v>
      </c>
      <c r="M4" s="6">
        <f>MAX(H144:H214)</f>
        <v>4</v>
      </c>
      <c r="N4" s="10">
        <f t="shared" ref="N4:O4" si="4">AVERAGE(H144:H214)</f>
        <v>1.323943662</v>
      </c>
      <c r="O4" s="10">
        <f t="shared" si="4"/>
        <v>-0.5070422535</v>
      </c>
      <c r="P4" s="11">
        <f>COUNTIF(I144:I214, 0) / COUNT(I144:I214)
</f>
        <v>0.2535211268</v>
      </c>
      <c r="Q4" s="12">
        <f>COUNTIF(I144:I214, 1) / COUNT(I144:I214)</f>
        <v>0.1971830986</v>
      </c>
      <c r="R4" s="13">
        <f>COUNTIF(I144:I214, 2) / COUNT(I144:I214)</f>
        <v>0.08450704225</v>
      </c>
      <c r="S4" s="13">
        <f>COUNTIF(I144:I214, 3) / COUNT(I144:I214)</f>
        <v>0.01408450704</v>
      </c>
      <c r="T4" s="13">
        <f>COUNTIF(I144:I214, 4) / COUNT(I144:I214)</f>
        <v>0</v>
      </c>
      <c r="U4" s="13">
        <f>COUNTIF(I144:I214, 5) / COUNT(I144:I214)</f>
        <v>0</v>
      </c>
      <c r="V4" s="13">
        <f>COUNTIF(I144:I214, -1) / COUNT(I144:I214)</f>
        <v>0.1549295775</v>
      </c>
      <c r="W4" s="13">
        <f>COUNTIF(I144:I214, -2) / COUNT(I144:I214)</f>
        <v>0.1690140845</v>
      </c>
      <c r="X4" s="13">
        <f>COUNTIF(I144:I214, -3) / COUNT(I144:I214)</f>
        <v>0.08450704225</v>
      </c>
      <c r="Y4" s="13">
        <f>COUNTIF(I144:I214, -4) / COUNT(I144:I214)</f>
        <v>0.04225352113</v>
      </c>
      <c r="Z4" s="13">
        <f>COUNTIF(I144:I214, -5) / COUNT(I144:I214)</f>
        <v>0</v>
      </c>
      <c r="AA4" s="13">
        <f>COUNTIF(H144:H214, "&lt;=1") / COUNT(H144:H214)</f>
        <v>0.6056338028</v>
      </c>
    </row>
    <row r="5">
      <c r="A5" s="7">
        <v>3.0</v>
      </c>
      <c r="B5" s="1" t="s">
        <v>21</v>
      </c>
      <c r="C5" s="1" t="s">
        <v>15</v>
      </c>
      <c r="D5" s="1" t="s">
        <v>22</v>
      </c>
      <c r="E5" s="1">
        <v>4.0</v>
      </c>
      <c r="F5" s="8">
        <v>1.08687770366668E15</v>
      </c>
      <c r="G5" s="1">
        <v>7.0</v>
      </c>
      <c r="H5" s="9">
        <f t="shared" si="1"/>
        <v>3</v>
      </c>
      <c r="I5" s="9">
        <f t="shared" si="2"/>
        <v>-3</v>
      </c>
      <c r="M5" s="6">
        <f>MAX(H215:H285)</f>
        <v>4</v>
      </c>
      <c r="N5" s="10">
        <f t="shared" ref="N5:O5" si="5">AVERAGE(H215:H285)</f>
        <v>1.211267606</v>
      </c>
      <c r="O5" s="10">
        <f t="shared" si="5"/>
        <v>-0.3943661972</v>
      </c>
      <c r="P5" s="11">
        <f>COUNTIF(I215:I285, 0) / COUNT(I215:I285)
</f>
        <v>0.2394366197</v>
      </c>
      <c r="Q5" s="12">
        <f>COUNTIF(I215:I285, 1) / COUNT(I215:I285)</f>
        <v>0.2253521127</v>
      </c>
      <c r="R5" s="13">
        <f>COUNTIF(I215:I285, 2) / COUNT(I215:I285)</f>
        <v>0.07042253521</v>
      </c>
      <c r="S5" s="13">
        <f>COUNTIF(I215:I285, 3) / COUNT(I215:I285)</f>
        <v>0.01408450704</v>
      </c>
      <c r="T5" s="13">
        <f>COUNTIF(I215:I285, 4) / COUNT(I215:I285)</f>
        <v>0</v>
      </c>
      <c r="U5" s="13">
        <f>COUNTIF(I215:I285, 5) / COUNT(I215:I285)</f>
        <v>0</v>
      </c>
      <c r="V5" s="13">
        <f>COUNTIF(I215:I285, -1) / COUNT(I215:I285)</f>
        <v>0.1971830986</v>
      </c>
      <c r="W5" s="13">
        <f>COUNTIF(I215:I285, -2) / COUNT(I215:I285)</f>
        <v>0.1830985915</v>
      </c>
      <c r="X5" s="13">
        <f>COUNTIF(I215:I285, -3) / COUNT(I215:I285)</f>
        <v>0.04225352113</v>
      </c>
      <c r="Y5" s="13">
        <f>COUNTIF(I215:I285, -4) / COUNT(I215:I285)</f>
        <v>0.02816901408</v>
      </c>
      <c r="Z5" s="13">
        <f>COUNTIF(I215:I285, -5) / COUNT(I215:I285)</f>
        <v>0</v>
      </c>
      <c r="AA5" s="13">
        <f>COUNTIF(H215:H285, "&lt;=1") / COUNT(H215:H285)</f>
        <v>0.661971831</v>
      </c>
    </row>
    <row r="6">
      <c r="A6" s="7">
        <v>4.0</v>
      </c>
      <c r="B6" s="1" t="s">
        <v>23</v>
      </c>
      <c r="C6" s="1" t="s">
        <v>15</v>
      </c>
      <c r="D6" s="1" t="s">
        <v>24</v>
      </c>
      <c r="E6" s="1">
        <v>6.0</v>
      </c>
      <c r="F6" s="8">
        <v>1.03189756870269E16</v>
      </c>
      <c r="G6" s="1">
        <v>4.0</v>
      </c>
      <c r="H6" s="9">
        <f t="shared" si="1"/>
        <v>2</v>
      </c>
      <c r="I6" s="9">
        <f t="shared" si="2"/>
        <v>2</v>
      </c>
      <c r="N6" s="14">
        <f t="shared" ref="N6:AA6" si="6">AVERAGE(N2:N3)</f>
        <v>1.225352113</v>
      </c>
      <c r="O6" s="14">
        <f t="shared" si="6"/>
        <v>-0.1971830986</v>
      </c>
      <c r="P6" s="15">
        <f t="shared" si="6"/>
        <v>0.3098591549</v>
      </c>
      <c r="Q6" s="16">
        <f t="shared" si="6"/>
        <v>0.161971831</v>
      </c>
      <c r="R6" s="17">
        <f t="shared" si="6"/>
        <v>0.09154929577</v>
      </c>
      <c r="S6" s="17">
        <f t="shared" si="6"/>
        <v>0.02816901408</v>
      </c>
      <c r="T6" s="17">
        <f t="shared" si="6"/>
        <v>0.02112676056</v>
      </c>
      <c r="U6" s="17">
        <f t="shared" si="6"/>
        <v>0</v>
      </c>
      <c r="V6" s="17">
        <f t="shared" si="6"/>
        <v>0.1971830986</v>
      </c>
      <c r="W6" s="17">
        <f t="shared" si="6"/>
        <v>0.09154929577</v>
      </c>
      <c r="X6" s="17">
        <f t="shared" si="6"/>
        <v>0.07746478873</v>
      </c>
      <c r="Y6" s="17">
        <f t="shared" si="6"/>
        <v>0.01408450704</v>
      </c>
      <c r="Z6" s="17">
        <f t="shared" si="6"/>
        <v>0</v>
      </c>
      <c r="AA6" s="17">
        <f t="shared" si="6"/>
        <v>0.6690140845</v>
      </c>
    </row>
    <row r="7">
      <c r="A7" s="7">
        <v>5.0</v>
      </c>
      <c r="B7" s="1" t="s">
        <v>25</v>
      </c>
      <c r="C7" s="1" t="s">
        <v>15</v>
      </c>
      <c r="D7" s="1" t="s">
        <v>26</v>
      </c>
      <c r="E7" s="1">
        <v>6.0</v>
      </c>
      <c r="F7" s="8">
        <v>1.07450113296508E15</v>
      </c>
      <c r="G7" s="1">
        <v>7.0</v>
      </c>
      <c r="H7" s="9">
        <f t="shared" si="1"/>
        <v>1</v>
      </c>
      <c r="I7" s="9">
        <f t="shared" si="2"/>
        <v>-1</v>
      </c>
      <c r="N7" s="14">
        <f t="shared" ref="N7:AA7" si="7">AVERAGE(N4:N5)</f>
        <v>1.267605634</v>
      </c>
      <c r="O7" s="14">
        <f t="shared" si="7"/>
        <v>-0.4507042254</v>
      </c>
      <c r="P7" s="15">
        <f t="shared" si="7"/>
        <v>0.2464788732</v>
      </c>
      <c r="Q7" s="16">
        <f t="shared" si="7"/>
        <v>0.2112676056</v>
      </c>
      <c r="R7" s="17">
        <f t="shared" si="7"/>
        <v>0.07746478873</v>
      </c>
      <c r="S7" s="17">
        <f t="shared" si="7"/>
        <v>0.01408450704</v>
      </c>
      <c r="T7" s="17">
        <f t="shared" si="7"/>
        <v>0</v>
      </c>
      <c r="U7" s="17">
        <f t="shared" si="7"/>
        <v>0</v>
      </c>
      <c r="V7" s="17">
        <f t="shared" si="7"/>
        <v>0.176056338</v>
      </c>
      <c r="W7" s="17">
        <f t="shared" si="7"/>
        <v>0.176056338</v>
      </c>
      <c r="X7" s="17">
        <f t="shared" si="7"/>
        <v>0.06338028169</v>
      </c>
      <c r="Y7" s="17">
        <f t="shared" si="7"/>
        <v>0.03521126761</v>
      </c>
      <c r="Z7" s="17">
        <f t="shared" si="7"/>
        <v>0</v>
      </c>
      <c r="AA7" s="17">
        <f t="shared" si="7"/>
        <v>0.6338028169</v>
      </c>
    </row>
    <row r="8">
      <c r="A8" s="7">
        <v>6.0</v>
      </c>
      <c r="B8" s="1" t="s">
        <v>27</v>
      </c>
      <c r="C8" s="1" t="s">
        <v>15</v>
      </c>
      <c r="D8" s="1" t="s">
        <v>28</v>
      </c>
      <c r="E8" s="1">
        <v>7.0</v>
      </c>
      <c r="F8" s="8">
        <v>1.08400893211364E16</v>
      </c>
      <c r="G8" s="1">
        <v>8.0</v>
      </c>
      <c r="H8" s="9">
        <f t="shared" si="1"/>
        <v>1</v>
      </c>
      <c r="I8" s="9">
        <f t="shared" si="2"/>
        <v>-1</v>
      </c>
    </row>
    <row r="9">
      <c r="A9" s="7">
        <v>7.0</v>
      </c>
      <c r="B9" s="1" t="s">
        <v>29</v>
      </c>
      <c r="C9" s="1" t="s">
        <v>15</v>
      </c>
      <c r="D9" s="1" t="s">
        <v>30</v>
      </c>
      <c r="E9" s="1">
        <v>5.0</v>
      </c>
      <c r="F9" s="8">
        <v>1.03462216854095E16</v>
      </c>
      <c r="G9" s="1">
        <v>8.0</v>
      </c>
      <c r="H9" s="9">
        <f t="shared" si="1"/>
        <v>3</v>
      </c>
      <c r="I9" s="9">
        <f t="shared" si="2"/>
        <v>-3</v>
      </c>
    </row>
    <row r="10">
      <c r="A10" s="7">
        <v>8.0</v>
      </c>
      <c r="B10" s="1" t="s">
        <v>31</v>
      </c>
      <c r="C10" s="1" t="s">
        <v>15</v>
      </c>
      <c r="D10" s="1" t="s">
        <v>32</v>
      </c>
      <c r="E10" s="1">
        <v>7.0</v>
      </c>
      <c r="F10" s="8">
        <v>1.08463289737701E16</v>
      </c>
      <c r="G10" s="1">
        <v>4.0</v>
      </c>
      <c r="H10" s="9">
        <f t="shared" si="1"/>
        <v>3</v>
      </c>
      <c r="I10" s="9">
        <f t="shared" si="2"/>
        <v>3</v>
      </c>
    </row>
    <row r="11">
      <c r="A11" s="7">
        <v>9.0</v>
      </c>
      <c r="B11" s="1" t="s">
        <v>33</v>
      </c>
      <c r="C11" s="1" t="s">
        <v>15</v>
      </c>
      <c r="D11" s="1" t="s">
        <v>34</v>
      </c>
      <c r="E11" s="1">
        <v>6.0</v>
      </c>
      <c r="F11" s="8">
        <v>1.08288280963897E15</v>
      </c>
      <c r="G11" s="1">
        <v>5.0</v>
      </c>
      <c r="H11" s="9">
        <f t="shared" si="1"/>
        <v>1</v>
      </c>
      <c r="I11" s="9">
        <f t="shared" si="2"/>
        <v>1</v>
      </c>
    </row>
    <row r="12">
      <c r="A12" s="7">
        <v>10.0</v>
      </c>
      <c r="B12" s="1" t="s">
        <v>35</v>
      </c>
      <c r="C12" s="1" t="s">
        <v>15</v>
      </c>
      <c r="D12" s="1" t="s">
        <v>36</v>
      </c>
      <c r="E12" s="1">
        <v>6.0</v>
      </c>
      <c r="F12" s="8">
        <v>1.08378384113311E16</v>
      </c>
      <c r="G12" s="1">
        <v>7.0</v>
      </c>
      <c r="H12" s="9">
        <f t="shared" si="1"/>
        <v>1</v>
      </c>
      <c r="I12" s="9">
        <f t="shared" si="2"/>
        <v>-1</v>
      </c>
    </row>
    <row r="13">
      <c r="A13" s="7">
        <v>11.0</v>
      </c>
      <c r="B13" s="1" t="s">
        <v>37</v>
      </c>
      <c r="C13" s="1" t="s">
        <v>15</v>
      </c>
      <c r="D13" s="1" t="s">
        <v>38</v>
      </c>
      <c r="E13" s="1">
        <v>6.0</v>
      </c>
      <c r="F13" s="8">
        <v>1.07224340438842E16</v>
      </c>
      <c r="G13" s="1">
        <v>7.0</v>
      </c>
      <c r="H13" s="9">
        <f t="shared" si="1"/>
        <v>1</v>
      </c>
      <c r="I13" s="9">
        <f t="shared" si="2"/>
        <v>-1</v>
      </c>
    </row>
    <row r="14">
      <c r="A14" s="7">
        <v>12.0</v>
      </c>
      <c r="B14" s="1" t="s">
        <v>39</v>
      </c>
      <c r="C14" s="1" t="s">
        <v>15</v>
      </c>
      <c r="D14" s="1" t="s">
        <v>40</v>
      </c>
      <c r="E14" s="1">
        <v>8.0</v>
      </c>
      <c r="F14" s="8">
        <v>1.13163449764251E16</v>
      </c>
      <c r="G14" s="1">
        <v>8.0</v>
      </c>
      <c r="H14" s="9">
        <f t="shared" si="1"/>
        <v>0</v>
      </c>
      <c r="I14" s="9">
        <f t="shared" si="2"/>
        <v>0</v>
      </c>
    </row>
    <row r="15">
      <c r="A15" s="7">
        <v>13.0</v>
      </c>
      <c r="B15" s="1" t="s">
        <v>41</v>
      </c>
      <c r="C15" s="1" t="s">
        <v>15</v>
      </c>
      <c r="D15" s="1" t="s">
        <v>42</v>
      </c>
      <c r="E15" s="1">
        <v>5.0</v>
      </c>
      <c r="F15" s="8">
        <v>1.02470784187316E15</v>
      </c>
      <c r="G15" s="1">
        <v>5.0</v>
      </c>
      <c r="H15" s="9">
        <f t="shared" si="1"/>
        <v>0</v>
      </c>
      <c r="I15" s="9">
        <f t="shared" si="2"/>
        <v>0</v>
      </c>
    </row>
    <row r="16">
      <c r="A16" s="7">
        <v>14.0</v>
      </c>
      <c r="B16" s="1" t="s">
        <v>43</v>
      </c>
      <c r="C16" s="1" t="s">
        <v>15</v>
      </c>
      <c r="D16" s="1" t="s">
        <v>44</v>
      </c>
      <c r="E16" s="1">
        <v>7.0</v>
      </c>
      <c r="F16" s="8">
        <v>1.03085913658142E16</v>
      </c>
      <c r="G16" s="1">
        <v>5.0</v>
      </c>
      <c r="H16" s="9">
        <f t="shared" si="1"/>
        <v>2</v>
      </c>
      <c r="I16" s="9">
        <f t="shared" si="2"/>
        <v>2</v>
      </c>
    </row>
    <row r="17">
      <c r="A17" s="7">
        <v>15.0</v>
      </c>
      <c r="B17" s="1" t="s">
        <v>45</v>
      </c>
      <c r="C17" s="1" t="s">
        <v>15</v>
      </c>
      <c r="D17" s="1" t="s">
        <v>46</v>
      </c>
      <c r="E17" s="1">
        <v>2.0</v>
      </c>
      <c r="F17" s="8">
        <v>1.12921109199523E16</v>
      </c>
      <c r="G17" s="1">
        <v>4.0</v>
      </c>
      <c r="H17" s="9">
        <f t="shared" si="1"/>
        <v>2</v>
      </c>
      <c r="I17" s="9">
        <f t="shared" si="2"/>
        <v>-2</v>
      </c>
    </row>
    <row r="18">
      <c r="A18" s="7">
        <v>16.0</v>
      </c>
      <c r="B18" s="1" t="s">
        <v>47</v>
      </c>
      <c r="C18" s="1" t="s">
        <v>15</v>
      </c>
      <c r="D18" s="1" t="s">
        <v>48</v>
      </c>
      <c r="E18" s="1">
        <v>7.0</v>
      </c>
      <c r="F18" s="8">
        <v>1.08325502872467E16</v>
      </c>
      <c r="G18" s="1">
        <v>7.0</v>
      </c>
      <c r="H18" s="9">
        <f t="shared" si="1"/>
        <v>0</v>
      </c>
      <c r="I18" s="9">
        <f t="shared" si="2"/>
        <v>0</v>
      </c>
    </row>
    <row r="19">
      <c r="A19" s="7">
        <v>17.0</v>
      </c>
      <c r="B19" s="1" t="s">
        <v>49</v>
      </c>
      <c r="C19" s="1" t="s">
        <v>15</v>
      </c>
      <c r="D19" s="1" t="s">
        <v>50</v>
      </c>
      <c r="E19" s="1">
        <v>9.0</v>
      </c>
      <c r="F19" s="8">
        <v>1.07693943977355E16</v>
      </c>
      <c r="G19" s="1">
        <v>8.0</v>
      </c>
      <c r="H19" s="9">
        <f t="shared" si="1"/>
        <v>1</v>
      </c>
      <c r="I19" s="9">
        <f t="shared" si="2"/>
        <v>1</v>
      </c>
    </row>
    <row r="20">
      <c r="A20" s="7">
        <v>18.0</v>
      </c>
      <c r="B20" s="1" t="s">
        <v>51</v>
      </c>
      <c r="C20" s="1" t="s">
        <v>15</v>
      </c>
      <c r="D20" s="1" t="s">
        <v>52</v>
      </c>
      <c r="E20" s="1">
        <v>7.0</v>
      </c>
      <c r="F20" s="8">
        <v>1.08501296043396E14</v>
      </c>
      <c r="G20" s="1">
        <v>8.0</v>
      </c>
      <c r="H20" s="9">
        <f t="shared" si="1"/>
        <v>1</v>
      </c>
      <c r="I20" s="9">
        <f t="shared" si="2"/>
        <v>-1</v>
      </c>
    </row>
    <row r="21">
      <c r="A21" s="7">
        <v>19.0</v>
      </c>
      <c r="B21" s="1" t="s">
        <v>53</v>
      </c>
      <c r="C21" s="1" t="s">
        <v>15</v>
      </c>
      <c r="D21" s="1" t="s">
        <v>54</v>
      </c>
      <c r="E21" s="1">
        <v>0.0</v>
      </c>
      <c r="F21" s="8">
        <v>1.02234034538269E16</v>
      </c>
      <c r="G21" s="1">
        <v>1.0</v>
      </c>
      <c r="H21" s="9">
        <f t="shared" si="1"/>
        <v>1</v>
      </c>
      <c r="I21" s="9">
        <f t="shared" si="2"/>
        <v>-1</v>
      </c>
    </row>
    <row r="22">
      <c r="A22" s="7">
        <v>20.0</v>
      </c>
      <c r="B22" s="1" t="s">
        <v>55</v>
      </c>
      <c r="C22" s="1" t="s">
        <v>15</v>
      </c>
      <c r="D22" s="1" t="s">
        <v>56</v>
      </c>
      <c r="E22" s="1">
        <v>8.0</v>
      </c>
      <c r="F22" s="8">
        <v>1.12664060592651E16</v>
      </c>
      <c r="G22" s="1">
        <v>8.0</v>
      </c>
      <c r="H22" s="9">
        <f t="shared" si="1"/>
        <v>0</v>
      </c>
      <c r="I22" s="9">
        <f t="shared" si="2"/>
        <v>0</v>
      </c>
    </row>
    <row r="23">
      <c r="A23" s="7">
        <v>21.0</v>
      </c>
      <c r="B23" s="1" t="s">
        <v>57</v>
      </c>
      <c r="C23" s="1" t="s">
        <v>15</v>
      </c>
      <c r="D23" s="1" t="s">
        <v>58</v>
      </c>
      <c r="E23" s="1">
        <v>4.0</v>
      </c>
      <c r="F23" s="8">
        <v>1.02132964134216E15</v>
      </c>
      <c r="G23" s="1">
        <v>5.0</v>
      </c>
      <c r="H23" s="9">
        <f t="shared" si="1"/>
        <v>1</v>
      </c>
      <c r="I23" s="9">
        <f t="shared" si="2"/>
        <v>-1</v>
      </c>
    </row>
    <row r="24">
      <c r="A24" s="7">
        <v>22.0</v>
      </c>
      <c r="B24" s="1" t="s">
        <v>59</v>
      </c>
      <c r="C24" s="1" t="s">
        <v>15</v>
      </c>
      <c r="D24" s="1" t="s">
        <v>60</v>
      </c>
      <c r="E24" s="1">
        <v>7.0</v>
      </c>
      <c r="F24" s="8">
        <v>1.07251076698303E16</v>
      </c>
      <c r="G24" s="1">
        <v>7.0</v>
      </c>
      <c r="H24" s="9">
        <f t="shared" si="1"/>
        <v>0</v>
      </c>
      <c r="I24" s="9">
        <f t="shared" si="2"/>
        <v>0</v>
      </c>
    </row>
    <row r="25">
      <c r="A25" s="7">
        <v>23.0</v>
      </c>
      <c r="B25" s="1" t="s">
        <v>61</v>
      </c>
      <c r="C25" s="1" t="s">
        <v>15</v>
      </c>
      <c r="D25" s="1" t="s">
        <v>62</v>
      </c>
      <c r="E25" s="1">
        <v>1.0</v>
      </c>
      <c r="F25" s="8">
        <v>1.02335512638092E16</v>
      </c>
      <c r="G25" s="1">
        <v>1.0</v>
      </c>
      <c r="H25" s="9">
        <f t="shared" si="1"/>
        <v>0</v>
      </c>
      <c r="I25" s="9">
        <f t="shared" si="2"/>
        <v>0</v>
      </c>
    </row>
    <row r="26">
      <c r="A26" s="7">
        <v>24.0</v>
      </c>
      <c r="B26" s="1" t="s">
        <v>63</v>
      </c>
      <c r="C26" s="1" t="s">
        <v>15</v>
      </c>
      <c r="D26" s="1" t="s">
        <v>64</v>
      </c>
      <c r="E26" s="1">
        <v>0.0</v>
      </c>
      <c r="F26" s="8">
        <v>9.93250060081482E14</v>
      </c>
      <c r="G26" s="1">
        <v>0.0</v>
      </c>
      <c r="H26" s="9">
        <f t="shared" si="1"/>
        <v>0</v>
      </c>
      <c r="I26" s="9">
        <f t="shared" si="2"/>
        <v>0</v>
      </c>
    </row>
    <row r="27">
      <c r="A27" s="7">
        <v>25.0</v>
      </c>
      <c r="B27" s="1" t="s">
        <v>65</v>
      </c>
      <c r="C27" s="1" t="s">
        <v>15</v>
      </c>
      <c r="D27" s="1" t="s">
        <v>66</v>
      </c>
      <c r="E27" s="1">
        <v>7.0</v>
      </c>
      <c r="F27" s="8">
        <v>1.03045377731323E16</v>
      </c>
      <c r="G27" s="1">
        <v>4.0</v>
      </c>
      <c r="H27" s="9">
        <f t="shared" si="1"/>
        <v>3</v>
      </c>
      <c r="I27" s="9">
        <f t="shared" si="2"/>
        <v>3</v>
      </c>
    </row>
    <row r="28">
      <c r="A28" s="7">
        <v>26.0</v>
      </c>
      <c r="B28" s="1" t="s">
        <v>67</v>
      </c>
      <c r="C28" s="1" t="s">
        <v>15</v>
      </c>
      <c r="D28" s="1" t="s">
        <v>68</v>
      </c>
      <c r="E28" s="1">
        <v>7.0</v>
      </c>
      <c r="F28" s="8">
        <v>1.02419521808624E16</v>
      </c>
      <c r="G28" s="1">
        <v>7.0</v>
      </c>
      <c r="H28" s="9">
        <f t="shared" si="1"/>
        <v>0</v>
      </c>
      <c r="I28" s="9">
        <f t="shared" si="2"/>
        <v>0</v>
      </c>
    </row>
    <row r="29">
      <c r="A29" s="7">
        <v>27.0</v>
      </c>
      <c r="B29" s="1" t="s">
        <v>69</v>
      </c>
      <c r="C29" s="1" t="s">
        <v>15</v>
      </c>
      <c r="D29" s="1" t="s">
        <v>70</v>
      </c>
      <c r="E29" s="1">
        <v>4.0</v>
      </c>
      <c r="F29" s="8">
        <v>1.03036963939666E16</v>
      </c>
      <c r="G29" s="1">
        <v>7.0</v>
      </c>
      <c r="H29" s="9">
        <f t="shared" si="1"/>
        <v>3</v>
      </c>
      <c r="I29" s="9">
        <f t="shared" si="2"/>
        <v>-3</v>
      </c>
    </row>
    <row r="30">
      <c r="A30" s="7">
        <v>28.0</v>
      </c>
      <c r="B30" s="1" t="s">
        <v>71</v>
      </c>
      <c r="C30" s="1" t="s">
        <v>15</v>
      </c>
      <c r="D30" s="1" t="s">
        <v>72</v>
      </c>
      <c r="E30" s="1">
        <v>4.0</v>
      </c>
      <c r="F30" s="8">
        <v>1.02664184570312E15</v>
      </c>
      <c r="G30" s="1">
        <v>4.0</v>
      </c>
      <c r="H30" s="9">
        <f t="shared" si="1"/>
        <v>0</v>
      </c>
      <c r="I30" s="9">
        <f t="shared" si="2"/>
        <v>0</v>
      </c>
    </row>
    <row r="31">
      <c r="A31" s="7">
        <v>29.0</v>
      </c>
      <c r="B31" s="1" t="s">
        <v>73</v>
      </c>
      <c r="C31" s="1" t="s">
        <v>15</v>
      </c>
      <c r="D31" s="1" t="s">
        <v>74</v>
      </c>
      <c r="E31" s="1">
        <v>3.0</v>
      </c>
      <c r="F31" s="8">
        <v>1.02384355068206E15</v>
      </c>
      <c r="G31" s="1">
        <v>4.0</v>
      </c>
      <c r="H31" s="9">
        <f t="shared" si="1"/>
        <v>1</v>
      </c>
      <c r="I31" s="9">
        <f t="shared" si="2"/>
        <v>-1</v>
      </c>
    </row>
    <row r="32">
      <c r="A32" s="7">
        <v>30.0</v>
      </c>
      <c r="B32" s="1" t="s">
        <v>75</v>
      </c>
      <c r="C32" s="1" t="s">
        <v>15</v>
      </c>
      <c r="D32" s="1" t="s">
        <v>76</v>
      </c>
      <c r="E32" s="1">
        <v>9.0</v>
      </c>
      <c r="F32" s="8">
        <v>1.08668227195739E16</v>
      </c>
      <c r="G32" s="1">
        <v>8.0</v>
      </c>
      <c r="H32" s="9">
        <f t="shared" si="1"/>
        <v>1</v>
      </c>
      <c r="I32" s="9">
        <f t="shared" si="2"/>
        <v>1</v>
      </c>
    </row>
    <row r="33">
      <c r="A33" s="7">
        <v>31.0</v>
      </c>
      <c r="B33" s="1" t="s">
        <v>77</v>
      </c>
      <c r="C33" s="1" t="s">
        <v>15</v>
      </c>
      <c r="D33" s="1" t="s">
        <v>78</v>
      </c>
      <c r="E33" s="1">
        <v>8.0</v>
      </c>
      <c r="F33" s="8">
        <v>1.02581014633178E16</v>
      </c>
      <c r="G33" s="1">
        <v>4.0</v>
      </c>
      <c r="H33" s="9">
        <f t="shared" si="1"/>
        <v>4</v>
      </c>
      <c r="I33" s="9">
        <f t="shared" si="2"/>
        <v>4</v>
      </c>
    </row>
    <row r="34">
      <c r="A34" s="7">
        <v>32.0</v>
      </c>
      <c r="B34" s="1" t="s">
        <v>79</v>
      </c>
      <c r="C34" s="1" t="s">
        <v>15</v>
      </c>
      <c r="D34" s="1" t="s">
        <v>80</v>
      </c>
      <c r="E34" s="1">
        <v>8.0</v>
      </c>
      <c r="F34" s="8">
        <v>1.07039670944213E16</v>
      </c>
      <c r="G34" s="1">
        <v>7.0</v>
      </c>
      <c r="H34" s="9">
        <f t="shared" si="1"/>
        <v>1</v>
      </c>
      <c r="I34" s="9">
        <f t="shared" si="2"/>
        <v>1</v>
      </c>
    </row>
    <row r="35">
      <c r="A35" s="7">
        <v>33.0</v>
      </c>
      <c r="B35" s="1" t="s">
        <v>81</v>
      </c>
      <c r="C35" s="1" t="s">
        <v>15</v>
      </c>
      <c r="D35" s="1" t="s">
        <v>82</v>
      </c>
      <c r="E35" s="1">
        <v>9.0</v>
      </c>
      <c r="F35" s="8">
        <v>1.07676167488098E16</v>
      </c>
      <c r="G35" s="1">
        <v>9.0</v>
      </c>
      <c r="H35" s="9">
        <f t="shared" si="1"/>
        <v>0</v>
      </c>
      <c r="I35" s="9">
        <f t="shared" si="2"/>
        <v>0</v>
      </c>
    </row>
    <row r="36">
      <c r="A36" s="7">
        <v>34.0</v>
      </c>
      <c r="B36" s="1" t="s">
        <v>83</v>
      </c>
      <c r="C36" s="1" t="s">
        <v>15</v>
      </c>
      <c r="D36" s="1" t="s">
        <v>84</v>
      </c>
      <c r="E36" s="1">
        <v>7.0</v>
      </c>
      <c r="F36" s="8">
        <v>1.07642529010772E15</v>
      </c>
      <c r="G36" s="1">
        <v>8.0</v>
      </c>
      <c r="H36" s="9">
        <f t="shared" si="1"/>
        <v>1</v>
      </c>
      <c r="I36" s="9">
        <f t="shared" si="2"/>
        <v>-1</v>
      </c>
    </row>
    <row r="37">
      <c r="A37" s="7">
        <v>35.0</v>
      </c>
      <c r="B37" s="1" t="s">
        <v>85</v>
      </c>
      <c r="C37" s="1" t="s">
        <v>15</v>
      </c>
      <c r="D37" s="1" t="s">
        <v>86</v>
      </c>
      <c r="E37" s="1">
        <v>6.0</v>
      </c>
      <c r="F37" s="8">
        <v>1.03033988475799E16</v>
      </c>
      <c r="G37" s="1">
        <v>4.0</v>
      </c>
      <c r="H37" s="9">
        <f t="shared" si="1"/>
        <v>2</v>
      </c>
      <c r="I37" s="9">
        <f t="shared" si="2"/>
        <v>2</v>
      </c>
    </row>
    <row r="38">
      <c r="A38" s="7">
        <v>36.0</v>
      </c>
      <c r="B38" s="1" t="s">
        <v>87</v>
      </c>
      <c r="C38" s="1" t="s">
        <v>15</v>
      </c>
      <c r="D38" s="1" t="s">
        <v>88</v>
      </c>
      <c r="E38" s="1">
        <v>6.0</v>
      </c>
      <c r="F38" s="8">
        <v>1.03396260738372E15</v>
      </c>
      <c r="G38" s="1">
        <v>5.0</v>
      </c>
      <c r="H38" s="9">
        <f t="shared" si="1"/>
        <v>1</v>
      </c>
      <c r="I38" s="9">
        <f t="shared" si="2"/>
        <v>1</v>
      </c>
    </row>
    <row r="39">
      <c r="A39" s="7">
        <v>37.0</v>
      </c>
      <c r="B39" s="1" t="s">
        <v>89</v>
      </c>
      <c r="C39" s="1" t="s">
        <v>15</v>
      </c>
      <c r="D39" s="1" t="s">
        <v>90</v>
      </c>
      <c r="E39" s="1">
        <v>8.0</v>
      </c>
      <c r="F39" s="8">
        <v>1.07024028301239E14</v>
      </c>
      <c r="G39" s="1">
        <v>7.0</v>
      </c>
      <c r="H39" s="9">
        <f t="shared" si="1"/>
        <v>1</v>
      </c>
      <c r="I39" s="9">
        <f t="shared" si="2"/>
        <v>1</v>
      </c>
    </row>
    <row r="40">
      <c r="A40" s="7">
        <v>38.0</v>
      </c>
      <c r="B40" s="1" t="s">
        <v>91</v>
      </c>
      <c r="C40" s="1" t="s">
        <v>15</v>
      </c>
      <c r="D40" s="1" t="s">
        <v>92</v>
      </c>
      <c r="E40" s="1">
        <v>8.0</v>
      </c>
      <c r="F40" s="8">
        <v>1.06756727695465E16</v>
      </c>
      <c r="G40" s="1">
        <v>7.0</v>
      </c>
      <c r="H40" s="9">
        <f t="shared" si="1"/>
        <v>1</v>
      </c>
      <c r="I40" s="9">
        <f t="shared" si="2"/>
        <v>1</v>
      </c>
    </row>
    <row r="41">
      <c r="A41" s="7">
        <v>39.0</v>
      </c>
      <c r="B41" s="1" t="s">
        <v>93</v>
      </c>
      <c r="C41" s="1" t="s">
        <v>15</v>
      </c>
      <c r="D41" s="1" t="s">
        <v>94</v>
      </c>
      <c r="E41" s="1">
        <v>1.0</v>
      </c>
      <c r="F41" s="8">
        <v>1.02603733539581E15</v>
      </c>
      <c r="G41" s="1">
        <v>4.0</v>
      </c>
      <c r="H41" s="9">
        <f t="shared" si="1"/>
        <v>3</v>
      </c>
      <c r="I41" s="9">
        <f t="shared" si="2"/>
        <v>-3</v>
      </c>
    </row>
    <row r="42">
      <c r="A42" s="7">
        <v>40.0</v>
      </c>
      <c r="B42" s="1" t="s">
        <v>95</v>
      </c>
      <c r="C42" s="1" t="s">
        <v>15</v>
      </c>
      <c r="D42" s="1" t="s">
        <v>96</v>
      </c>
      <c r="E42" s="1">
        <v>8.0</v>
      </c>
      <c r="F42" s="8">
        <v>1.12875282764434E15</v>
      </c>
      <c r="G42" s="1">
        <v>8.0</v>
      </c>
      <c r="H42" s="9">
        <f t="shared" si="1"/>
        <v>0</v>
      </c>
      <c r="I42" s="9">
        <f t="shared" si="2"/>
        <v>0</v>
      </c>
    </row>
    <row r="43">
      <c r="A43" s="7">
        <v>41.0</v>
      </c>
      <c r="B43" s="1" t="s">
        <v>97</v>
      </c>
      <c r="C43" s="1" t="s">
        <v>15</v>
      </c>
      <c r="D43" s="1" t="s">
        <v>98</v>
      </c>
      <c r="E43" s="1">
        <v>7.0</v>
      </c>
      <c r="F43" s="8">
        <v>1.0734009027481E15</v>
      </c>
      <c r="G43" s="1">
        <v>8.0</v>
      </c>
      <c r="H43" s="9">
        <f t="shared" si="1"/>
        <v>1</v>
      </c>
      <c r="I43" s="9">
        <f t="shared" si="2"/>
        <v>-1</v>
      </c>
    </row>
    <row r="44">
      <c r="A44" s="7">
        <v>42.0</v>
      </c>
      <c r="B44" s="1" t="s">
        <v>99</v>
      </c>
      <c r="C44" s="1" t="s">
        <v>15</v>
      </c>
      <c r="D44" s="1" t="s">
        <v>100</v>
      </c>
      <c r="E44" s="1">
        <v>6.0</v>
      </c>
      <c r="F44" s="8">
        <v>1.08269255161285E15</v>
      </c>
      <c r="G44" s="1">
        <v>4.0</v>
      </c>
      <c r="H44" s="9">
        <f t="shared" si="1"/>
        <v>2</v>
      </c>
      <c r="I44" s="9">
        <f t="shared" si="2"/>
        <v>2</v>
      </c>
    </row>
    <row r="45">
      <c r="A45" s="7">
        <v>43.0</v>
      </c>
      <c r="B45" s="1" t="s">
        <v>101</v>
      </c>
      <c r="C45" s="1" t="s">
        <v>15</v>
      </c>
      <c r="D45" s="1" t="s">
        <v>102</v>
      </c>
      <c r="E45" s="1">
        <v>9.0</v>
      </c>
      <c r="F45" s="8">
        <v>1.13417246341705E16</v>
      </c>
      <c r="G45" s="1">
        <v>7.0</v>
      </c>
      <c r="H45" s="9">
        <f t="shared" si="1"/>
        <v>2</v>
      </c>
      <c r="I45" s="9">
        <f t="shared" si="2"/>
        <v>2</v>
      </c>
    </row>
    <row r="46">
      <c r="A46" s="7">
        <v>44.0</v>
      </c>
      <c r="B46" s="1" t="s">
        <v>103</v>
      </c>
      <c r="C46" s="1" t="s">
        <v>15</v>
      </c>
      <c r="D46" s="1" t="s">
        <v>104</v>
      </c>
      <c r="E46" s="1">
        <v>3.0</v>
      </c>
      <c r="F46" s="8">
        <v>1.02800605297088E16</v>
      </c>
      <c r="G46" s="1">
        <v>4.0</v>
      </c>
      <c r="H46" s="9">
        <f t="shared" si="1"/>
        <v>1</v>
      </c>
      <c r="I46" s="9">
        <f t="shared" si="2"/>
        <v>-1</v>
      </c>
    </row>
    <row r="47">
      <c r="A47" s="7">
        <v>45.0</v>
      </c>
      <c r="B47" s="1" t="s">
        <v>105</v>
      </c>
      <c r="C47" s="1" t="s">
        <v>15</v>
      </c>
      <c r="D47" s="1" t="s">
        <v>106</v>
      </c>
      <c r="E47" s="1">
        <v>8.0</v>
      </c>
      <c r="F47" s="8">
        <v>1.12645027637481E16</v>
      </c>
      <c r="G47" s="1">
        <v>8.0</v>
      </c>
      <c r="H47" s="9">
        <f t="shared" si="1"/>
        <v>0</v>
      </c>
      <c r="I47" s="9">
        <f t="shared" si="2"/>
        <v>0</v>
      </c>
    </row>
    <row r="48">
      <c r="A48" s="7">
        <v>46.0</v>
      </c>
      <c r="B48" s="1" t="s">
        <v>107</v>
      </c>
      <c r="C48" s="1" t="s">
        <v>15</v>
      </c>
      <c r="D48" s="1" t="s">
        <v>108</v>
      </c>
      <c r="E48" s="1">
        <v>3.0</v>
      </c>
      <c r="F48" s="8">
        <v>1.06959567070007E16</v>
      </c>
      <c r="G48" s="1">
        <v>4.0</v>
      </c>
      <c r="H48" s="9">
        <f t="shared" si="1"/>
        <v>1</v>
      </c>
      <c r="I48" s="9">
        <f t="shared" si="2"/>
        <v>-1</v>
      </c>
    </row>
    <row r="49">
      <c r="A49" s="7">
        <v>47.0</v>
      </c>
      <c r="B49" s="1" t="s">
        <v>109</v>
      </c>
      <c r="C49" s="1" t="s">
        <v>15</v>
      </c>
      <c r="D49" s="1" t="s">
        <v>110</v>
      </c>
      <c r="E49" s="1">
        <v>2.0</v>
      </c>
      <c r="F49" s="8">
        <v>1.02795422077178E16</v>
      </c>
      <c r="G49" s="1">
        <v>4.0</v>
      </c>
      <c r="H49" s="9">
        <f t="shared" si="1"/>
        <v>2</v>
      </c>
      <c r="I49" s="9">
        <f t="shared" si="2"/>
        <v>-2</v>
      </c>
    </row>
    <row r="50">
      <c r="A50" s="7">
        <v>48.0</v>
      </c>
      <c r="B50" s="1" t="s">
        <v>111</v>
      </c>
      <c r="C50" s="1" t="s">
        <v>15</v>
      </c>
      <c r="D50" s="1" t="s">
        <v>112</v>
      </c>
      <c r="E50" s="1">
        <v>2.0</v>
      </c>
      <c r="F50" s="8">
        <v>1.03405504226684E16</v>
      </c>
      <c r="G50" s="1">
        <v>2.0</v>
      </c>
      <c r="H50" s="9">
        <f t="shared" si="1"/>
        <v>0</v>
      </c>
      <c r="I50" s="9">
        <f t="shared" si="2"/>
        <v>0</v>
      </c>
    </row>
    <row r="51">
      <c r="A51" s="7">
        <v>49.0</v>
      </c>
      <c r="B51" s="1" t="s">
        <v>113</v>
      </c>
      <c r="C51" s="1" t="s">
        <v>15</v>
      </c>
      <c r="D51" s="1" t="s">
        <v>114</v>
      </c>
      <c r="E51" s="1">
        <v>8.0</v>
      </c>
      <c r="F51" s="8">
        <v>1.02931048870086E16</v>
      </c>
      <c r="G51" s="1">
        <v>7.0</v>
      </c>
      <c r="H51" s="9">
        <f t="shared" si="1"/>
        <v>1</v>
      </c>
      <c r="I51" s="9">
        <f t="shared" si="2"/>
        <v>1</v>
      </c>
    </row>
    <row r="52">
      <c r="A52" s="7">
        <v>50.0</v>
      </c>
      <c r="B52" s="1" t="s">
        <v>115</v>
      </c>
      <c r="C52" s="1" t="s">
        <v>15</v>
      </c>
      <c r="D52" s="1" t="s">
        <v>116</v>
      </c>
      <c r="E52" s="1">
        <v>8.0</v>
      </c>
      <c r="F52" s="8">
        <v>1.03420522212982E16</v>
      </c>
      <c r="G52" s="1">
        <v>7.0</v>
      </c>
      <c r="H52" s="9">
        <f t="shared" si="1"/>
        <v>1</v>
      </c>
      <c r="I52" s="9">
        <f t="shared" si="2"/>
        <v>1</v>
      </c>
    </row>
    <row r="53">
      <c r="A53" s="7">
        <v>51.0</v>
      </c>
      <c r="B53" s="1" t="s">
        <v>117</v>
      </c>
      <c r="C53" s="1" t="s">
        <v>15</v>
      </c>
      <c r="D53" s="1" t="s">
        <v>118</v>
      </c>
      <c r="E53" s="1">
        <v>4.0</v>
      </c>
      <c r="F53" s="8">
        <v>1.03389418125152E15</v>
      </c>
      <c r="G53" s="1">
        <v>4.0</v>
      </c>
      <c r="H53" s="9">
        <f t="shared" si="1"/>
        <v>0</v>
      </c>
      <c r="I53" s="9">
        <f t="shared" si="2"/>
        <v>0</v>
      </c>
    </row>
    <row r="54">
      <c r="A54" s="7">
        <v>52.0</v>
      </c>
      <c r="B54" s="1" t="s">
        <v>119</v>
      </c>
      <c r="C54" s="1" t="s">
        <v>15</v>
      </c>
      <c r="D54" s="1" t="s">
        <v>120</v>
      </c>
      <c r="E54" s="1">
        <v>7.0</v>
      </c>
      <c r="F54" s="8">
        <v>1.07725222110748E16</v>
      </c>
      <c r="G54" s="1">
        <v>8.0</v>
      </c>
      <c r="H54" s="9">
        <f t="shared" si="1"/>
        <v>1</v>
      </c>
      <c r="I54" s="9">
        <f t="shared" si="2"/>
        <v>-1</v>
      </c>
    </row>
    <row r="55">
      <c r="A55" s="7">
        <v>53.0</v>
      </c>
      <c r="B55" s="1" t="s">
        <v>121</v>
      </c>
      <c r="C55" s="1" t="s">
        <v>15</v>
      </c>
      <c r="D55" s="1" t="s">
        <v>122</v>
      </c>
      <c r="E55" s="1">
        <v>5.0</v>
      </c>
      <c r="F55" s="8">
        <v>1.07674393653869E16</v>
      </c>
      <c r="G55" s="1">
        <v>4.0</v>
      </c>
      <c r="H55" s="9">
        <f t="shared" si="1"/>
        <v>1</v>
      </c>
      <c r="I55" s="9">
        <f t="shared" si="2"/>
        <v>1</v>
      </c>
    </row>
    <row r="56">
      <c r="A56" s="7">
        <v>54.0</v>
      </c>
      <c r="B56" s="1" t="s">
        <v>123</v>
      </c>
      <c r="C56" s="1" t="s">
        <v>15</v>
      </c>
      <c r="D56" s="1" t="s">
        <v>124</v>
      </c>
      <c r="E56" s="1">
        <v>5.0</v>
      </c>
      <c r="F56" s="8">
        <v>1.08303251266479E15</v>
      </c>
      <c r="G56" s="1">
        <v>4.0</v>
      </c>
      <c r="H56" s="9">
        <f t="shared" si="1"/>
        <v>1</v>
      </c>
      <c r="I56" s="9">
        <f t="shared" si="2"/>
        <v>1</v>
      </c>
    </row>
    <row r="57">
      <c r="A57" s="7">
        <v>55.0</v>
      </c>
      <c r="B57" s="1" t="s">
        <v>125</v>
      </c>
      <c r="C57" s="1" t="s">
        <v>15</v>
      </c>
      <c r="D57" s="1" t="s">
        <v>126</v>
      </c>
      <c r="E57" s="1">
        <v>9.0</v>
      </c>
      <c r="F57" s="8">
        <v>1.08155002593994E16</v>
      </c>
      <c r="G57" s="1">
        <v>8.0</v>
      </c>
      <c r="H57" s="9">
        <f t="shared" si="1"/>
        <v>1</v>
      </c>
      <c r="I57" s="9">
        <f t="shared" si="2"/>
        <v>1</v>
      </c>
    </row>
    <row r="58">
      <c r="A58" s="7">
        <v>56.0</v>
      </c>
      <c r="B58" s="1" t="s">
        <v>127</v>
      </c>
      <c r="C58" s="1" t="s">
        <v>15</v>
      </c>
      <c r="D58" s="1" t="s">
        <v>128</v>
      </c>
      <c r="E58" s="1">
        <v>4.0</v>
      </c>
      <c r="F58" s="8">
        <v>1.03138279914855E16</v>
      </c>
      <c r="G58" s="1">
        <v>4.0</v>
      </c>
      <c r="H58" s="9">
        <f t="shared" si="1"/>
        <v>0</v>
      </c>
      <c r="I58" s="9">
        <f t="shared" si="2"/>
        <v>0</v>
      </c>
    </row>
    <row r="59">
      <c r="A59" s="7">
        <v>57.0</v>
      </c>
      <c r="B59" s="1" t="s">
        <v>129</v>
      </c>
      <c r="C59" s="1" t="s">
        <v>15</v>
      </c>
      <c r="D59" s="1" t="s">
        <v>130</v>
      </c>
      <c r="E59" s="1">
        <v>0.0</v>
      </c>
      <c r="F59" s="8">
        <v>9.8377194404602E15</v>
      </c>
      <c r="G59" s="1">
        <v>0.0</v>
      </c>
      <c r="H59" s="9">
        <f t="shared" si="1"/>
        <v>0</v>
      </c>
      <c r="I59" s="9">
        <f t="shared" si="2"/>
        <v>0</v>
      </c>
    </row>
    <row r="60">
      <c r="A60" s="7">
        <v>58.0</v>
      </c>
      <c r="B60" s="1" t="s">
        <v>131</v>
      </c>
      <c r="C60" s="1" t="s">
        <v>15</v>
      </c>
      <c r="D60" s="1" t="s">
        <v>132</v>
      </c>
      <c r="E60" s="1">
        <v>2.0</v>
      </c>
      <c r="F60" s="8">
        <v>1.06826593875885E14</v>
      </c>
      <c r="G60" s="1">
        <v>4.0</v>
      </c>
      <c r="H60" s="9">
        <f t="shared" si="1"/>
        <v>2</v>
      </c>
      <c r="I60" s="9">
        <f t="shared" si="2"/>
        <v>-2</v>
      </c>
    </row>
    <row r="61">
      <c r="A61" s="7">
        <v>59.0</v>
      </c>
      <c r="B61" s="1" t="s">
        <v>133</v>
      </c>
      <c r="C61" s="1" t="s">
        <v>15</v>
      </c>
      <c r="D61" s="1" t="s">
        <v>134</v>
      </c>
      <c r="E61" s="1">
        <v>3.0</v>
      </c>
      <c r="F61" s="8">
        <v>1.02966976165771E16</v>
      </c>
      <c r="G61" s="1">
        <v>4.0</v>
      </c>
      <c r="H61" s="9">
        <f t="shared" si="1"/>
        <v>1</v>
      </c>
      <c r="I61" s="9">
        <f t="shared" si="2"/>
        <v>-1</v>
      </c>
    </row>
    <row r="62">
      <c r="A62" s="7">
        <v>60.0</v>
      </c>
      <c r="B62" s="1" t="s">
        <v>135</v>
      </c>
      <c r="C62" s="1" t="s">
        <v>15</v>
      </c>
      <c r="D62" s="1" t="s">
        <v>136</v>
      </c>
      <c r="E62" s="1">
        <v>1.0</v>
      </c>
      <c r="F62" s="8">
        <v>1.0385456085205E16</v>
      </c>
      <c r="G62" s="1">
        <v>4.0</v>
      </c>
      <c r="H62" s="9">
        <f t="shared" si="1"/>
        <v>3</v>
      </c>
      <c r="I62" s="9">
        <f t="shared" si="2"/>
        <v>-3</v>
      </c>
    </row>
    <row r="63">
      <c r="A63" s="7">
        <v>61.0</v>
      </c>
      <c r="B63" s="1" t="s">
        <v>137</v>
      </c>
      <c r="C63" s="1" t="s">
        <v>15</v>
      </c>
      <c r="D63" s="1" t="s">
        <v>138</v>
      </c>
      <c r="E63" s="1">
        <v>9.0</v>
      </c>
      <c r="F63" s="8">
        <v>1.13564205169677E16</v>
      </c>
      <c r="G63" s="1">
        <v>8.0</v>
      </c>
      <c r="H63" s="9">
        <f t="shared" si="1"/>
        <v>1</v>
      </c>
      <c r="I63" s="9">
        <f t="shared" si="2"/>
        <v>1</v>
      </c>
    </row>
    <row r="64">
      <c r="A64" s="7">
        <v>62.0</v>
      </c>
      <c r="B64" s="1" t="s">
        <v>139</v>
      </c>
      <c r="C64" s="1" t="s">
        <v>15</v>
      </c>
      <c r="D64" s="1" t="s">
        <v>140</v>
      </c>
      <c r="E64" s="1">
        <v>3.0</v>
      </c>
      <c r="F64" s="8">
        <v>1.07250957489013E16</v>
      </c>
      <c r="G64" s="1">
        <v>4.0</v>
      </c>
      <c r="H64" s="9">
        <f t="shared" si="1"/>
        <v>1</v>
      </c>
      <c r="I64" s="9">
        <f t="shared" si="2"/>
        <v>-1</v>
      </c>
    </row>
    <row r="65">
      <c r="A65" s="7">
        <v>63.0</v>
      </c>
      <c r="B65" s="1" t="s">
        <v>141</v>
      </c>
      <c r="C65" s="1" t="s">
        <v>15</v>
      </c>
      <c r="D65" s="1" t="s">
        <v>142</v>
      </c>
      <c r="E65" s="1">
        <v>2.0</v>
      </c>
      <c r="F65" s="8">
        <v>1.028586769104E15</v>
      </c>
      <c r="G65" s="1">
        <v>4.0</v>
      </c>
      <c r="H65" s="9">
        <f t="shared" si="1"/>
        <v>2</v>
      </c>
      <c r="I65" s="9">
        <f t="shared" si="2"/>
        <v>-2</v>
      </c>
    </row>
    <row r="66">
      <c r="A66" s="7">
        <v>64.0</v>
      </c>
      <c r="B66" s="1" t="s">
        <v>143</v>
      </c>
      <c r="C66" s="1" t="s">
        <v>15</v>
      </c>
      <c r="D66" s="1" t="s">
        <v>144</v>
      </c>
      <c r="E66" s="1">
        <v>0.0</v>
      </c>
      <c r="F66" s="8">
        <v>1.01817579269409E16</v>
      </c>
      <c r="G66" s="1">
        <v>0.0</v>
      </c>
      <c r="H66" s="9">
        <f t="shared" si="1"/>
        <v>0</v>
      </c>
      <c r="I66" s="9">
        <f t="shared" si="2"/>
        <v>0</v>
      </c>
    </row>
    <row r="67">
      <c r="A67" s="7">
        <v>65.0</v>
      </c>
      <c r="B67" s="1" t="s">
        <v>145</v>
      </c>
      <c r="C67" s="1" t="s">
        <v>15</v>
      </c>
      <c r="D67" s="1" t="s">
        <v>146</v>
      </c>
      <c r="E67" s="1">
        <v>0.0</v>
      </c>
      <c r="F67" s="8">
        <v>9.82017421722412E14</v>
      </c>
      <c r="G67" s="1">
        <v>0.0</v>
      </c>
      <c r="H67" s="9">
        <f t="shared" si="1"/>
        <v>0</v>
      </c>
      <c r="I67" s="9">
        <f t="shared" si="2"/>
        <v>0</v>
      </c>
    </row>
    <row r="68">
      <c r="A68" s="7">
        <v>66.0</v>
      </c>
      <c r="B68" s="1" t="s">
        <v>147</v>
      </c>
      <c r="C68" s="1" t="s">
        <v>15</v>
      </c>
      <c r="D68" s="1" t="s">
        <v>148</v>
      </c>
      <c r="E68" s="1">
        <v>4.0</v>
      </c>
      <c r="F68" s="8">
        <v>1.03216831684112E16</v>
      </c>
      <c r="G68" s="1">
        <v>5.0</v>
      </c>
      <c r="H68" s="9">
        <f t="shared" si="1"/>
        <v>1</v>
      </c>
      <c r="I68" s="9">
        <f t="shared" si="2"/>
        <v>-1</v>
      </c>
    </row>
    <row r="69">
      <c r="A69" s="7">
        <v>67.0</v>
      </c>
      <c r="B69" s="1" t="s">
        <v>149</v>
      </c>
      <c r="C69" s="1" t="s">
        <v>15</v>
      </c>
      <c r="D69" s="1" t="s">
        <v>150</v>
      </c>
      <c r="E69" s="1">
        <v>6.0</v>
      </c>
      <c r="F69" s="8">
        <v>1.02718544006347E16</v>
      </c>
      <c r="G69" s="1">
        <v>5.0</v>
      </c>
      <c r="H69" s="9">
        <f t="shared" si="1"/>
        <v>1</v>
      </c>
      <c r="I69" s="9">
        <f t="shared" si="2"/>
        <v>1</v>
      </c>
    </row>
    <row r="70">
      <c r="A70" s="7">
        <v>68.0</v>
      </c>
      <c r="B70" s="1" t="s">
        <v>151</v>
      </c>
      <c r="C70" s="1" t="s">
        <v>15</v>
      </c>
      <c r="D70" s="1" t="s">
        <v>152</v>
      </c>
      <c r="E70" s="1">
        <v>8.0</v>
      </c>
      <c r="F70" s="8">
        <v>1.12726130485534E16</v>
      </c>
      <c r="G70" s="1">
        <v>8.0</v>
      </c>
      <c r="H70" s="9">
        <f t="shared" si="1"/>
        <v>0</v>
      </c>
      <c r="I70" s="9">
        <f t="shared" si="2"/>
        <v>0</v>
      </c>
    </row>
    <row r="71">
      <c r="A71" s="7">
        <v>69.0</v>
      </c>
      <c r="B71" s="1" t="s">
        <v>153</v>
      </c>
      <c r="C71" s="1" t="s">
        <v>15</v>
      </c>
      <c r="D71" s="1" t="s">
        <v>154</v>
      </c>
      <c r="E71" s="1">
        <v>5.0</v>
      </c>
      <c r="F71" s="8">
        <v>1.03326961994171E16</v>
      </c>
      <c r="G71" s="1">
        <v>8.0</v>
      </c>
      <c r="H71" s="9">
        <f t="shared" si="1"/>
        <v>3</v>
      </c>
      <c r="I71" s="9">
        <f t="shared" si="2"/>
        <v>-3</v>
      </c>
    </row>
    <row r="72">
      <c r="A72" s="7">
        <v>70.0</v>
      </c>
      <c r="B72" s="1" t="s">
        <v>155</v>
      </c>
      <c r="C72" s="1" t="s">
        <v>15</v>
      </c>
      <c r="D72" s="1" t="s">
        <v>156</v>
      </c>
      <c r="E72" s="1">
        <v>0.0</v>
      </c>
      <c r="F72" s="8">
        <v>1.02247416973114E14</v>
      </c>
      <c r="G72" s="1">
        <v>0.0</v>
      </c>
      <c r="H72" s="9">
        <f t="shared" si="1"/>
        <v>0</v>
      </c>
      <c r="I72" s="9">
        <f t="shared" si="2"/>
        <v>0</v>
      </c>
    </row>
    <row r="73">
      <c r="A73" s="18">
        <v>0.0</v>
      </c>
      <c r="B73" s="1" t="s">
        <v>14</v>
      </c>
      <c r="C73" s="1" t="s">
        <v>15</v>
      </c>
      <c r="D73" s="1" t="s">
        <v>157</v>
      </c>
      <c r="E73" s="1">
        <v>4.0</v>
      </c>
      <c r="F73" s="8">
        <v>1.07236907482147E16</v>
      </c>
      <c r="G73" s="1">
        <v>4.0</v>
      </c>
      <c r="H73" s="9">
        <f t="shared" si="1"/>
        <v>0</v>
      </c>
      <c r="I73" s="9">
        <f t="shared" si="2"/>
        <v>0</v>
      </c>
      <c r="M73" s="19"/>
      <c r="N73" s="19"/>
      <c r="O73" s="19"/>
      <c r="P73" s="19"/>
      <c r="Q73" s="20"/>
      <c r="R73" s="20"/>
      <c r="S73" s="20"/>
      <c r="T73" s="20"/>
      <c r="U73" s="20"/>
      <c r="V73" s="20"/>
      <c r="W73" s="20"/>
      <c r="X73" s="20"/>
      <c r="Y73" s="20"/>
      <c r="Z73" s="20"/>
      <c r="AA73" s="19"/>
    </row>
    <row r="74">
      <c r="A74" s="18">
        <v>1.0</v>
      </c>
      <c r="B74" s="1" t="s">
        <v>17</v>
      </c>
      <c r="C74" s="1" t="s">
        <v>15</v>
      </c>
      <c r="D74" s="1" t="s">
        <v>158</v>
      </c>
      <c r="E74" s="1">
        <v>2.0</v>
      </c>
      <c r="F74" s="8">
        <v>1.03408601284027E15</v>
      </c>
      <c r="G74" s="1">
        <v>5.0</v>
      </c>
      <c r="H74" s="9">
        <f t="shared" si="1"/>
        <v>3</v>
      </c>
      <c r="I74" s="9">
        <f t="shared" si="2"/>
        <v>-3</v>
      </c>
      <c r="M74" s="20"/>
      <c r="N74" s="21"/>
      <c r="O74" s="21"/>
      <c r="P74" s="22"/>
      <c r="Q74" s="23"/>
      <c r="R74" s="24"/>
      <c r="S74" s="24"/>
      <c r="T74" s="24"/>
      <c r="U74" s="24"/>
      <c r="V74" s="24"/>
      <c r="W74" s="24"/>
      <c r="X74" s="24"/>
      <c r="Y74" s="24"/>
      <c r="Z74" s="24"/>
      <c r="AA74" s="24"/>
    </row>
    <row r="75">
      <c r="A75" s="18">
        <v>2.0</v>
      </c>
      <c r="B75" s="1" t="s">
        <v>19</v>
      </c>
      <c r="C75" s="1" t="s">
        <v>15</v>
      </c>
      <c r="D75" s="1" t="s">
        <v>159</v>
      </c>
      <c r="E75" s="1">
        <v>5.0</v>
      </c>
      <c r="F75" s="8">
        <v>1.02879710197448E16</v>
      </c>
      <c r="G75" s="1">
        <v>4.0</v>
      </c>
      <c r="H75" s="9">
        <f t="shared" si="1"/>
        <v>1</v>
      </c>
      <c r="I75" s="9">
        <f t="shared" si="2"/>
        <v>1</v>
      </c>
    </row>
    <row r="76">
      <c r="A76" s="18">
        <v>3.0</v>
      </c>
      <c r="B76" s="1" t="s">
        <v>21</v>
      </c>
      <c r="C76" s="1" t="s">
        <v>15</v>
      </c>
      <c r="D76" s="1" t="s">
        <v>160</v>
      </c>
      <c r="E76" s="1">
        <v>4.0</v>
      </c>
      <c r="F76" s="8">
        <v>1.07065320014953E15</v>
      </c>
      <c r="G76" s="1">
        <v>7.0</v>
      </c>
      <c r="H76" s="9">
        <f t="shared" si="1"/>
        <v>3</v>
      </c>
      <c r="I76" s="9">
        <f t="shared" si="2"/>
        <v>-3</v>
      </c>
    </row>
    <row r="77">
      <c r="A77" s="18">
        <v>4.0</v>
      </c>
      <c r="B77" s="1" t="s">
        <v>23</v>
      </c>
      <c r="C77" s="1" t="s">
        <v>15</v>
      </c>
      <c r="D77" s="1" t="s">
        <v>161</v>
      </c>
      <c r="E77" s="1">
        <v>6.0</v>
      </c>
      <c r="F77" s="8">
        <v>1.02871708869934E16</v>
      </c>
      <c r="G77" s="1">
        <v>4.0</v>
      </c>
      <c r="H77" s="9">
        <f t="shared" si="1"/>
        <v>2</v>
      </c>
      <c r="I77" s="9">
        <f t="shared" si="2"/>
        <v>2</v>
      </c>
    </row>
    <row r="78">
      <c r="A78" s="18">
        <v>5.0</v>
      </c>
      <c r="B78" s="1" t="s">
        <v>25</v>
      </c>
      <c r="C78" s="1" t="s">
        <v>15</v>
      </c>
      <c r="D78" s="1" t="s">
        <v>162</v>
      </c>
      <c r="E78" s="1">
        <v>6.0</v>
      </c>
      <c r="F78" s="8">
        <v>1.07849225997924E15</v>
      </c>
      <c r="G78" s="1">
        <v>4.0</v>
      </c>
      <c r="H78" s="9">
        <f t="shared" si="1"/>
        <v>2</v>
      </c>
      <c r="I78" s="9">
        <f t="shared" si="2"/>
        <v>2</v>
      </c>
    </row>
    <row r="79">
      <c r="A79" s="18">
        <v>6.0</v>
      </c>
      <c r="B79" s="1" t="s">
        <v>27</v>
      </c>
      <c r="C79" s="1" t="s">
        <v>15</v>
      </c>
      <c r="D79" s="1" t="s">
        <v>163</v>
      </c>
      <c r="E79" s="1">
        <v>7.0</v>
      </c>
      <c r="F79" s="8">
        <v>1.07307810783386E16</v>
      </c>
      <c r="G79" s="1">
        <v>8.0</v>
      </c>
      <c r="H79" s="9">
        <f t="shared" si="1"/>
        <v>1</v>
      </c>
      <c r="I79" s="9">
        <f t="shared" si="2"/>
        <v>-1</v>
      </c>
    </row>
    <row r="80">
      <c r="A80" s="18">
        <v>7.0</v>
      </c>
      <c r="B80" s="1" t="s">
        <v>29</v>
      </c>
      <c r="C80" s="1" t="s">
        <v>15</v>
      </c>
      <c r="D80" s="1" t="s">
        <v>164</v>
      </c>
      <c r="E80" s="1">
        <v>5.0</v>
      </c>
      <c r="F80" s="8">
        <v>1.03386998176574E15</v>
      </c>
      <c r="G80" s="1">
        <v>8.0</v>
      </c>
      <c r="H80" s="9">
        <f t="shared" si="1"/>
        <v>3</v>
      </c>
      <c r="I80" s="9">
        <f t="shared" si="2"/>
        <v>-3</v>
      </c>
    </row>
    <row r="81">
      <c r="A81" s="18">
        <v>8.0</v>
      </c>
      <c r="B81" s="1" t="s">
        <v>31</v>
      </c>
      <c r="C81" s="1" t="s">
        <v>15</v>
      </c>
      <c r="D81" s="1" t="s">
        <v>32</v>
      </c>
      <c r="E81" s="1">
        <v>7.0</v>
      </c>
      <c r="F81" s="8">
        <v>1.07003722190856E16</v>
      </c>
      <c r="G81" s="1">
        <v>4.0</v>
      </c>
      <c r="H81" s="9">
        <f t="shared" si="1"/>
        <v>3</v>
      </c>
      <c r="I81" s="9">
        <f t="shared" si="2"/>
        <v>3</v>
      </c>
    </row>
    <row r="82">
      <c r="A82" s="18">
        <v>9.0</v>
      </c>
      <c r="B82" s="1" t="s">
        <v>33</v>
      </c>
      <c r="C82" s="1" t="s">
        <v>15</v>
      </c>
      <c r="D82" s="1" t="s">
        <v>165</v>
      </c>
      <c r="E82" s="1">
        <v>6.0</v>
      </c>
      <c r="F82" s="8">
        <v>1.07090902328491E15</v>
      </c>
      <c r="G82" s="1">
        <v>4.0</v>
      </c>
      <c r="H82" s="9">
        <f t="shared" si="1"/>
        <v>2</v>
      </c>
      <c r="I82" s="9">
        <f t="shared" si="2"/>
        <v>2</v>
      </c>
    </row>
    <row r="83">
      <c r="A83" s="18">
        <v>10.0</v>
      </c>
      <c r="B83" s="1" t="s">
        <v>35</v>
      </c>
      <c r="C83" s="1" t="s">
        <v>15</v>
      </c>
      <c r="D83" s="1" t="s">
        <v>166</v>
      </c>
      <c r="E83" s="1">
        <v>6.0</v>
      </c>
      <c r="F83" s="8">
        <v>1.07215771675109E16</v>
      </c>
      <c r="G83" s="1">
        <v>7.0</v>
      </c>
      <c r="H83" s="9">
        <f t="shared" si="1"/>
        <v>1</v>
      </c>
      <c r="I83" s="9">
        <f t="shared" si="2"/>
        <v>-1</v>
      </c>
    </row>
    <row r="84">
      <c r="A84" s="18">
        <v>11.0</v>
      </c>
      <c r="B84" s="1" t="s">
        <v>37</v>
      </c>
      <c r="C84" s="1" t="s">
        <v>15</v>
      </c>
      <c r="D84" s="1" t="s">
        <v>167</v>
      </c>
      <c r="E84" s="1">
        <v>6.0</v>
      </c>
      <c r="F84" s="8">
        <v>1.06932137012481E16</v>
      </c>
      <c r="G84" s="1">
        <v>8.0</v>
      </c>
      <c r="H84" s="9">
        <f t="shared" si="1"/>
        <v>2</v>
      </c>
      <c r="I84" s="9">
        <f t="shared" si="2"/>
        <v>-2</v>
      </c>
    </row>
    <row r="85">
      <c r="A85" s="18">
        <v>12.0</v>
      </c>
      <c r="B85" s="1" t="s">
        <v>39</v>
      </c>
      <c r="C85" s="1" t="s">
        <v>15</v>
      </c>
      <c r="D85" s="1" t="s">
        <v>168</v>
      </c>
      <c r="E85" s="1">
        <v>8.0</v>
      </c>
      <c r="F85" s="8">
        <v>1.12579298019409E16</v>
      </c>
      <c r="G85" s="1">
        <v>8.0</v>
      </c>
      <c r="H85" s="9">
        <f t="shared" si="1"/>
        <v>0</v>
      </c>
      <c r="I85" s="9">
        <f t="shared" si="2"/>
        <v>0</v>
      </c>
    </row>
    <row r="86">
      <c r="A86" s="18">
        <v>13.0</v>
      </c>
      <c r="B86" s="1" t="s">
        <v>41</v>
      </c>
      <c r="C86" s="1" t="s">
        <v>15</v>
      </c>
      <c r="D86" s="1" t="s">
        <v>169</v>
      </c>
      <c r="E86" s="1">
        <v>5.0</v>
      </c>
      <c r="F86" s="8">
        <v>1.02897069454193E16</v>
      </c>
      <c r="G86" s="1">
        <v>7.0</v>
      </c>
      <c r="H86" s="9">
        <f t="shared" si="1"/>
        <v>2</v>
      </c>
      <c r="I86" s="9">
        <f t="shared" si="2"/>
        <v>-2</v>
      </c>
    </row>
    <row r="87">
      <c r="A87" s="18">
        <v>14.0</v>
      </c>
      <c r="B87" s="1" t="s">
        <v>43</v>
      </c>
      <c r="C87" s="1" t="s">
        <v>15</v>
      </c>
      <c r="D87" s="1" t="s">
        <v>170</v>
      </c>
      <c r="E87" s="1">
        <v>7.0</v>
      </c>
      <c r="F87" s="8">
        <v>1.02993519306182E16</v>
      </c>
      <c r="G87" s="1">
        <v>7.0</v>
      </c>
      <c r="H87" s="9">
        <f t="shared" si="1"/>
        <v>0</v>
      </c>
      <c r="I87" s="9">
        <f t="shared" si="2"/>
        <v>0</v>
      </c>
    </row>
    <row r="88">
      <c r="A88" s="18">
        <v>15.0</v>
      </c>
      <c r="B88" s="1" t="s">
        <v>45</v>
      </c>
      <c r="C88" s="1" t="s">
        <v>15</v>
      </c>
      <c r="D88" s="1" t="s">
        <v>171</v>
      </c>
      <c r="E88" s="1">
        <v>2.0</v>
      </c>
      <c r="F88" s="8">
        <v>1.12618534564971E16</v>
      </c>
      <c r="G88" s="1">
        <v>5.0</v>
      </c>
      <c r="H88" s="9">
        <f t="shared" si="1"/>
        <v>3</v>
      </c>
      <c r="I88" s="9">
        <f t="shared" si="2"/>
        <v>-3</v>
      </c>
    </row>
    <row r="89">
      <c r="A89" s="18">
        <v>16.0</v>
      </c>
      <c r="B89" s="1" t="s">
        <v>47</v>
      </c>
      <c r="C89" s="1" t="s">
        <v>15</v>
      </c>
      <c r="D89" s="1" t="s">
        <v>172</v>
      </c>
      <c r="E89" s="1">
        <v>7.0</v>
      </c>
      <c r="F89" s="8">
        <v>1.08233187198638E16</v>
      </c>
      <c r="G89" s="1">
        <v>7.0</v>
      </c>
      <c r="H89" s="9">
        <f t="shared" si="1"/>
        <v>0</v>
      </c>
      <c r="I89" s="9">
        <f t="shared" si="2"/>
        <v>0</v>
      </c>
    </row>
    <row r="90">
      <c r="A90" s="18">
        <v>17.0</v>
      </c>
      <c r="B90" s="1" t="s">
        <v>49</v>
      </c>
      <c r="C90" s="1" t="s">
        <v>15</v>
      </c>
      <c r="D90" s="1" t="s">
        <v>173</v>
      </c>
      <c r="E90" s="1">
        <v>9.0</v>
      </c>
      <c r="F90" s="8">
        <v>1.0764084815979E16</v>
      </c>
      <c r="G90" s="1">
        <v>8.0</v>
      </c>
      <c r="H90" s="9">
        <f t="shared" si="1"/>
        <v>1</v>
      </c>
      <c r="I90" s="9">
        <f t="shared" si="2"/>
        <v>1</v>
      </c>
    </row>
    <row r="91">
      <c r="A91" s="18">
        <v>18.0</v>
      </c>
      <c r="B91" s="1" t="s">
        <v>51</v>
      </c>
      <c r="C91" s="1" t="s">
        <v>15</v>
      </c>
      <c r="D91" s="1" t="s">
        <v>174</v>
      </c>
      <c r="E91" s="1">
        <v>7.0</v>
      </c>
      <c r="F91" s="8">
        <v>1.0770938873291E16</v>
      </c>
      <c r="G91" s="1">
        <v>8.0</v>
      </c>
      <c r="H91" s="9">
        <f t="shared" si="1"/>
        <v>1</v>
      </c>
      <c r="I91" s="9">
        <f t="shared" si="2"/>
        <v>-1</v>
      </c>
    </row>
    <row r="92">
      <c r="A92" s="18">
        <v>19.0</v>
      </c>
      <c r="B92" s="1" t="s">
        <v>53</v>
      </c>
      <c r="C92" s="1" t="s">
        <v>15</v>
      </c>
      <c r="D92" s="1" t="s">
        <v>175</v>
      </c>
      <c r="E92" s="1">
        <v>0.0</v>
      </c>
      <c r="F92" s="8">
        <v>1.02888884544372E16</v>
      </c>
      <c r="G92" s="1">
        <v>1.0</v>
      </c>
      <c r="H92" s="9">
        <f t="shared" si="1"/>
        <v>1</v>
      </c>
      <c r="I92" s="9">
        <f t="shared" si="2"/>
        <v>-1</v>
      </c>
    </row>
    <row r="93">
      <c r="A93" s="18">
        <v>20.0</v>
      </c>
      <c r="B93" s="1" t="s">
        <v>55</v>
      </c>
      <c r="C93" s="1" t="s">
        <v>15</v>
      </c>
      <c r="D93" s="1" t="s">
        <v>176</v>
      </c>
      <c r="E93" s="1">
        <v>8.0</v>
      </c>
      <c r="F93" s="8">
        <v>1.12478818893432E16</v>
      </c>
      <c r="G93" s="1">
        <v>8.0</v>
      </c>
      <c r="H93" s="9">
        <f t="shared" si="1"/>
        <v>0</v>
      </c>
      <c r="I93" s="9">
        <f t="shared" si="2"/>
        <v>0</v>
      </c>
    </row>
    <row r="94">
      <c r="A94" s="18">
        <v>21.0</v>
      </c>
      <c r="B94" s="1" t="s">
        <v>57</v>
      </c>
      <c r="C94" s="1" t="s">
        <v>15</v>
      </c>
      <c r="D94" s="1" t="s">
        <v>177</v>
      </c>
      <c r="E94" s="1">
        <v>4.0</v>
      </c>
      <c r="F94" s="8">
        <v>1.02546346187591E16</v>
      </c>
      <c r="G94" s="1">
        <v>4.0</v>
      </c>
      <c r="H94" s="9">
        <f t="shared" si="1"/>
        <v>0</v>
      </c>
      <c r="I94" s="9">
        <f t="shared" si="2"/>
        <v>0</v>
      </c>
    </row>
    <row r="95">
      <c r="A95" s="18">
        <v>22.0</v>
      </c>
      <c r="B95" s="1" t="s">
        <v>59</v>
      </c>
      <c r="C95" s="1" t="s">
        <v>15</v>
      </c>
      <c r="D95" s="1" t="s">
        <v>178</v>
      </c>
      <c r="E95" s="1">
        <v>7.0</v>
      </c>
      <c r="F95" s="8">
        <v>1.07794041633605E16</v>
      </c>
      <c r="G95" s="1">
        <v>8.0</v>
      </c>
      <c r="H95" s="9">
        <f t="shared" si="1"/>
        <v>1</v>
      </c>
      <c r="I95" s="9">
        <f t="shared" si="2"/>
        <v>-1</v>
      </c>
    </row>
    <row r="96">
      <c r="A96" s="18">
        <v>23.0</v>
      </c>
      <c r="B96" s="1" t="s">
        <v>61</v>
      </c>
      <c r="C96" s="1" t="s">
        <v>15</v>
      </c>
      <c r="D96" s="1" t="s">
        <v>179</v>
      </c>
      <c r="E96" s="1">
        <v>1.0</v>
      </c>
      <c r="F96" s="8">
        <v>1.02504773139953E15</v>
      </c>
      <c r="G96" s="1">
        <v>3.0</v>
      </c>
      <c r="H96" s="9">
        <f t="shared" si="1"/>
        <v>2</v>
      </c>
      <c r="I96" s="9">
        <f t="shared" si="2"/>
        <v>-2</v>
      </c>
    </row>
    <row r="97">
      <c r="A97" s="18">
        <v>24.0</v>
      </c>
      <c r="B97" s="1" t="s">
        <v>63</v>
      </c>
      <c r="C97" s="1" t="s">
        <v>15</v>
      </c>
      <c r="D97" s="1" t="s">
        <v>180</v>
      </c>
      <c r="E97" s="1">
        <v>0.0</v>
      </c>
      <c r="F97" s="8">
        <v>9.85983514785766E15</v>
      </c>
      <c r="G97" s="1">
        <v>0.0</v>
      </c>
      <c r="H97" s="9">
        <f t="shared" si="1"/>
        <v>0</v>
      </c>
      <c r="I97" s="9">
        <f t="shared" si="2"/>
        <v>0</v>
      </c>
    </row>
    <row r="98">
      <c r="A98" s="18">
        <v>25.0</v>
      </c>
      <c r="B98" s="1" t="s">
        <v>65</v>
      </c>
      <c r="C98" s="1" t="s">
        <v>15</v>
      </c>
      <c r="D98" s="1" t="s">
        <v>181</v>
      </c>
      <c r="E98" s="1">
        <v>7.0</v>
      </c>
      <c r="F98" s="8">
        <v>1.03502042293548E16</v>
      </c>
      <c r="G98" s="1">
        <v>4.0</v>
      </c>
      <c r="H98" s="9">
        <f t="shared" si="1"/>
        <v>3</v>
      </c>
      <c r="I98" s="9">
        <f t="shared" si="2"/>
        <v>3</v>
      </c>
    </row>
    <row r="99">
      <c r="A99" s="18">
        <v>26.0</v>
      </c>
      <c r="B99" s="1" t="s">
        <v>67</v>
      </c>
      <c r="C99" s="1" t="s">
        <v>15</v>
      </c>
      <c r="D99" s="1" t="s">
        <v>182</v>
      </c>
      <c r="E99" s="1">
        <v>7.0</v>
      </c>
      <c r="F99" s="8">
        <v>1.02304933071136E16</v>
      </c>
      <c r="G99" s="1">
        <v>7.0</v>
      </c>
      <c r="H99" s="9">
        <f t="shared" si="1"/>
        <v>0</v>
      </c>
      <c r="I99" s="9">
        <f t="shared" si="2"/>
        <v>0</v>
      </c>
    </row>
    <row r="100">
      <c r="A100" s="18">
        <v>27.0</v>
      </c>
      <c r="B100" s="1" t="s">
        <v>69</v>
      </c>
      <c r="C100" s="1" t="s">
        <v>15</v>
      </c>
      <c r="D100" s="1" t="s">
        <v>183</v>
      </c>
      <c r="E100" s="1">
        <v>4.0</v>
      </c>
      <c r="F100" s="8">
        <v>1.03047046661376E16</v>
      </c>
      <c r="G100" s="1">
        <v>8.0</v>
      </c>
      <c r="H100" s="9">
        <f t="shared" si="1"/>
        <v>4</v>
      </c>
      <c r="I100" s="9">
        <f t="shared" si="2"/>
        <v>-4</v>
      </c>
    </row>
    <row r="101">
      <c r="A101" s="18">
        <v>28.0</v>
      </c>
      <c r="B101" s="1" t="s">
        <v>71</v>
      </c>
      <c r="C101" s="1" t="s">
        <v>15</v>
      </c>
      <c r="D101" s="1" t="s">
        <v>184</v>
      </c>
      <c r="E101" s="1">
        <v>4.0</v>
      </c>
      <c r="F101" s="8">
        <v>1.02550368309021E14</v>
      </c>
      <c r="G101" s="1">
        <v>5.0</v>
      </c>
      <c r="H101" s="9">
        <f t="shared" si="1"/>
        <v>1</v>
      </c>
      <c r="I101" s="9">
        <f t="shared" si="2"/>
        <v>-1</v>
      </c>
    </row>
    <row r="102">
      <c r="A102" s="18">
        <v>29.0</v>
      </c>
      <c r="B102" s="1" t="s">
        <v>73</v>
      </c>
      <c r="C102" s="1" t="s">
        <v>15</v>
      </c>
      <c r="D102" s="1" t="s">
        <v>185</v>
      </c>
      <c r="E102" s="1">
        <v>3.0</v>
      </c>
      <c r="F102" s="8">
        <v>1.02629895210266E16</v>
      </c>
      <c r="G102" s="1">
        <v>4.0</v>
      </c>
      <c r="H102" s="9">
        <f t="shared" si="1"/>
        <v>1</v>
      </c>
      <c r="I102" s="9">
        <f t="shared" si="2"/>
        <v>-1</v>
      </c>
    </row>
    <row r="103">
      <c r="A103" s="18">
        <v>30.0</v>
      </c>
      <c r="B103" s="1" t="s">
        <v>75</v>
      </c>
      <c r="C103" s="1" t="s">
        <v>15</v>
      </c>
      <c r="D103" s="1" t="s">
        <v>76</v>
      </c>
      <c r="E103" s="1">
        <v>9.0</v>
      </c>
      <c r="F103" s="8">
        <v>1.0880735874176E16</v>
      </c>
      <c r="G103" s="1">
        <v>8.0</v>
      </c>
      <c r="H103" s="9">
        <f t="shared" si="1"/>
        <v>1</v>
      </c>
      <c r="I103" s="9">
        <f t="shared" si="2"/>
        <v>1</v>
      </c>
    </row>
    <row r="104">
      <c r="A104" s="18">
        <v>31.0</v>
      </c>
      <c r="B104" s="1" t="s">
        <v>77</v>
      </c>
      <c r="C104" s="1" t="s">
        <v>15</v>
      </c>
      <c r="D104" s="1" t="s">
        <v>186</v>
      </c>
      <c r="E104" s="1">
        <v>8.0</v>
      </c>
      <c r="F104" s="8">
        <v>1.0328340768814E16</v>
      </c>
      <c r="G104" s="1">
        <v>4.0</v>
      </c>
      <c r="H104" s="9">
        <f t="shared" si="1"/>
        <v>4</v>
      </c>
      <c r="I104" s="9">
        <f t="shared" si="2"/>
        <v>4</v>
      </c>
    </row>
    <row r="105">
      <c r="A105" s="18">
        <v>32.0</v>
      </c>
      <c r="B105" s="1" t="s">
        <v>79</v>
      </c>
      <c r="C105" s="1" t="s">
        <v>15</v>
      </c>
      <c r="D105" s="1" t="s">
        <v>187</v>
      </c>
      <c r="E105" s="1">
        <v>8.0</v>
      </c>
      <c r="F105" s="8">
        <v>1.07353208065032E16</v>
      </c>
      <c r="G105" s="1">
        <v>8.0</v>
      </c>
      <c r="H105" s="9">
        <f t="shared" si="1"/>
        <v>0</v>
      </c>
      <c r="I105" s="9">
        <f t="shared" si="2"/>
        <v>0</v>
      </c>
    </row>
    <row r="106">
      <c r="A106" s="18">
        <v>33.0</v>
      </c>
      <c r="B106" s="1" t="s">
        <v>81</v>
      </c>
      <c r="C106" s="1" t="s">
        <v>15</v>
      </c>
      <c r="D106" s="1" t="s">
        <v>188</v>
      </c>
      <c r="E106" s="1">
        <v>9.0</v>
      </c>
      <c r="F106" s="8">
        <v>1.07602615356445E16</v>
      </c>
      <c r="G106" s="1">
        <v>8.0</v>
      </c>
      <c r="H106" s="9">
        <f t="shared" si="1"/>
        <v>1</v>
      </c>
      <c r="I106" s="9">
        <f t="shared" si="2"/>
        <v>1</v>
      </c>
    </row>
    <row r="107">
      <c r="A107" s="18">
        <v>34.0</v>
      </c>
      <c r="B107" s="1" t="s">
        <v>83</v>
      </c>
      <c r="C107" s="1" t="s">
        <v>15</v>
      </c>
      <c r="D107" s="1" t="s">
        <v>189</v>
      </c>
      <c r="E107" s="1">
        <v>7.0</v>
      </c>
      <c r="F107" s="8">
        <v>1.07655179500579E16</v>
      </c>
      <c r="G107" s="1">
        <v>7.0</v>
      </c>
      <c r="H107" s="9">
        <f t="shared" si="1"/>
        <v>0</v>
      </c>
      <c r="I107" s="9">
        <f t="shared" si="2"/>
        <v>0</v>
      </c>
    </row>
    <row r="108">
      <c r="A108" s="18">
        <v>35.0</v>
      </c>
      <c r="B108" s="1" t="s">
        <v>85</v>
      </c>
      <c r="C108" s="1" t="s">
        <v>15</v>
      </c>
      <c r="D108" s="1" t="s">
        <v>190</v>
      </c>
      <c r="E108" s="1">
        <v>6.0</v>
      </c>
      <c r="F108" s="8">
        <v>1.02813968658447E16</v>
      </c>
      <c r="G108" s="1">
        <v>4.0</v>
      </c>
      <c r="H108" s="9">
        <f t="shared" si="1"/>
        <v>2</v>
      </c>
      <c r="I108" s="9">
        <f t="shared" si="2"/>
        <v>2</v>
      </c>
    </row>
    <row r="109">
      <c r="A109" s="18">
        <v>36.0</v>
      </c>
      <c r="B109" s="1" t="s">
        <v>87</v>
      </c>
      <c r="C109" s="1" t="s">
        <v>15</v>
      </c>
      <c r="D109" s="1" t="s">
        <v>191</v>
      </c>
      <c r="E109" s="1">
        <v>6.0</v>
      </c>
      <c r="F109" s="8">
        <v>1.03050265312194E16</v>
      </c>
      <c r="G109" s="1">
        <v>4.0</v>
      </c>
      <c r="H109" s="9">
        <f t="shared" si="1"/>
        <v>2</v>
      </c>
      <c r="I109" s="9">
        <f t="shared" si="2"/>
        <v>2</v>
      </c>
    </row>
    <row r="110">
      <c r="A110" s="18">
        <v>37.0</v>
      </c>
      <c r="B110" s="1" t="s">
        <v>89</v>
      </c>
      <c r="C110" s="1" t="s">
        <v>15</v>
      </c>
      <c r="D110" s="1" t="s">
        <v>192</v>
      </c>
      <c r="E110" s="1">
        <v>8.0</v>
      </c>
      <c r="F110" s="8">
        <v>1.08245441913604E16</v>
      </c>
      <c r="G110" s="1">
        <v>8.0</v>
      </c>
      <c r="H110" s="9">
        <f t="shared" si="1"/>
        <v>0</v>
      </c>
      <c r="I110" s="9">
        <f t="shared" si="2"/>
        <v>0</v>
      </c>
    </row>
    <row r="111">
      <c r="A111" s="18">
        <v>38.0</v>
      </c>
      <c r="B111" s="1" t="s">
        <v>91</v>
      </c>
      <c r="C111" s="1" t="s">
        <v>15</v>
      </c>
      <c r="D111" s="1" t="s">
        <v>193</v>
      </c>
      <c r="E111" s="1">
        <v>8.0</v>
      </c>
      <c r="F111" s="8">
        <v>1.0708119392395E15</v>
      </c>
      <c r="G111" s="1">
        <v>7.0</v>
      </c>
      <c r="H111" s="9">
        <f t="shared" si="1"/>
        <v>1</v>
      </c>
      <c r="I111" s="9">
        <f t="shared" si="2"/>
        <v>1</v>
      </c>
    </row>
    <row r="112">
      <c r="A112" s="18">
        <v>39.0</v>
      </c>
      <c r="B112" s="1" t="s">
        <v>93</v>
      </c>
      <c r="C112" s="1" t="s">
        <v>15</v>
      </c>
      <c r="D112" s="1" t="s">
        <v>194</v>
      </c>
      <c r="E112" s="1">
        <v>1.0</v>
      </c>
      <c r="F112" s="8">
        <v>1.02568037509918E15</v>
      </c>
      <c r="G112" s="1">
        <v>3.0</v>
      </c>
      <c r="H112" s="9">
        <f t="shared" si="1"/>
        <v>2</v>
      </c>
      <c r="I112" s="9">
        <f t="shared" si="2"/>
        <v>-2</v>
      </c>
    </row>
    <row r="113">
      <c r="A113" s="18">
        <v>40.0</v>
      </c>
      <c r="B113" s="1" t="s">
        <v>95</v>
      </c>
      <c r="C113" s="1" t="s">
        <v>15</v>
      </c>
      <c r="D113" s="1" t="s">
        <v>195</v>
      </c>
      <c r="E113" s="1">
        <v>8.0</v>
      </c>
      <c r="F113" s="8">
        <v>1.1239907503128E16</v>
      </c>
      <c r="G113" s="1">
        <v>8.0</v>
      </c>
      <c r="H113" s="9">
        <f t="shared" si="1"/>
        <v>0</v>
      </c>
      <c r="I113" s="9">
        <f t="shared" si="2"/>
        <v>0</v>
      </c>
    </row>
    <row r="114">
      <c r="A114" s="18">
        <v>41.0</v>
      </c>
      <c r="B114" s="1" t="s">
        <v>97</v>
      </c>
      <c r="C114" s="1" t="s">
        <v>15</v>
      </c>
      <c r="D114" s="1" t="s">
        <v>196</v>
      </c>
      <c r="E114" s="1">
        <v>7.0</v>
      </c>
      <c r="F114" s="8">
        <v>1.06867039203643E15</v>
      </c>
      <c r="G114" s="1">
        <v>8.0</v>
      </c>
      <c r="H114" s="9">
        <f t="shared" si="1"/>
        <v>1</v>
      </c>
      <c r="I114" s="9">
        <f t="shared" si="2"/>
        <v>-1</v>
      </c>
    </row>
    <row r="115">
      <c r="A115" s="18">
        <v>42.0</v>
      </c>
      <c r="B115" s="1" t="s">
        <v>99</v>
      </c>
      <c r="C115" s="1" t="s">
        <v>15</v>
      </c>
      <c r="D115" s="1" t="s">
        <v>197</v>
      </c>
      <c r="E115" s="1">
        <v>6.0</v>
      </c>
      <c r="F115" s="8">
        <v>1.06971096992492E16</v>
      </c>
      <c r="G115" s="1">
        <v>4.0</v>
      </c>
      <c r="H115" s="9">
        <f t="shared" si="1"/>
        <v>2</v>
      </c>
      <c r="I115" s="9">
        <f t="shared" si="2"/>
        <v>2</v>
      </c>
    </row>
    <row r="116">
      <c r="A116" s="18">
        <v>43.0</v>
      </c>
      <c r="B116" s="1" t="s">
        <v>101</v>
      </c>
      <c r="C116" s="1" t="s">
        <v>15</v>
      </c>
      <c r="D116" s="1" t="s">
        <v>198</v>
      </c>
      <c r="E116" s="1">
        <v>9.0</v>
      </c>
      <c r="F116" s="8">
        <v>1.13917100429534E16</v>
      </c>
      <c r="G116" s="1">
        <v>5.0</v>
      </c>
      <c r="H116" s="9">
        <f t="shared" si="1"/>
        <v>4</v>
      </c>
      <c r="I116" s="9">
        <f t="shared" si="2"/>
        <v>4</v>
      </c>
    </row>
    <row r="117">
      <c r="A117" s="18">
        <v>44.0</v>
      </c>
      <c r="B117" s="1" t="s">
        <v>103</v>
      </c>
      <c r="C117" s="1" t="s">
        <v>15</v>
      </c>
      <c r="D117" s="1" t="s">
        <v>199</v>
      </c>
      <c r="E117" s="1">
        <v>3.0</v>
      </c>
      <c r="F117" s="8">
        <v>1.03559718132019E16</v>
      </c>
      <c r="G117" s="1">
        <v>4.0</v>
      </c>
      <c r="H117" s="9">
        <f t="shared" si="1"/>
        <v>1</v>
      </c>
      <c r="I117" s="9">
        <f t="shared" si="2"/>
        <v>-1</v>
      </c>
    </row>
    <row r="118">
      <c r="A118" s="18">
        <v>45.0</v>
      </c>
      <c r="B118" s="1" t="s">
        <v>105</v>
      </c>
      <c r="C118" s="1" t="s">
        <v>15</v>
      </c>
      <c r="D118" s="1" t="s">
        <v>200</v>
      </c>
      <c r="E118" s="1">
        <v>8.0</v>
      </c>
      <c r="F118" s="8">
        <v>1.12473285198211E16</v>
      </c>
      <c r="G118" s="1">
        <v>8.0</v>
      </c>
      <c r="H118" s="9">
        <f t="shared" si="1"/>
        <v>0</v>
      </c>
      <c r="I118" s="9">
        <f t="shared" si="2"/>
        <v>0</v>
      </c>
    </row>
    <row r="119">
      <c r="A119" s="18">
        <v>46.0</v>
      </c>
      <c r="B119" s="1" t="s">
        <v>107</v>
      </c>
      <c r="C119" s="1" t="s">
        <v>15</v>
      </c>
      <c r="D119" s="1" t="s">
        <v>201</v>
      </c>
      <c r="E119" s="1">
        <v>3.0</v>
      </c>
      <c r="F119" s="8">
        <v>1.07205483913421E16</v>
      </c>
      <c r="G119" s="1">
        <v>7.0</v>
      </c>
      <c r="H119" s="9">
        <f t="shared" si="1"/>
        <v>4</v>
      </c>
      <c r="I119" s="9">
        <f t="shared" si="2"/>
        <v>-4</v>
      </c>
    </row>
    <row r="120">
      <c r="A120" s="18">
        <v>47.0</v>
      </c>
      <c r="B120" s="1" t="s">
        <v>109</v>
      </c>
      <c r="C120" s="1" t="s">
        <v>15</v>
      </c>
      <c r="D120" s="1" t="s">
        <v>202</v>
      </c>
      <c r="E120" s="1">
        <v>2.0</v>
      </c>
      <c r="F120" s="8">
        <v>1.02730019092559E15</v>
      </c>
      <c r="G120" s="1">
        <v>4.0</v>
      </c>
      <c r="H120" s="9">
        <f t="shared" si="1"/>
        <v>2</v>
      </c>
      <c r="I120" s="9">
        <f t="shared" si="2"/>
        <v>-2</v>
      </c>
    </row>
    <row r="121">
      <c r="A121" s="18">
        <v>48.0</v>
      </c>
      <c r="B121" s="1" t="s">
        <v>111</v>
      </c>
      <c r="C121" s="1" t="s">
        <v>15</v>
      </c>
      <c r="D121" s="1" t="s">
        <v>203</v>
      </c>
      <c r="E121" s="1">
        <v>2.0</v>
      </c>
      <c r="F121" s="8">
        <v>1.0303272485733E16</v>
      </c>
      <c r="G121" s="1">
        <v>2.0</v>
      </c>
      <c r="H121" s="9">
        <f t="shared" si="1"/>
        <v>0</v>
      </c>
      <c r="I121" s="9">
        <f t="shared" si="2"/>
        <v>0</v>
      </c>
    </row>
    <row r="122">
      <c r="A122" s="18">
        <v>49.0</v>
      </c>
      <c r="B122" s="1" t="s">
        <v>113</v>
      </c>
      <c r="C122" s="1" t="s">
        <v>15</v>
      </c>
      <c r="D122" s="1" t="s">
        <v>204</v>
      </c>
      <c r="E122" s="1">
        <v>8.0</v>
      </c>
      <c r="F122" s="8">
        <v>1.03375480175018E16</v>
      </c>
      <c r="G122" s="1">
        <v>8.0</v>
      </c>
      <c r="H122" s="9">
        <f t="shared" si="1"/>
        <v>0</v>
      </c>
      <c r="I122" s="9">
        <f t="shared" si="2"/>
        <v>0</v>
      </c>
    </row>
    <row r="123">
      <c r="A123" s="18">
        <v>50.0</v>
      </c>
      <c r="B123" s="1" t="s">
        <v>115</v>
      </c>
      <c r="C123" s="1" t="s">
        <v>15</v>
      </c>
      <c r="D123" s="1" t="s">
        <v>205</v>
      </c>
      <c r="E123" s="1">
        <v>8.0</v>
      </c>
      <c r="F123" s="8">
        <v>1.03134863376617E16</v>
      </c>
      <c r="G123" s="1">
        <v>8.0</v>
      </c>
      <c r="H123" s="9">
        <f t="shared" si="1"/>
        <v>0</v>
      </c>
      <c r="I123" s="9">
        <f t="shared" si="2"/>
        <v>0</v>
      </c>
    </row>
    <row r="124">
      <c r="A124" s="18">
        <v>51.0</v>
      </c>
      <c r="B124" s="1" t="s">
        <v>117</v>
      </c>
      <c r="C124" s="1" t="s">
        <v>15</v>
      </c>
      <c r="D124" s="1" t="s">
        <v>118</v>
      </c>
      <c r="E124" s="1">
        <v>4.0</v>
      </c>
      <c r="F124" s="8">
        <v>1.02742292881011E16</v>
      </c>
      <c r="G124" s="1">
        <v>4.0</v>
      </c>
      <c r="H124" s="9">
        <f t="shared" si="1"/>
        <v>0</v>
      </c>
      <c r="I124" s="9">
        <f t="shared" si="2"/>
        <v>0</v>
      </c>
    </row>
    <row r="125">
      <c r="A125" s="18">
        <v>52.0</v>
      </c>
      <c r="B125" s="1" t="s">
        <v>119</v>
      </c>
      <c r="C125" s="1" t="s">
        <v>15</v>
      </c>
      <c r="D125" s="1" t="s">
        <v>206</v>
      </c>
      <c r="E125" s="1">
        <v>7.0</v>
      </c>
      <c r="F125" s="8">
        <v>1.0728063583374E16</v>
      </c>
      <c r="G125" s="1">
        <v>8.0</v>
      </c>
      <c r="H125" s="9">
        <f t="shared" si="1"/>
        <v>1</v>
      </c>
      <c r="I125" s="9">
        <f t="shared" si="2"/>
        <v>-1</v>
      </c>
    </row>
    <row r="126">
      <c r="A126" s="18">
        <v>53.0</v>
      </c>
      <c r="B126" s="1" t="s">
        <v>121</v>
      </c>
      <c r="C126" s="1" t="s">
        <v>15</v>
      </c>
      <c r="D126" s="1" t="s">
        <v>207</v>
      </c>
      <c r="E126" s="1">
        <v>5.0</v>
      </c>
      <c r="F126" s="8">
        <v>1.07950134277343E16</v>
      </c>
      <c r="G126" s="1">
        <v>3.0</v>
      </c>
      <c r="H126" s="9">
        <f t="shared" si="1"/>
        <v>2</v>
      </c>
      <c r="I126" s="9">
        <f t="shared" si="2"/>
        <v>2</v>
      </c>
    </row>
    <row r="127">
      <c r="A127" s="18">
        <v>54.0</v>
      </c>
      <c r="B127" s="1" t="s">
        <v>123</v>
      </c>
      <c r="C127" s="1" t="s">
        <v>15</v>
      </c>
      <c r="D127" s="1" t="s">
        <v>208</v>
      </c>
      <c r="E127" s="1">
        <v>5.0</v>
      </c>
      <c r="F127" s="8">
        <v>1.07500822544097E15</v>
      </c>
      <c r="G127" s="1">
        <v>4.0</v>
      </c>
      <c r="H127" s="9">
        <f t="shared" si="1"/>
        <v>1</v>
      </c>
      <c r="I127" s="9">
        <f t="shared" si="2"/>
        <v>1</v>
      </c>
    </row>
    <row r="128">
      <c r="A128" s="18">
        <v>55.0</v>
      </c>
      <c r="B128" s="1" t="s">
        <v>125</v>
      </c>
      <c r="C128" s="1" t="s">
        <v>15</v>
      </c>
      <c r="D128" s="1" t="s">
        <v>209</v>
      </c>
      <c r="E128" s="1">
        <v>9.0</v>
      </c>
      <c r="F128" s="8">
        <v>1.0858421087265E16</v>
      </c>
      <c r="G128" s="1">
        <v>8.0</v>
      </c>
      <c r="H128" s="9">
        <f t="shared" si="1"/>
        <v>1</v>
      </c>
      <c r="I128" s="9">
        <f t="shared" si="2"/>
        <v>1</v>
      </c>
    </row>
    <row r="129">
      <c r="A129" s="18">
        <v>56.0</v>
      </c>
      <c r="B129" s="1" t="s">
        <v>127</v>
      </c>
      <c r="C129" s="1" t="s">
        <v>15</v>
      </c>
      <c r="D129" s="1" t="s">
        <v>210</v>
      </c>
      <c r="E129" s="1">
        <v>4.0</v>
      </c>
      <c r="F129" s="8">
        <v>1.03466877937316E15</v>
      </c>
      <c r="G129" s="1">
        <v>4.0</v>
      </c>
      <c r="H129" s="9">
        <f t="shared" si="1"/>
        <v>0</v>
      </c>
      <c r="I129" s="9">
        <f t="shared" si="2"/>
        <v>0</v>
      </c>
    </row>
    <row r="130">
      <c r="A130" s="18">
        <v>57.0</v>
      </c>
      <c r="B130" s="1" t="s">
        <v>129</v>
      </c>
      <c r="C130" s="1" t="s">
        <v>15</v>
      </c>
      <c r="D130" s="1" t="s">
        <v>130</v>
      </c>
      <c r="E130" s="1">
        <v>0.0</v>
      </c>
      <c r="F130" s="8">
        <v>9.9003939628601E15</v>
      </c>
      <c r="G130" s="1">
        <v>0.0</v>
      </c>
      <c r="H130" s="9">
        <f t="shared" si="1"/>
        <v>0</v>
      </c>
      <c r="I130" s="9">
        <f t="shared" si="2"/>
        <v>0</v>
      </c>
    </row>
    <row r="131">
      <c r="A131" s="18">
        <v>58.0</v>
      </c>
      <c r="B131" s="1" t="s">
        <v>131</v>
      </c>
      <c r="C131" s="1" t="s">
        <v>15</v>
      </c>
      <c r="D131" s="1" t="s">
        <v>211</v>
      </c>
      <c r="E131" s="1">
        <v>2.0</v>
      </c>
      <c r="F131" s="8">
        <v>1.06959829330444E16</v>
      </c>
      <c r="G131" s="1">
        <v>4.0</v>
      </c>
      <c r="H131" s="9">
        <f t="shared" si="1"/>
        <v>2</v>
      </c>
      <c r="I131" s="9">
        <f t="shared" si="2"/>
        <v>-2</v>
      </c>
    </row>
    <row r="132">
      <c r="A132" s="18">
        <v>59.0</v>
      </c>
      <c r="B132" s="1" t="s">
        <v>133</v>
      </c>
      <c r="C132" s="1" t="s">
        <v>15</v>
      </c>
      <c r="D132" s="1" t="s">
        <v>212</v>
      </c>
      <c r="E132" s="1">
        <v>3.0</v>
      </c>
      <c r="F132" s="8">
        <v>1.02322354316711E16</v>
      </c>
      <c r="G132" s="1">
        <v>4.0</v>
      </c>
      <c r="H132" s="9">
        <f t="shared" si="1"/>
        <v>1</v>
      </c>
      <c r="I132" s="9">
        <f t="shared" si="2"/>
        <v>-1</v>
      </c>
    </row>
    <row r="133">
      <c r="A133" s="18">
        <v>60.0</v>
      </c>
      <c r="B133" s="1" t="s">
        <v>135</v>
      </c>
      <c r="C133" s="1" t="s">
        <v>15</v>
      </c>
      <c r="D133" s="1" t="s">
        <v>213</v>
      </c>
      <c r="E133" s="1">
        <v>1.0</v>
      </c>
      <c r="F133" s="8">
        <v>1.03303916454315E15</v>
      </c>
      <c r="G133" s="1">
        <v>4.0</v>
      </c>
      <c r="H133" s="9">
        <f t="shared" si="1"/>
        <v>3</v>
      </c>
      <c r="I133" s="9">
        <f t="shared" si="2"/>
        <v>-3</v>
      </c>
    </row>
    <row r="134">
      <c r="A134" s="18">
        <v>61.0</v>
      </c>
      <c r="B134" s="1" t="s">
        <v>137</v>
      </c>
      <c r="C134" s="1" t="s">
        <v>15</v>
      </c>
      <c r="D134" s="1" t="s">
        <v>214</v>
      </c>
      <c r="E134" s="1">
        <v>9.0</v>
      </c>
      <c r="F134" s="8">
        <v>1.13912031650543E15</v>
      </c>
      <c r="G134" s="1">
        <v>8.0</v>
      </c>
      <c r="H134" s="9">
        <f t="shared" si="1"/>
        <v>1</v>
      </c>
      <c r="I134" s="9">
        <f t="shared" si="2"/>
        <v>1</v>
      </c>
    </row>
    <row r="135">
      <c r="A135" s="18">
        <v>62.0</v>
      </c>
      <c r="B135" s="1" t="s">
        <v>139</v>
      </c>
      <c r="C135" s="1" t="s">
        <v>15</v>
      </c>
      <c r="D135" s="1" t="s">
        <v>140</v>
      </c>
      <c r="E135" s="1">
        <v>3.0</v>
      </c>
      <c r="F135" s="8">
        <v>1.08183431625366E15</v>
      </c>
      <c r="G135" s="1">
        <v>4.0</v>
      </c>
      <c r="H135" s="9">
        <f t="shared" si="1"/>
        <v>1</v>
      </c>
      <c r="I135" s="9">
        <f t="shared" si="2"/>
        <v>-1</v>
      </c>
    </row>
    <row r="136">
      <c r="A136" s="18">
        <v>63.0</v>
      </c>
      <c r="B136" s="1" t="s">
        <v>141</v>
      </c>
      <c r="C136" s="1" t="s">
        <v>15</v>
      </c>
      <c r="D136" s="1" t="s">
        <v>215</v>
      </c>
      <c r="E136" s="1">
        <v>2.0</v>
      </c>
      <c r="F136" s="8">
        <v>1.02854814529418E16</v>
      </c>
      <c r="G136" s="1">
        <v>4.0</v>
      </c>
      <c r="H136" s="9">
        <f t="shared" si="1"/>
        <v>2</v>
      </c>
      <c r="I136" s="9">
        <f t="shared" si="2"/>
        <v>-2</v>
      </c>
    </row>
    <row r="137">
      <c r="A137" s="18">
        <v>64.0</v>
      </c>
      <c r="B137" s="1" t="s">
        <v>143</v>
      </c>
      <c r="C137" s="1" t="s">
        <v>15</v>
      </c>
      <c r="D137" s="1" t="s">
        <v>130</v>
      </c>
      <c r="E137" s="1">
        <v>0.0</v>
      </c>
      <c r="F137" s="8">
        <v>1.02042968273162E16</v>
      </c>
      <c r="G137" s="1">
        <v>0.0</v>
      </c>
      <c r="H137" s="9">
        <f t="shared" si="1"/>
        <v>0</v>
      </c>
      <c r="I137" s="9">
        <f t="shared" si="2"/>
        <v>0</v>
      </c>
    </row>
    <row r="138">
      <c r="A138" s="18">
        <v>65.0</v>
      </c>
      <c r="B138" s="1" t="s">
        <v>145</v>
      </c>
      <c r="C138" s="1" t="s">
        <v>15</v>
      </c>
      <c r="D138" s="1" t="s">
        <v>216</v>
      </c>
      <c r="E138" s="1">
        <v>0.0</v>
      </c>
      <c r="F138" s="8">
        <v>9.85374808311462E15</v>
      </c>
      <c r="G138" s="1">
        <v>0.0</v>
      </c>
      <c r="H138" s="9">
        <f t="shared" si="1"/>
        <v>0</v>
      </c>
      <c r="I138" s="9">
        <f t="shared" si="2"/>
        <v>0</v>
      </c>
    </row>
    <row r="139">
      <c r="A139" s="18">
        <v>66.0</v>
      </c>
      <c r="B139" s="1" t="s">
        <v>147</v>
      </c>
      <c r="C139" s="1" t="s">
        <v>15</v>
      </c>
      <c r="D139" s="1" t="s">
        <v>217</v>
      </c>
      <c r="E139" s="1">
        <v>4.0</v>
      </c>
      <c r="F139" s="8">
        <v>1.0317851781845E16</v>
      </c>
      <c r="G139" s="1">
        <v>4.0</v>
      </c>
      <c r="H139" s="9">
        <f t="shared" si="1"/>
        <v>0</v>
      </c>
      <c r="I139" s="9">
        <f t="shared" si="2"/>
        <v>0</v>
      </c>
    </row>
    <row r="140">
      <c r="A140" s="18">
        <v>67.0</v>
      </c>
      <c r="B140" s="1" t="s">
        <v>149</v>
      </c>
      <c r="C140" s="1" t="s">
        <v>15</v>
      </c>
      <c r="D140" s="1" t="s">
        <v>218</v>
      </c>
      <c r="E140" s="1">
        <v>6.0</v>
      </c>
      <c r="F140" s="8">
        <v>1.03383769989013E16</v>
      </c>
      <c r="G140" s="1">
        <v>4.0</v>
      </c>
      <c r="H140" s="9">
        <f t="shared" si="1"/>
        <v>2</v>
      </c>
      <c r="I140" s="9">
        <f t="shared" si="2"/>
        <v>2</v>
      </c>
    </row>
    <row r="141">
      <c r="A141" s="18">
        <v>68.0</v>
      </c>
      <c r="B141" s="1" t="s">
        <v>151</v>
      </c>
      <c r="C141" s="1" t="s">
        <v>15</v>
      </c>
      <c r="D141" s="1" t="s">
        <v>219</v>
      </c>
      <c r="E141" s="1">
        <v>8.0</v>
      </c>
      <c r="F141" s="8">
        <v>1.12506439685821E16</v>
      </c>
      <c r="G141" s="1">
        <v>8.0</v>
      </c>
      <c r="H141" s="9">
        <f t="shared" si="1"/>
        <v>0</v>
      </c>
      <c r="I141" s="9">
        <f t="shared" si="2"/>
        <v>0</v>
      </c>
    </row>
    <row r="142">
      <c r="A142" s="18">
        <v>69.0</v>
      </c>
      <c r="B142" s="1" t="s">
        <v>153</v>
      </c>
      <c r="C142" s="1" t="s">
        <v>15</v>
      </c>
      <c r="D142" s="1" t="s">
        <v>220</v>
      </c>
      <c r="E142" s="1">
        <v>5.0</v>
      </c>
      <c r="F142" s="8">
        <v>1.03782751560211E16</v>
      </c>
      <c r="G142" s="1">
        <v>7.0</v>
      </c>
      <c r="H142" s="9">
        <f t="shared" si="1"/>
        <v>2</v>
      </c>
      <c r="I142" s="9">
        <f t="shared" si="2"/>
        <v>-2</v>
      </c>
    </row>
    <row r="143">
      <c r="A143" s="18">
        <v>70.0</v>
      </c>
      <c r="B143" s="1" t="s">
        <v>155</v>
      </c>
      <c r="C143" s="1" t="s">
        <v>15</v>
      </c>
      <c r="D143" s="1" t="s">
        <v>221</v>
      </c>
      <c r="E143" s="1">
        <v>0.0</v>
      </c>
      <c r="F143" s="8">
        <v>1.02133016586303E16</v>
      </c>
      <c r="G143" s="1">
        <v>6.0</v>
      </c>
      <c r="H143" s="9">
        <f t="shared" si="1"/>
        <v>6</v>
      </c>
      <c r="I143" s="9">
        <f t="shared" si="2"/>
        <v>-6</v>
      </c>
    </row>
    <row r="144">
      <c r="A144" s="7">
        <v>0.0</v>
      </c>
      <c r="B144" s="1" t="s">
        <v>14</v>
      </c>
      <c r="C144" s="1" t="s">
        <v>222</v>
      </c>
      <c r="D144" s="1" t="s">
        <v>223</v>
      </c>
      <c r="E144" s="1">
        <v>4.0</v>
      </c>
      <c r="F144" s="8">
        <v>6.42919158935546E15</v>
      </c>
      <c r="G144" s="1">
        <v>6.0</v>
      </c>
      <c r="H144" s="9">
        <f t="shared" si="1"/>
        <v>2</v>
      </c>
      <c r="I144" s="9">
        <f t="shared" si="2"/>
        <v>-2</v>
      </c>
    </row>
    <row r="145">
      <c r="A145" s="7">
        <v>1.0</v>
      </c>
      <c r="B145" s="1" t="s">
        <v>17</v>
      </c>
      <c r="C145" s="1" t="s">
        <v>222</v>
      </c>
      <c r="D145" s="1" t="s">
        <v>224</v>
      </c>
      <c r="E145" s="1">
        <v>2.0</v>
      </c>
      <c r="F145" s="8">
        <v>6.4093587398529E15</v>
      </c>
      <c r="G145" s="1">
        <v>4.0</v>
      </c>
      <c r="H145" s="9">
        <f t="shared" si="1"/>
        <v>2</v>
      </c>
      <c r="I145" s="9">
        <f t="shared" si="2"/>
        <v>-2</v>
      </c>
    </row>
    <row r="146">
      <c r="A146" s="7">
        <v>2.0</v>
      </c>
      <c r="B146" s="1" t="s">
        <v>19</v>
      </c>
      <c r="C146" s="1" t="s">
        <v>222</v>
      </c>
      <c r="D146" s="1" t="s">
        <v>225</v>
      </c>
      <c r="E146" s="1">
        <v>5.0</v>
      </c>
      <c r="F146" s="8">
        <v>6.45509719848632E15</v>
      </c>
      <c r="G146" s="1">
        <v>6.0</v>
      </c>
      <c r="H146" s="9">
        <f t="shared" si="1"/>
        <v>1</v>
      </c>
      <c r="I146" s="9">
        <f t="shared" si="2"/>
        <v>-1</v>
      </c>
    </row>
    <row r="147">
      <c r="A147" s="7">
        <v>3.0</v>
      </c>
      <c r="B147" s="1" t="s">
        <v>21</v>
      </c>
      <c r="C147" s="1" t="s">
        <v>222</v>
      </c>
      <c r="D147" s="1" t="s">
        <v>226</v>
      </c>
      <c r="E147" s="1">
        <v>4.0</v>
      </c>
      <c r="F147" s="8">
        <v>6.93183994293212E15</v>
      </c>
      <c r="G147" s="1">
        <v>7.0</v>
      </c>
      <c r="H147" s="9">
        <f t="shared" si="1"/>
        <v>3</v>
      </c>
      <c r="I147" s="9">
        <f t="shared" si="2"/>
        <v>-3</v>
      </c>
    </row>
    <row r="148">
      <c r="A148" s="7">
        <v>4.0</v>
      </c>
      <c r="B148" s="1" t="s">
        <v>23</v>
      </c>
      <c r="C148" s="1" t="s">
        <v>222</v>
      </c>
      <c r="D148" s="1" t="s">
        <v>227</v>
      </c>
      <c r="E148" s="1">
        <v>6.0</v>
      </c>
      <c r="F148" s="8">
        <v>6.41844749450683E15</v>
      </c>
      <c r="G148" s="1">
        <v>4.0</v>
      </c>
      <c r="H148" s="9">
        <f t="shared" si="1"/>
        <v>2</v>
      </c>
      <c r="I148" s="9">
        <f t="shared" si="2"/>
        <v>2</v>
      </c>
    </row>
    <row r="149">
      <c r="A149" s="7">
        <v>5.0</v>
      </c>
      <c r="B149" s="1" t="s">
        <v>25</v>
      </c>
      <c r="C149" s="1" t="s">
        <v>222</v>
      </c>
      <c r="D149" s="1" t="s">
        <v>228</v>
      </c>
      <c r="E149" s="1">
        <v>6.0</v>
      </c>
      <c r="F149" s="8">
        <v>6.93473005294799E15</v>
      </c>
      <c r="G149" s="1">
        <v>6.0</v>
      </c>
      <c r="H149" s="9">
        <f t="shared" si="1"/>
        <v>0</v>
      </c>
      <c r="I149" s="9">
        <f t="shared" si="2"/>
        <v>0</v>
      </c>
    </row>
    <row r="150">
      <c r="A150" s="7">
        <v>6.0</v>
      </c>
      <c r="B150" s="1" t="s">
        <v>27</v>
      </c>
      <c r="C150" s="1" t="s">
        <v>222</v>
      </c>
      <c r="D150" s="1" t="s">
        <v>229</v>
      </c>
      <c r="E150" s="1">
        <v>7.0</v>
      </c>
      <c r="F150" s="8">
        <v>6.90241909027099E15</v>
      </c>
      <c r="G150" s="1">
        <v>7.0</v>
      </c>
      <c r="H150" s="9">
        <f t="shared" si="1"/>
        <v>0</v>
      </c>
      <c r="I150" s="9">
        <f t="shared" si="2"/>
        <v>0</v>
      </c>
    </row>
    <row r="151">
      <c r="A151" s="7">
        <v>7.0</v>
      </c>
      <c r="B151" s="1" t="s">
        <v>29</v>
      </c>
      <c r="C151" s="1" t="s">
        <v>222</v>
      </c>
      <c r="D151" s="1" t="s">
        <v>230</v>
      </c>
      <c r="E151" s="1">
        <v>5.0</v>
      </c>
      <c r="F151" s="8">
        <v>6.33357763290405E15</v>
      </c>
      <c r="G151" s="1">
        <v>6.0</v>
      </c>
      <c r="H151" s="9">
        <f t="shared" si="1"/>
        <v>1</v>
      </c>
      <c r="I151" s="9">
        <f t="shared" si="2"/>
        <v>-1</v>
      </c>
    </row>
    <row r="152">
      <c r="A152" s="7">
        <v>8.0</v>
      </c>
      <c r="B152" s="1" t="s">
        <v>31</v>
      </c>
      <c r="C152" s="1" t="s">
        <v>222</v>
      </c>
      <c r="D152" s="1" t="s">
        <v>231</v>
      </c>
      <c r="E152" s="1">
        <v>7.0</v>
      </c>
      <c r="F152" s="8">
        <v>6.49929785728454E15</v>
      </c>
      <c r="G152" s="1">
        <v>6.0</v>
      </c>
      <c r="H152" s="9">
        <f t="shared" si="1"/>
        <v>1</v>
      </c>
      <c r="I152" s="9">
        <f t="shared" si="2"/>
        <v>1</v>
      </c>
    </row>
    <row r="153">
      <c r="A153" s="7">
        <v>9.0</v>
      </c>
      <c r="B153" s="1" t="s">
        <v>33</v>
      </c>
      <c r="C153" s="1" t="s">
        <v>222</v>
      </c>
      <c r="D153" s="1" t="s">
        <v>232</v>
      </c>
      <c r="E153" s="1">
        <v>6.0</v>
      </c>
      <c r="F153" s="8">
        <v>6.46204161643981E15</v>
      </c>
      <c r="G153" s="1">
        <v>6.0</v>
      </c>
      <c r="H153" s="9">
        <f t="shared" si="1"/>
        <v>0</v>
      </c>
      <c r="I153" s="9">
        <f t="shared" si="2"/>
        <v>0</v>
      </c>
    </row>
    <row r="154">
      <c r="A154" s="7">
        <v>10.0</v>
      </c>
      <c r="B154" s="1" t="s">
        <v>35</v>
      </c>
      <c r="C154" s="1" t="s">
        <v>222</v>
      </c>
      <c r="D154" s="1" t="s">
        <v>233</v>
      </c>
      <c r="E154" s="1">
        <v>6.0</v>
      </c>
      <c r="F154" s="8">
        <v>6.90987682342529E15</v>
      </c>
      <c r="G154" s="1">
        <v>7.0</v>
      </c>
      <c r="H154" s="9">
        <f t="shared" si="1"/>
        <v>1</v>
      </c>
      <c r="I154" s="9">
        <f t="shared" si="2"/>
        <v>-1</v>
      </c>
    </row>
    <row r="155">
      <c r="A155" s="7">
        <v>11.0</v>
      </c>
      <c r="B155" s="1" t="s">
        <v>37</v>
      </c>
      <c r="C155" s="1" t="s">
        <v>222</v>
      </c>
      <c r="D155" s="1" t="s">
        <v>234</v>
      </c>
      <c r="E155" s="1">
        <v>6.0</v>
      </c>
      <c r="F155" s="8">
        <v>6.47347021102905E15</v>
      </c>
      <c r="G155" s="1">
        <v>7.0</v>
      </c>
      <c r="H155" s="9">
        <f t="shared" si="1"/>
        <v>1</v>
      </c>
      <c r="I155" s="9">
        <f t="shared" si="2"/>
        <v>-1</v>
      </c>
    </row>
    <row r="156">
      <c r="A156" s="7">
        <v>12.0</v>
      </c>
      <c r="B156" s="1" t="s">
        <v>39</v>
      </c>
      <c r="C156" s="1" t="s">
        <v>222</v>
      </c>
      <c r="D156" s="1" t="s">
        <v>235</v>
      </c>
      <c r="E156" s="1">
        <v>8.0</v>
      </c>
      <c r="F156" s="8">
        <v>7.01599788665771E15</v>
      </c>
      <c r="G156" s="1">
        <v>8.0</v>
      </c>
      <c r="H156" s="9">
        <f t="shared" si="1"/>
        <v>0</v>
      </c>
      <c r="I156" s="9">
        <f t="shared" si="2"/>
        <v>0</v>
      </c>
    </row>
    <row r="157">
      <c r="A157" s="7">
        <v>13.0</v>
      </c>
      <c r="B157" s="1" t="s">
        <v>41</v>
      </c>
      <c r="C157" s="1" t="s">
        <v>222</v>
      </c>
      <c r="D157" s="1" t="s">
        <v>236</v>
      </c>
      <c r="E157" s="1">
        <v>5.0</v>
      </c>
      <c r="F157" s="8">
        <v>6.42988729476928E15</v>
      </c>
      <c r="G157" s="1">
        <v>6.0</v>
      </c>
      <c r="H157" s="9">
        <f t="shared" si="1"/>
        <v>1</v>
      </c>
      <c r="I157" s="9">
        <f t="shared" si="2"/>
        <v>-1</v>
      </c>
    </row>
    <row r="158">
      <c r="A158" s="7">
        <v>14.0</v>
      </c>
      <c r="B158" s="1" t="s">
        <v>43</v>
      </c>
      <c r="C158" s="1" t="s">
        <v>222</v>
      </c>
      <c r="D158" s="1" t="s">
        <v>237</v>
      </c>
      <c r="E158" s="1">
        <v>7.0</v>
      </c>
      <c r="F158" s="8">
        <v>6.43145012855529E15</v>
      </c>
      <c r="G158" s="1">
        <v>6.0</v>
      </c>
      <c r="H158" s="9">
        <f t="shared" si="1"/>
        <v>1</v>
      </c>
      <c r="I158" s="9">
        <f t="shared" si="2"/>
        <v>1</v>
      </c>
    </row>
    <row r="159">
      <c r="A159" s="7">
        <v>15.0</v>
      </c>
      <c r="B159" s="1" t="s">
        <v>45</v>
      </c>
      <c r="C159" s="1" t="s">
        <v>222</v>
      </c>
      <c r="D159" s="1" t="s">
        <v>238</v>
      </c>
      <c r="E159" s="1">
        <v>2.0</v>
      </c>
      <c r="F159" s="8">
        <v>7.0246832370758E15</v>
      </c>
      <c r="G159" s="1">
        <v>6.0</v>
      </c>
      <c r="H159" s="9">
        <f t="shared" si="1"/>
        <v>4</v>
      </c>
      <c r="I159" s="9">
        <f t="shared" si="2"/>
        <v>-4</v>
      </c>
    </row>
    <row r="160">
      <c r="A160" s="7">
        <v>16.0</v>
      </c>
      <c r="B160" s="1" t="s">
        <v>47</v>
      </c>
      <c r="C160" s="1" t="s">
        <v>222</v>
      </c>
      <c r="D160" s="1" t="s">
        <v>239</v>
      </c>
      <c r="E160" s="1">
        <v>7.0</v>
      </c>
      <c r="F160" s="8">
        <v>6.91563963890075E15</v>
      </c>
      <c r="G160" s="1">
        <v>7.0</v>
      </c>
      <c r="H160" s="9">
        <f t="shared" si="1"/>
        <v>0</v>
      </c>
      <c r="I160" s="9">
        <f t="shared" si="2"/>
        <v>0</v>
      </c>
    </row>
    <row r="161">
      <c r="A161" s="7">
        <v>17.0</v>
      </c>
      <c r="B161" s="1" t="s">
        <v>49</v>
      </c>
      <c r="C161" s="1" t="s">
        <v>222</v>
      </c>
      <c r="D161" s="1" t="s">
        <v>240</v>
      </c>
      <c r="E161" s="1">
        <v>9.0</v>
      </c>
      <c r="F161" s="8">
        <v>6.88933444023132E15</v>
      </c>
      <c r="G161" s="1">
        <v>8.0</v>
      </c>
      <c r="H161" s="9">
        <f t="shared" si="1"/>
        <v>1</v>
      </c>
      <c r="I161" s="9">
        <f t="shared" si="2"/>
        <v>1</v>
      </c>
    </row>
    <row r="162">
      <c r="A162" s="7">
        <v>18.0</v>
      </c>
      <c r="B162" s="1" t="s">
        <v>51</v>
      </c>
      <c r="C162" s="1" t="s">
        <v>222</v>
      </c>
      <c r="D162" s="1" t="s">
        <v>241</v>
      </c>
      <c r="E162" s="1">
        <v>7.0</v>
      </c>
      <c r="F162" s="8">
        <v>6.94845628738403E15</v>
      </c>
      <c r="G162" s="1">
        <v>7.0</v>
      </c>
      <c r="H162" s="9">
        <f t="shared" si="1"/>
        <v>0</v>
      </c>
      <c r="I162" s="9">
        <f t="shared" si="2"/>
        <v>0</v>
      </c>
    </row>
    <row r="163">
      <c r="A163" s="7">
        <v>19.0</v>
      </c>
      <c r="B163" s="1" t="s">
        <v>53</v>
      </c>
      <c r="C163" s="1" t="s">
        <v>222</v>
      </c>
      <c r="D163" s="1" t="s">
        <v>242</v>
      </c>
      <c r="E163" s="1">
        <v>0.0</v>
      </c>
      <c r="F163" s="8">
        <v>6.3357937335968E15</v>
      </c>
      <c r="G163" s="1">
        <v>2.0</v>
      </c>
      <c r="H163" s="9">
        <f t="shared" si="1"/>
        <v>2</v>
      </c>
      <c r="I163" s="9">
        <f t="shared" si="2"/>
        <v>-2</v>
      </c>
    </row>
    <row r="164">
      <c r="A164" s="7">
        <v>20.0</v>
      </c>
      <c r="B164" s="1" t="s">
        <v>55</v>
      </c>
      <c r="C164" s="1" t="s">
        <v>222</v>
      </c>
      <c r="D164" s="1" t="s">
        <v>243</v>
      </c>
      <c r="E164" s="1">
        <v>8.0</v>
      </c>
      <c r="F164" s="8">
        <v>7.40004587173461E15</v>
      </c>
      <c r="G164" s="1">
        <v>8.0</v>
      </c>
      <c r="H164" s="9">
        <f t="shared" si="1"/>
        <v>0</v>
      </c>
      <c r="I164" s="9">
        <f t="shared" si="2"/>
        <v>0</v>
      </c>
    </row>
    <row r="165">
      <c r="A165" s="7">
        <v>21.0</v>
      </c>
      <c r="B165" s="1" t="s">
        <v>57</v>
      </c>
      <c r="C165" s="1" t="s">
        <v>222</v>
      </c>
      <c r="D165" s="1" t="s">
        <v>244</v>
      </c>
      <c r="E165" s="1">
        <v>4.0</v>
      </c>
      <c r="F165" s="8">
        <v>6.32764315605163E15</v>
      </c>
      <c r="G165" s="1">
        <v>6.0</v>
      </c>
      <c r="H165" s="9">
        <f t="shared" si="1"/>
        <v>2</v>
      </c>
      <c r="I165" s="9">
        <f t="shared" si="2"/>
        <v>-2</v>
      </c>
    </row>
    <row r="166">
      <c r="A166" s="7">
        <v>22.0</v>
      </c>
      <c r="B166" s="1" t="s">
        <v>59</v>
      </c>
      <c r="C166" s="1" t="s">
        <v>222</v>
      </c>
      <c r="D166" s="1" t="s">
        <v>245</v>
      </c>
      <c r="E166" s="1">
        <v>7.0</v>
      </c>
      <c r="F166" s="8">
        <v>6.94182229042053E15</v>
      </c>
      <c r="G166" s="1">
        <v>7.0</v>
      </c>
      <c r="H166" s="9">
        <f t="shared" si="1"/>
        <v>0</v>
      </c>
      <c r="I166" s="9">
        <f t="shared" si="2"/>
        <v>0</v>
      </c>
    </row>
    <row r="167">
      <c r="A167" s="7">
        <v>23.0</v>
      </c>
      <c r="B167" s="1" t="s">
        <v>61</v>
      </c>
      <c r="C167" s="1" t="s">
        <v>222</v>
      </c>
      <c r="D167" s="1" t="s">
        <v>246</v>
      </c>
      <c r="E167" s="1">
        <v>1.0</v>
      </c>
      <c r="F167" s="8">
        <v>6.01596903800964E15</v>
      </c>
      <c r="G167" s="1">
        <v>2.0</v>
      </c>
      <c r="H167" s="9">
        <f t="shared" si="1"/>
        <v>1</v>
      </c>
      <c r="I167" s="9">
        <f t="shared" si="2"/>
        <v>-1</v>
      </c>
    </row>
    <row r="168">
      <c r="A168" s="7">
        <v>24.0</v>
      </c>
      <c r="B168" s="1" t="s">
        <v>63</v>
      </c>
      <c r="C168" s="1" t="s">
        <v>222</v>
      </c>
      <c r="D168" s="1" t="s">
        <v>247</v>
      </c>
      <c r="E168" s="1">
        <v>0.0</v>
      </c>
      <c r="F168" s="8">
        <v>5.91857099533081E16</v>
      </c>
      <c r="G168" s="1">
        <v>0.0</v>
      </c>
      <c r="H168" s="9">
        <f t="shared" si="1"/>
        <v>0</v>
      </c>
      <c r="I168" s="9">
        <f t="shared" si="2"/>
        <v>0</v>
      </c>
    </row>
    <row r="169">
      <c r="A169" s="7">
        <v>25.0</v>
      </c>
      <c r="B169" s="1" t="s">
        <v>65</v>
      </c>
      <c r="C169" s="1" t="s">
        <v>222</v>
      </c>
      <c r="D169" s="1" t="s">
        <v>248</v>
      </c>
      <c r="E169" s="1">
        <v>7.0</v>
      </c>
      <c r="F169" s="8">
        <v>6.39998579025268E16</v>
      </c>
      <c r="G169" s="1">
        <v>6.0</v>
      </c>
      <c r="H169" s="9">
        <f t="shared" si="1"/>
        <v>1</v>
      </c>
      <c r="I169" s="9">
        <f t="shared" si="2"/>
        <v>1</v>
      </c>
    </row>
    <row r="170">
      <c r="A170" s="7">
        <v>26.0</v>
      </c>
      <c r="B170" s="1" t="s">
        <v>67</v>
      </c>
      <c r="C170" s="1" t="s">
        <v>222</v>
      </c>
      <c r="D170" s="1" t="s">
        <v>249</v>
      </c>
      <c r="E170" s="1">
        <v>7.0</v>
      </c>
      <c r="F170" s="8">
        <v>6.34228992462158E15</v>
      </c>
      <c r="G170" s="1">
        <v>6.0</v>
      </c>
      <c r="H170" s="9">
        <f t="shared" si="1"/>
        <v>1</v>
      </c>
      <c r="I170" s="9">
        <f t="shared" si="2"/>
        <v>1</v>
      </c>
    </row>
    <row r="171">
      <c r="A171" s="7">
        <v>27.0</v>
      </c>
      <c r="B171" s="1" t="s">
        <v>69</v>
      </c>
      <c r="C171" s="1" t="s">
        <v>222</v>
      </c>
      <c r="D171" s="1" t="s">
        <v>250</v>
      </c>
      <c r="E171" s="1">
        <v>4.0</v>
      </c>
      <c r="F171" s="8">
        <v>6.4222342967987E15</v>
      </c>
      <c r="G171" s="1">
        <v>6.0</v>
      </c>
      <c r="H171" s="9">
        <f t="shared" si="1"/>
        <v>2</v>
      </c>
      <c r="I171" s="9">
        <f t="shared" si="2"/>
        <v>-2</v>
      </c>
    </row>
    <row r="172">
      <c r="A172" s="7">
        <v>28.0</v>
      </c>
      <c r="B172" s="1" t="s">
        <v>71</v>
      </c>
      <c r="C172" s="1" t="s">
        <v>222</v>
      </c>
      <c r="D172" s="1" t="s">
        <v>251</v>
      </c>
      <c r="E172" s="1">
        <v>4.0</v>
      </c>
      <c r="F172" s="8">
        <v>6.42652034759521E15</v>
      </c>
      <c r="G172" s="1">
        <v>6.0</v>
      </c>
      <c r="H172" s="9">
        <f t="shared" si="1"/>
        <v>2</v>
      </c>
      <c r="I172" s="9">
        <f t="shared" si="2"/>
        <v>-2</v>
      </c>
    </row>
    <row r="173">
      <c r="A173" s="7">
        <v>29.0</v>
      </c>
      <c r="B173" s="1" t="s">
        <v>73</v>
      </c>
      <c r="C173" s="1" t="s">
        <v>222</v>
      </c>
      <c r="D173" s="1" t="s">
        <v>252</v>
      </c>
      <c r="E173" s="1">
        <v>3.0</v>
      </c>
      <c r="F173" s="8">
        <v>6.36353063583374E14</v>
      </c>
      <c r="G173" s="1">
        <v>4.0</v>
      </c>
      <c r="H173" s="9">
        <f t="shared" si="1"/>
        <v>1</v>
      </c>
      <c r="I173" s="9">
        <f t="shared" si="2"/>
        <v>-1</v>
      </c>
    </row>
    <row r="174">
      <c r="A174" s="7">
        <v>30.0</v>
      </c>
      <c r="B174" s="1" t="s">
        <v>75</v>
      </c>
      <c r="C174" s="1" t="s">
        <v>222</v>
      </c>
      <c r="D174" s="1" t="s">
        <v>253</v>
      </c>
      <c r="E174" s="1">
        <v>9.0</v>
      </c>
      <c r="F174" s="8">
        <v>6.97842860221862E15</v>
      </c>
      <c r="G174" s="1">
        <v>8.0</v>
      </c>
      <c r="H174" s="9">
        <f t="shared" si="1"/>
        <v>1</v>
      </c>
      <c r="I174" s="9">
        <f t="shared" si="2"/>
        <v>1</v>
      </c>
    </row>
    <row r="175">
      <c r="A175" s="7">
        <v>31.0</v>
      </c>
      <c r="B175" s="1" t="s">
        <v>77</v>
      </c>
      <c r="C175" s="1" t="s">
        <v>222</v>
      </c>
      <c r="D175" s="1" t="s">
        <v>254</v>
      </c>
      <c r="E175" s="1">
        <v>8.0</v>
      </c>
      <c r="F175" s="8">
        <v>6.42941355705261E15</v>
      </c>
      <c r="G175" s="1">
        <v>6.0</v>
      </c>
      <c r="H175" s="9">
        <f t="shared" si="1"/>
        <v>2</v>
      </c>
      <c r="I175" s="9">
        <f t="shared" si="2"/>
        <v>2</v>
      </c>
    </row>
    <row r="176">
      <c r="A176" s="7">
        <v>32.0</v>
      </c>
      <c r="B176" s="1" t="s">
        <v>79</v>
      </c>
      <c r="C176" s="1" t="s">
        <v>222</v>
      </c>
      <c r="D176" s="1" t="s">
        <v>255</v>
      </c>
      <c r="E176" s="1">
        <v>8.0</v>
      </c>
      <c r="F176" s="8">
        <v>6.93726468086242E15</v>
      </c>
      <c r="G176" s="1">
        <v>8.0</v>
      </c>
      <c r="H176" s="9">
        <f t="shared" si="1"/>
        <v>0</v>
      </c>
      <c r="I176" s="9">
        <f t="shared" si="2"/>
        <v>0</v>
      </c>
    </row>
    <row r="177">
      <c r="A177" s="7">
        <v>33.0</v>
      </c>
      <c r="B177" s="1" t="s">
        <v>81</v>
      </c>
      <c r="C177" s="1" t="s">
        <v>222</v>
      </c>
      <c r="D177" s="1" t="s">
        <v>256</v>
      </c>
      <c r="E177" s="1">
        <v>9.0</v>
      </c>
      <c r="F177" s="8">
        <v>7.02820992469787E15</v>
      </c>
      <c r="G177" s="1">
        <v>8.0</v>
      </c>
      <c r="H177" s="9">
        <f t="shared" si="1"/>
        <v>1</v>
      </c>
      <c r="I177" s="9">
        <f t="shared" si="2"/>
        <v>1</v>
      </c>
    </row>
    <row r="178">
      <c r="A178" s="7">
        <v>34.0</v>
      </c>
      <c r="B178" s="1" t="s">
        <v>83</v>
      </c>
      <c r="C178" s="1" t="s">
        <v>222</v>
      </c>
      <c r="D178" s="1" t="s">
        <v>257</v>
      </c>
      <c r="E178" s="1">
        <v>7.0</v>
      </c>
      <c r="F178" s="8">
        <v>6.90559244155883E15</v>
      </c>
      <c r="G178" s="1">
        <v>6.0</v>
      </c>
      <c r="H178" s="9">
        <f t="shared" si="1"/>
        <v>1</v>
      </c>
      <c r="I178" s="9">
        <f t="shared" si="2"/>
        <v>1</v>
      </c>
    </row>
    <row r="179">
      <c r="A179" s="7">
        <v>35.0</v>
      </c>
      <c r="B179" s="1" t="s">
        <v>85</v>
      </c>
      <c r="C179" s="1" t="s">
        <v>222</v>
      </c>
      <c r="D179" s="1" t="s">
        <v>258</v>
      </c>
      <c r="E179" s="1">
        <v>6.0</v>
      </c>
      <c r="F179" s="8">
        <v>6.37696433067321E15</v>
      </c>
      <c r="G179" s="1">
        <v>4.0</v>
      </c>
      <c r="H179" s="9">
        <f t="shared" si="1"/>
        <v>2</v>
      </c>
      <c r="I179" s="9">
        <f t="shared" si="2"/>
        <v>2</v>
      </c>
    </row>
    <row r="180">
      <c r="A180" s="7">
        <v>36.0</v>
      </c>
      <c r="B180" s="1" t="s">
        <v>87</v>
      </c>
      <c r="C180" s="1" t="s">
        <v>222</v>
      </c>
      <c r="D180" s="1" t="s">
        <v>259</v>
      </c>
      <c r="E180" s="1">
        <v>6.0</v>
      </c>
      <c r="F180" s="8">
        <v>6.35935044288635E16</v>
      </c>
      <c r="G180" s="1">
        <v>6.0</v>
      </c>
      <c r="H180" s="9">
        <f t="shared" si="1"/>
        <v>0</v>
      </c>
      <c r="I180" s="9">
        <f t="shared" si="2"/>
        <v>0</v>
      </c>
    </row>
    <row r="181">
      <c r="A181" s="7">
        <v>37.0</v>
      </c>
      <c r="B181" s="1" t="s">
        <v>89</v>
      </c>
      <c r="C181" s="1" t="s">
        <v>222</v>
      </c>
      <c r="D181" s="1" t="s">
        <v>260</v>
      </c>
      <c r="E181" s="1">
        <v>8.0</v>
      </c>
      <c r="F181" s="8">
        <v>6.93762683868408E15</v>
      </c>
      <c r="G181" s="1">
        <v>6.0</v>
      </c>
      <c r="H181" s="9">
        <f t="shared" si="1"/>
        <v>2</v>
      </c>
      <c r="I181" s="9">
        <f t="shared" si="2"/>
        <v>2</v>
      </c>
    </row>
    <row r="182">
      <c r="A182" s="7">
        <v>38.0</v>
      </c>
      <c r="B182" s="1" t="s">
        <v>91</v>
      </c>
      <c r="C182" s="1" t="s">
        <v>222</v>
      </c>
      <c r="D182" s="1" t="s">
        <v>261</v>
      </c>
      <c r="E182" s="1">
        <v>8.0</v>
      </c>
      <c r="F182" s="8">
        <v>6.44647979736328E15</v>
      </c>
      <c r="G182" s="1">
        <v>7.0</v>
      </c>
      <c r="H182" s="9">
        <f t="shared" si="1"/>
        <v>1</v>
      </c>
      <c r="I182" s="9">
        <f t="shared" si="2"/>
        <v>1</v>
      </c>
    </row>
    <row r="183">
      <c r="A183" s="7">
        <v>39.0</v>
      </c>
      <c r="B183" s="1" t="s">
        <v>93</v>
      </c>
      <c r="C183" s="1" t="s">
        <v>222</v>
      </c>
      <c r="D183" s="1" t="s">
        <v>262</v>
      </c>
      <c r="E183" s="1">
        <v>1.0</v>
      </c>
      <c r="F183" s="8">
        <v>6.29161190986633E15</v>
      </c>
      <c r="G183" s="1">
        <v>4.0</v>
      </c>
      <c r="H183" s="9">
        <f t="shared" si="1"/>
        <v>3</v>
      </c>
      <c r="I183" s="9">
        <f t="shared" si="2"/>
        <v>-3</v>
      </c>
    </row>
    <row r="184">
      <c r="A184" s="7">
        <v>40.0</v>
      </c>
      <c r="B184" s="1" t="s">
        <v>95</v>
      </c>
      <c r="C184" s="1" t="s">
        <v>222</v>
      </c>
      <c r="D184" s="1" t="s">
        <v>263</v>
      </c>
      <c r="E184" s="1">
        <v>8.0</v>
      </c>
      <c r="F184" s="8">
        <v>7.4075493812561E15</v>
      </c>
      <c r="G184" s="1">
        <v>8.0</v>
      </c>
      <c r="H184" s="9">
        <f t="shared" si="1"/>
        <v>0</v>
      </c>
      <c r="I184" s="9">
        <f t="shared" si="2"/>
        <v>0</v>
      </c>
    </row>
    <row r="185">
      <c r="A185" s="7">
        <v>41.0</v>
      </c>
      <c r="B185" s="1" t="s">
        <v>97</v>
      </c>
      <c r="C185" s="1" t="s">
        <v>222</v>
      </c>
      <c r="D185" s="1" t="s">
        <v>264</v>
      </c>
      <c r="E185" s="1">
        <v>7.0</v>
      </c>
      <c r="F185" s="8">
        <v>6.99390888214111E15</v>
      </c>
      <c r="G185" s="1">
        <v>6.0</v>
      </c>
      <c r="H185" s="9">
        <f t="shared" si="1"/>
        <v>1</v>
      </c>
      <c r="I185" s="9">
        <f t="shared" si="2"/>
        <v>1</v>
      </c>
    </row>
    <row r="186">
      <c r="A186" s="7">
        <v>42.0</v>
      </c>
      <c r="B186" s="1" t="s">
        <v>99</v>
      </c>
      <c r="C186" s="1" t="s">
        <v>222</v>
      </c>
      <c r="D186" s="1" t="s">
        <v>265</v>
      </c>
      <c r="E186" s="1">
        <v>6.0</v>
      </c>
      <c r="F186" s="8">
        <v>6.58465075492858E15</v>
      </c>
      <c r="G186" s="1">
        <v>7.0</v>
      </c>
      <c r="H186" s="9">
        <f t="shared" si="1"/>
        <v>1</v>
      </c>
      <c r="I186" s="9">
        <f t="shared" si="2"/>
        <v>-1</v>
      </c>
    </row>
    <row r="187">
      <c r="A187" s="7">
        <v>43.0</v>
      </c>
      <c r="B187" s="1" t="s">
        <v>101</v>
      </c>
      <c r="C187" s="1" t="s">
        <v>222</v>
      </c>
      <c r="D187" s="1" t="s">
        <v>266</v>
      </c>
      <c r="E187" s="1">
        <v>9.0</v>
      </c>
      <c r="F187" s="8">
        <v>7.49918150901794E15</v>
      </c>
      <c r="G187" s="1">
        <v>6.0</v>
      </c>
      <c r="H187" s="9">
        <f t="shared" si="1"/>
        <v>3</v>
      </c>
      <c r="I187" s="9">
        <f t="shared" si="2"/>
        <v>3</v>
      </c>
    </row>
    <row r="188">
      <c r="A188" s="7">
        <v>44.0</v>
      </c>
      <c r="B188" s="1" t="s">
        <v>103</v>
      </c>
      <c r="C188" s="1" t="s">
        <v>222</v>
      </c>
      <c r="D188" s="1" t="s">
        <v>267</v>
      </c>
      <c r="E188" s="1">
        <v>3.0</v>
      </c>
      <c r="F188" s="8">
        <v>6.46573376655578E15</v>
      </c>
      <c r="G188" s="1">
        <v>4.0</v>
      </c>
      <c r="H188" s="9">
        <f t="shared" si="1"/>
        <v>1</v>
      </c>
      <c r="I188" s="9">
        <f t="shared" si="2"/>
        <v>-1</v>
      </c>
    </row>
    <row r="189">
      <c r="A189" s="7">
        <v>45.0</v>
      </c>
      <c r="B189" s="1" t="s">
        <v>105</v>
      </c>
      <c r="C189" s="1" t="s">
        <v>222</v>
      </c>
      <c r="D189" s="1" t="s">
        <v>268</v>
      </c>
      <c r="E189" s="1">
        <v>8.0</v>
      </c>
      <c r="F189" s="8">
        <v>7.00963616371154E15</v>
      </c>
      <c r="G189" s="1">
        <v>7.0</v>
      </c>
      <c r="H189" s="9">
        <f t="shared" si="1"/>
        <v>1</v>
      </c>
      <c r="I189" s="9">
        <f t="shared" si="2"/>
        <v>1</v>
      </c>
    </row>
    <row r="190">
      <c r="A190" s="7">
        <v>46.0</v>
      </c>
      <c r="B190" s="1" t="s">
        <v>107</v>
      </c>
      <c r="C190" s="1" t="s">
        <v>222</v>
      </c>
      <c r="D190" s="1" t="s">
        <v>269</v>
      </c>
      <c r="E190" s="1">
        <v>3.0</v>
      </c>
      <c r="F190" s="8">
        <v>6.46391081809997E15</v>
      </c>
      <c r="G190" s="1">
        <v>6.0</v>
      </c>
      <c r="H190" s="9">
        <f t="shared" si="1"/>
        <v>3</v>
      </c>
      <c r="I190" s="9">
        <f t="shared" si="2"/>
        <v>-3</v>
      </c>
    </row>
    <row r="191">
      <c r="A191" s="7">
        <v>47.0</v>
      </c>
      <c r="B191" s="1" t="s">
        <v>109</v>
      </c>
      <c r="C191" s="1" t="s">
        <v>222</v>
      </c>
      <c r="D191" s="1" t="s">
        <v>270</v>
      </c>
      <c r="E191" s="1">
        <v>2.0</v>
      </c>
      <c r="F191" s="8">
        <v>6.41953778266906E15</v>
      </c>
      <c r="G191" s="1">
        <v>4.0</v>
      </c>
      <c r="H191" s="9">
        <f t="shared" si="1"/>
        <v>2</v>
      </c>
      <c r="I191" s="9">
        <f t="shared" si="2"/>
        <v>-2</v>
      </c>
    </row>
    <row r="192">
      <c r="A192" s="7">
        <v>48.0</v>
      </c>
      <c r="B192" s="1" t="s">
        <v>111</v>
      </c>
      <c r="C192" s="1" t="s">
        <v>222</v>
      </c>
      <c r="D192" s="1" t="s">
        <v>271</v>
      </c>
      <c r="E192" s="1">
        <v>2.0</v>
      </c>
      <c r="F192" s="8">
        <v>6.43973469734191E15</v>
      </c>
      <c r="G192" s="1">
        <v>4.0</v>
      </c>
      <c r="H192" s="9">
        <f t="shared" si="1"/>
        <v>2</v>
      </c>
      <c r="I192" s="9">
        <f t="shared" si="2"/>
        <v>-2</v>
      </c>
    </row>
    <row r="193">
      <c r="A193" s="7">
        <v>49.0</v>
      </c>
      <c r="B193" s="1" t="s">
        <v>113</v>
      </c>
      <c r="C193" s="1" t="s">
        <v>222</v>
      </c>
      <c r="D193" s="1" t="s">
        <v>272</v>
      </c>
      <c r="E193" s="1">
        <v>8.0</v>
      </c>
      <c r="F193" s="8">
        <v>6.43480443954467E15</v>
      </c>
      <c r="G193" s="1">
        <v>6.0</v>
      </c>
      <c r="H193" s="9">
        <f t="shared" si="1"/>
        <v>2</v>
      </c>
      <c r="I193" s="9">
        <f t="shared" si="2"/>
        <v>2</v>
      </c>
    </row>
    <row r="194">
      <c r="A194" s="7">
        <v>50.0</v>
      </c>
      <c r="B194" s="1" t="s">
        <v>115</v>
      </c>
      <c r="C194" s="1" t="s">
        <v>222</v>
      </c>
      <c r="D194" s="1" t="s">
        <v>273</v>
      </c>
      <c r="E194" s="1">
        <v>8.0</v>
      </c>
      <c r="F194" s="8">
        <v>6.47793889045715E15</v>
      </c>
      <c r="G194" s="1">
        <v>7.0</v>
      </c>
      <c r="H194" s="9">
        <f t="shared" si="1"/>
        <v>1</v>
      </c>
      <c r="I194" s="9">
        <f t="shared" si="2"/>
        <v>1</v>
      </c>
    </row>
    <row r="195">
      <c r="A195" s="7">
        <v>51.0</v>
      </c>
      <c r="B195" s="1" t="s">
        <v>117</v>
      </c>
      <c r="C195" s="1" t="s">
        <v>222</v>
      </c>
      <c r="D195" s="1" t="s">
        <v>274</v>
      </c>
      <c r="E195" s="1">
        <v>4.0</v>
      </c>
      <c r="F195" s="8">
        <v>6.57022380828857E15</v>
      </c>
      <c r="G195" s="1">
        <v>6.0</v>
      </c>
      <c r="H195" s="9">
        <f t="shared" si="1"/>
        <v>2</v>
      </c>
      <c r="I195" s="9">
        <f t="shared" si="2"/>
        <v>-2</v>
      </c>
    </row>
    <row r="196">
      <c r="A196" s="7">
        <v>52.0</v>
      </c>
      <c r="B196" s="1" t="s">
        <v>119</v>
      </c>
      <c r="C196" s="1" t="s">
        <v>222</v>
      </c>
      <c r="D196" s="1" t="s">
        <v>275</v>
      </c>
      <c r="E196" s="1">
        <v>7.0</v>
      </c>
      <c r="F196" s="8">
        <v>6.53488755226135E16</v>
      </c>
      <c r="G196" s="1">
        <v>7.0</v>
      </c>
      <c r="H196" s="9">
        <f t="shared" si="1"/>
        <v>0</v>
      </c>
      <c r="I196" s="9">
        <f t="shared" si="2"/>
        <v>0</v>
      </c>
    </row>
    <row r="197">
      <c r="A197" s="7">
        <v>53.0</v>
      </c>
      <c r="B197" s="1" t="s">
        <v>121</v>
      </c>
      <c r="C197" s="1" t="s">
        <v>222</v>
      </c>
      <c r="D197" s="1" t="s">
        <v>276</v>
      </c>
      <c r="E197" s="1">
        <v>5.0</v>
      </c>
      <c r="F197" s="8">
        <v>6.9240825176239E15</v>
      </c>
      <c r="G197" s="1">
        <v>4.0</v>
      </c>
      <c r="H197" s="9">
        <f t="shared" si="1"/>
        <v>1</v>
      </c>
      <c r="I197" s="9">
        <f t="shared" si="2"/>
        <v>1</v>
      </c>
    </row>
    <row r="198">
      <c r="A198" s="7">
        <v>54.0</v>
      </c>
      <c r="B198" s="1" t="s">
        <v>123</v>
      </c>
      <c r="C198" s="1" t="s">
        <v>222</v>
      </c>
      <c r="D198" s="1" t="s">
        <v>277</v>
      </c>
      <c r="E198" s="1">
        <v>5.0</v>
      </c>
      <c r="F198" s="8">
        <v>6.54481029510498E16</v>
      </c>
      <c r="G198" s="1">
        <v>6.0</v>
      </c>
      <c r="H198" s="9">
        <f t="shared" si="1"/>
        <v>1</v>
      </c>
      <c r="I198" s="9">
        <f t="shared" si="2"/>
        <v>-1</v>
      </c>
    </row>
    <row r="199">
      <c r="A199" s="7">
        <v>55.0</v>
      </c>
      <c r="B199" s="1" t="s">
        <v>125</v>
      </c>
      <c r="C199" s="1" t="s">
        <v>222</v>
      </c>
      <c r="D199" s="1" t="s">
        <v>278</v>
      </c>
      <c r="E199" s="1">
        <v>9.0</v>
      </c>
      <c r="F199" s="8">
        <v>6.98692727088928E15</v>
      </c>
      <c r="G199" s="1">
        <v>7.0</v>
      </c>
      <c r="H199" s="9">
        <f t="shared" si="1"/>
        <v>2</v>
      </c>
      <c r="I199" s="9">
        <f t="shared" si="2"/>
        <v>2</v>
      </c>
    </row>
    <row r="200">
      <c r="A200" s="7">
        <v>56.0</v>
      </c>
      <c r="B200" s="1" t="s">
        <v>127</v>
      </c>
      <c r="C200" s="1" t="s">
        <v>222</v>
      </c>
      <c r="D200" s="1" t="s">
        <v>279</v>
      </c>
      <c r="E200" s="1">
        <v>4.0</v>
      </c>
      <c r="F200" s="8">
        <v>6.4705696105957E15</v>
      </c>
      <c r="G200" s="1">
        <v>6.0</v>
      </c>
      <c r="H200" s="9">
        <f t="shared" si="1"/>
        <v>2</v>
      </c>
      <c r="I200" s="9">
        <f t="shared" si="2"/>
        <v>-2</v>
      </c>
    </row>
    <row r="201">
      <c r="A201" s="7">
        <v>57.0</v>
      </c>
      <c r="B201" s="1" t="s">
        <v>129</v>
      </c>
      <c r="C201" s="1" t="s">
        <v>222</v>
      </c>
      <c r="D201" s="1" t="s">
        <v>280</v>
      </c>
      <c r="E201" s="1">
        <v>0.0</v>
      </c>
      <c r="F201" s="8">
        <v>5.92352604866027E15</v>
      </c>
      <c r="G201" s="1">
        <v>0.0</v>
      </c>
      <c r="H201" s="9">
        <f t="shared" si="1"/>
        <v>0</v>
      </c>
      <c r="I201" s="9">
        <f t="shared" si="2"/>
        <v>0</v>
      </c>
    </row>
    <row r="202">
      <c r="A202" s="7">
        <v>58.0</v>
      </c>
      <c r="B202" s="1" t="s">
        <v>131</v>
      </c>
      <c r="C202" s="1" t="s">
        <v>222</v>
      </c>
      <c r="D202" s="1" t="s">
        <v>281</v>
      </c>
      <c r="E202" s="1">
        <v>2.0</v>
      </c>
      <c r="F202" s="8">
        <v>6.4913101196289E15</v>
      </c>
      <c r="G202" s="1">
        <v>6.0</v>
      </c>
      <c r="H202" s="9">
        <f t="shared" si="1"/>
        <v>4</v>
      </c>
      <c r="I202" s="9">
        <f t="shared" si="2"/>
        <v>-4</v>
      </c>
    </row>
    <row r="203">
      <c r="A203" s="7">
        <v>59.0</v>
      </c>
      <c r="B203" s="1" t="s">
        <v>133</v>
      </c>
      <c r="C203" s="1" t="s">
        <v>222</v>
      </c>
      <c r="D203" s="1" t="s">
        <v>282</v>
      </c>
      <c r="E203" s="1">
        <v>3.0</v>
      </c>
      <c r="F203" s="8">
        <v>6.38099098205566E15</v>
      </c>
      <c r="G203" s="1">
        <v>6.0</v>
      </c>
      <c r="H203" s="9">
        <f t="shared" si="1"/>
        <v>3</v>
      </c>
      <c r="I203" s="9">
        <f t="shared" si="2"/>
        <v>-3</v>
      </c>
    </row>
    <row r="204">
      <c r="A204" s="7">
        <v>60.0</v>
      </c>
      <c r="B204" s="1" t="s">
        <v>135</v>
      </c>
      <c r="C204" s="1" t="s">
        <v>222</v>
      </c>
      <c r="D204" s="1" t="s">
        <v>283</v>
      </c>
      <c r="E204" s="1">
        <v>1.0</v>
      </c>
      <c r="F204" s="8">
        <v>6.45022058486938E15</v>
      </c>
      <c r="G204" s="1">
        <v>4.0</v>
      </c>
      <c r="H204" s="9">
        <f t="shared" si="1"/>
        <v>3</v>
      </c>
      <c r="I204" s="9">
        <f t="shared" si="2"/>
        <v>-3</v>
      </c>
    </row>
    <row r="205">
      <c r="A205" s="7">
        <v>61.0</v>
      </c>
      <c r="B205" s="1" t="s">
        <v>137</v>
      </c>
      <c r="C205" s="1" t="s">
        <v>222</v>
      </c>
      <c r="D205" s="1" t="s">
        <v>284</v>
      </c>
      <c r="E205" s="1">
        <v>9.0</v>
      </c>
      <c r="F205" s="8">
        <v>7.50009775161743E15</v>
      </c>
      <c r="G205" s="1">
        <v>8.0</v>
      </c>
      <c r="H205" s="9">
        <f t="shared" si="1"/>
        <v>1</v>
      </c>
      <c r="I205" s="9">
        <f t="shared" si="2"/>
        <v>1</v>
      </c>
    </row>
    <row r="206">
      <c r="A206" s="7">
        <v>62.0</v>
      </c>
      <c r="B206" s="1" t="s">
        <v>139</v>
      </c>
      <c r="C206" s="1" t="s">
        <v>222</v>
      </c>
      <c r="D206" s="1" t="s">
        <v>285</v>
      </c>
      <c r="E206" s="1">
        <v>3.0</v>
      </c>
      <c r="F206" s="8">
        <v>6.96856713294982E15</v>
      </c>
      <c r="G206" s="1">
        <v>6.0</v>
      </c>
      <c r="H206" s="9">
        <f t="shared" si="1"/>
        <v>3</v>
      </c>
      <c r="I206" s="9">
        <f t="shared" si="2"/>
        <v>-3</v>
      </c>
    </row>
    <row r="207">
      <c r="A207" s="7">
        <v>63.0</v>
      </c>
      <c r="B207" s="1" t="s">
        <v>141</v>
      </c>
      <c r="C207" s="1" t="s">
        <v>222</v>
      </c>
      <c r="D207" s="1" t="s">
        <v>286</v>
      </c>
      <c r="E207" s="1">
        <v>2.0</v>
      </c>
      <c r="F207" s="8">
        <v>6.38256645202636E15</v>
      </c>
      <c r="G207" s="1">
        <v>6.0</v>
      </c>
      <c r="H207" s="9">
        <f t="shared" si="1"/>
        <v>4</v>
      </c>
      <c r="I207" s="9">
        <f t="shared" si="2"/>
        <v>-4</v>
      </c>
    </row>
    <row r="208">
      <c r="A208" s="7">
        <v>64.0</v>
      </c>
      <c r="B208" s="1" t="s">
        <v>143</v>
      </c>
      <c r="C208" s="1" t="s">
        <v>222</v>
      </c>
      <c r="D208" s="1" t="s">
        <v>287</v>
      </c>
      <c r="E208" s="1">
        <v>0.0</v>
      </c>
      <c r="F208" s="8">
        <v>5.96242547035217E15</v>
      </c>
      <c r="G208" s="1">
        <v>2.0</v>
      </c>
      <c r="H208" s="9">
        <f t="shared" si="1"/>
        <v>2</v>
      </c>
      <c r="I208" s="9">
        <f t="shared" si="2"/>
        <v>-2</v>
      </c>
    </row>
    <row r="209">
      <c r="A209" s="7">
        <v>65.0</v>
      </c>
      <c r="B209" s="1" t="s">
        <v>145</v>
      </c>
      <c r="C209" s="1" t="s">
        <v>222</v>
      </c>
      <c r="D209" s="1" t="s">
        <v>288</v>
      </c>
      <c r="E209" s="1">
        <v>0.0</v>
      </c>
      <c r="F209" s="8">
        <v>5.93145203590393E15</v>
      </c>
      <c r="G209" s="1">
        <v>0.0</v>
      </c>
      <c r="H209" s="9">
        <f t="shared" si="1"/>
        <v>0</v>
      </c>
      <c r="I209" s="9">
        <f t="shared" si="2"/>
        <v>0</v>
      </c>
    </row>
    <row r="210">
      <c r="A210" s="7">
        <v>66.0</v>
      </c>
      <c r="B210" s="1" t="s">
        <v>147</v>
      </c>
      <c r="C210" s="1" t="s">
        <v>222</v>
      </c>
      <c r="D210" s="1" t="s">
        <v>289</v>
      </c>
      <c r="E210" s="1">
        <v>4.0</v>
      </c>
      <c r="F210" s="8">
        <v>6.36955738067626E16</v>
      </c>
      <c r="G210" s="1">
        <v>6.0</v>
      </c>
      <c r="H210" s="9">
        <f t="shared" si="1"/>
        <v>2</v>
      </c>
      <c r="I210" s="9">
        <f t="shared" si="2"/>
        <v>-2</v>
      </c>
    </row>
    <row r="211">
      <c r="A211" s="7">
        <v>67.0</v>
      </c>
      <c r="B211" s="1" t="s">
        <v>149</v>
      </c>
      <c r="C211" s="1" t="s">
        <v>222</v>
      </c>
      <c r="D211" s="1" t="s">
        <v>290</v>
      </c>
      <c r="E211" s="1">
        <v>6.0</v>
      </c>
      <c r="F211" s="8">
        <v>6.4052939414978E15</v>
      </c>
      <c r="G211" s="1">
        <v>6.0</v>
      </c>
      <c r="H211" s="9">
        <f t="shared" si="1"/>
        <v>0</v>
      </c>
      <c r="I211" s="9">
        <f t="shared" si="2"/>
        <v>0</v>
      </c>
    </row>
    <row r="212">
      <c r="A212" s="7">
        <v>68.0</v>
      </c>
      <c r="B212" s="1" t="s">
        <v>151</v>
      </c>
      <c r="C212" s="1" t="s">
        <v>222</v>
      </c>
      <c r="D212" s="1" t="s">
        <v>291</v>
      </c>
      <c r="E212" s="1">
        <v>8.0</v>
      </c>
      <c r="F212" s="8">
        <v>7.03909015655517E15</v>
      </c>
      <c r="G212" s="1">
        <v>8.0</v>
      </c>
      <c r="H212" s="9">
        <f t="shared" si="1"/>
        <v>0</v>
      </c>
      <c r="I212" s="9">
        <f t="shared" si="2"/>
        <v>0</v>
      </c>
    </row>
    <row r="213">
      <c r="A213" s="7">
        <v>69.0</v>
      </c>
      <c r="B213" s="1" t="s">
        <v>153</v>
      </c>
      <c r="C213" s="1" t="s">
        <v>222</v>
      </c>
      <c r="D213" s="1" t="s">
        <v>292</v>
      </c>
      <c r="E213" s="1">
        <v>5.0</v>
      </c>
      <c r="F213" s="8">
        <v>6.44995355606079E15</v>
      </c>
      <c r="G213" s="1">
        <v>6.0</v>
      </c>
      <c r="H213" s="9">
        <f t="shared" si="1"/>
        <v>1</v>
      </c>
      <c r="I213" s="9">
        <f t="shared" si="2"/>
        <v>-1</v>
      </c>
    </row>
    <row r="214">
      <c r="A214" s="7">
        <v>70.0</v>
      </c>
      <c r="B214" s="1" t="s">
        <v>155</v>
      </c>
      <c r="C214" s="1" t="s">
        <v>222</v>
      </c>
      <c r="D214" s="1" t="s">
        <v>293</v>
      </c>
      <c r="E214" s="1">
        <v>0.0</v>
      </c>
      <c r="F214" s="8">
        <v>5.92459344863891E15</v>
      </c>
      <c r="G214" s="1">
        <v>0.0</v>
      </c>
      <c r="H214" s="9">
        <f t="shared" si="1"/>
        <v>0</v>
      </c>
      <c r="I214" s="9">
        <f t="shared" si="2"/>
        <v>0</v>
      </c>
    </row>
    <row r="215">
      <c r="A215" s="18">
        <v>0.0</v>
      </c>
      <c r="B215" s="1" t="s">
        <v>14</v>
      </c>
      <c r="C215" s="1" t="s">
        <v>222</v>
      </c>
      <c r="D215" s="1" t="s">
        <v>294</v>
      </c>
      <c r="E215" s="1">
        <v>4.0</v>
      </c>
      <c r="F215" s="8">
        <v>6.5331847667694E15</v>
      </c>
      <c r="G215" s="1">
        <v>6.0</v>
      </c>
      <c r="H215" s="9">
        <f t="shared" si="1"/>
        <v>2</v>
      </c>
      <c r="I215" s="9">
        <f t="shared" si="2"/>
        <v>-2</v>
      </c>
    </row>
    <row r="216">
      <c r="A216" s="18">
        <v>1.0</v>
      </c>
      <c r="B216" s="1" t="s">
        <v>17</v>
      </c>
      <c r="C216" s="1" t="s">
        <v>222</v>
      </c>
      <c r="D216" s="1" t="s">
        <v>295</v>
      </c>
      <c r="E216" s="1">
        <v>2.0</v>
      </c>
      <c r="F216" s="8">
        <v>6.46527433395385E15</v>
      </c>
      <c r="G216" s="1">
        <v>4.0</v>
      </c>
      <c r="H216" s="9">
        <f t="shared" si="1"/>
        <v>2</v>
      </c>
      <c r="I216" s="9">
        <f t="shared" si="2"/>
        <v>-2</v>
      </c>
    </row>
    <row r="217">
      <c r="A217" s="18">
        <v>2.0</v>
      </c>
      <c r="B217" s="1" t="s">
        <v>19</v>
      </c>
      <c r="C217" s="1" t="s">
        <v>222</v>
      </c>
      <c r="D217" s="1" t="s">
        <v>296</v>
      </c>
      <c r="E217" s="1">
        <v>5.0</v>
      </c>
      <c r="F217" s="8">
        <v>6.45291090011596E15</v>
      </c>
      <c r="G217" s="1">
        <v>6.0</v>
      </c>
      <c r="H217" s="9">
        <f t="shared" si="1"/>
        <v>1</v>
      </c>
      <c r="I217" s="9">
        <f t="shared" si="2"/>
        <v>-1</v>
      </c>
    </row>
    <row r="218">
      <c r="A218" s="18">
        <v>3.0</v>
      </c>
      <c r="B218" s="1" t="s">
        <v>21</v>
      </c>
      <c r="C218" s="1" t="s">
        <v>222</v>
      </c>
      <c r="D218" s="1" t="s">
        <v>297</v>
      </c>
      <c r="E218" s="1">
        <v>4.0</v>
      </c>
      <c r="F218" s="8">
        <v>6.89371466636657E15</v>
      </c>
      <c r="G218" s="1">
        <v>6.0</v>
      </c>
      <c r="H218" s="9">
        <f t="shared" si="1"/>
        <v>2</v>
      </c>
      <c r="I218" s="9">
        <f t="shared" si="2"/>
        <v>-2</v>
      </c>
    </row>
    <row r="219">
      <c r="A219" s="18">
        <v>4.0</v>
      </c>
      <c r="B219" s="1" t="s">
        <v>23</v>
      </c>
      <c r="C219" s="1" t="s">
        <v>222</v>
      </c>
      <c r="D219" s="1" t="s">
        <v>298</v>
      </c>
      <c r="E219" s="1">
        <v>6.0</v>
      </c>
      <c r="F219" s="8">
        <v>6.49266791343689E14</v>
      </c>
      <c r="G219" s="1">
        <v>4.0</v>
      </c>
      <c r="H219" s="9">
        <f t="shared" si="1"/>
        <v>2</v>
      </c>
      <c r="I219" s="9">
        <f t="shared" si="2"/>
        <v>2</v>
      </c>
    </row>
    <row r="220">
      <c r="A220" s="18">
        <v>5.0</v>
      </c>
      <c r="B220" s="1" t="s">
        <v>25</v>
      </c>
      <c r="C220" s="1" t="s">
        <v>222</v>
      </c>
      <c r="D220" s="1" t="s">
        <v>299</v>
      </c>
      <c r="E220" s="1">
        <v>6.0</v>
      </c>
      <c r="F220" s="8">
        <v>6.90036487579345E15</v>
      </c>
      <c r="G220" s="1">
        <v>6.0</v>
      </c>
      <c r="H220" s="9">
        <f t="shared" si="1"/>
        <v>0</v>
      </c>
      <c r="I220" s="9">
        <f t="shared" si="2"/>
        <v>0</v>
      </c>
    </row>
    <row r="221">
      <c r="A221" s="18">
        <v>6.0</v>
      </c>
      <c r="B221" s="1" t="s">
        <v>27</v>
      </c>
      <c r="C221" s="1" t="s">
        <v>222</v>
      </c>
      <c r="D221" s="1" t="s">
        <v>300</v>
      </c>
      <c r="E221" s="1">
        <v>7.0</v>
      </c>
      <c r="F221" s="8">
        <v>6.90235495567321E15</v>
      </c>
      <c r="G221" s="1">
        <v>8.0</v>
      </c>
      <c r="H221" s="9">
        <f t="shared" si="1"/>
        <v>1</v>
      </c>
      <c r="I221" s="9">
        <f t="shared" si="2"/>
        <v>-1</v>
      </c>
    </row>
    <row r="222">
      <c r="A222" s="18">
        <v>7.0</v>
      </c>
      <c r="B222" s="1" t="s">
        <v>29</v>
      </c>
      <c r="C222" s="1" t="s">
        <v>222</v>
      </c>
      <c r="D222" s="1" t="s">
        <v>301</v>
      </c>
      <c r="E222" s="1">
        <v>5.0</v>
      </c>
      <c r="F222" s="8">
        <v>6.36101126670837E15</v>
      </c>
      <c r="G222" s="1">
        <v>6.0</v>
      </c>
      <c r="H222" s="9">
        <f t="shared" si="1"/>
        <v>1</v>
      </c>
      <c r="I222" s="9">
        <f t="shared" si="2"/>
        <v>-1</v>
      </c>
    </row>
    <row r="223">
      <c r="A223" s="18">
        <v>8.0</v>
      </c>
      <c r="B223" s="1" t="s">
        <v>31</v>
      </c>
      <c r="C223" s="1" t="s">
        <v>222</v>
      </c>
      <c r="D223" s="1" t="s">
        <v>302</v>
      </c>
      <c r="E223" s="1">
        <v>7.0</v>
      </c>
      <c r="F223" s="8">
        <v>6.46254801750183E15</v>
      </c>
      <c r="G223" s="1">
        <v>6.0</v>
      </c>
      <c r="H223" s="9">
        <f t="shared" si="1"/>
        <v>1</v>
      </c>
      <c r="I223" s="9">
        <f t="shared" si="2"/>
        <v>1</v>
      </c>
    </row>
    <row r="224">
      <c r="A224" s="18">
        <v>9.0</v>
      </c>
      <c r="B224" s="1" t="s">
        <v>33</v>
      </c>
      <c r="C224" s="1" t="s">
        <v>222</v>
      </c>
      <c r="D224" s="1" t="s">
        <v>303</v>
      </c>
      <c r="E224" s="1">
        <v>6.0</v>
      </c>
      <c r="F224" s="8">
        <v>6.59016728401184E15</v>
      </c>
      <c r="G224" s="1">
        <v>6.0</v>
      </c>
      <c r="H224" s="9">
        <f t="shared" si="1"/>
        <v>0</v>
      </c>
      <c r="I224" s="9">
        <f t="shared" si="2"/>
        <v>0</v>
      </c>
    </row>
    <row r="225">
      <c r="A225" s="18">
        <v>10.0</v>
      </c>
      <c r="B225" s="1" t="s">
        <v>35</v>
      </c>
      <c r="C225" s="1" t="s">
        <v>222</v>
      </c>
      <c r="D225" s="1" t="s">
        <v>304</v>
      </c>
      <c r="E225" s="1">
        <v>6.0</v>
      </c>
      <c r="F225" s="8">
        <v>6.90596652030944E15</v>
      </c>
      <c r="G225" s="1">
        <v>7.0</v>
      </c>
      <c r="H225" s="9">
        <f t="shared" si="1"/>
        <v>1</v>
      </c>
      <c r="I225" s="9">
        <f t="shared" si="2"/>
        <v>-1</v>
      </c>
    </row>
    <row r="226">
      <c r="A226" s="18">
        <v>11.0</v>
      </c>
      <c r="B226" s="1" t="s">
        <v>37</v>
      </c>
      <c r="C226" s="1" t="s">
        <v>222</v>
      </c>
      <c r="D226" s="1" t="s">
        <v>305</v>
      </c>
      <c r="E226" s="1">
        <v>6.0</v>
      </c>
      <c r="F226" s="8">
        <v>6.5768711566925E15</v>
      </c>
      <c r="G226" s="1">
        <v>7.0</v>
      </c>
      <c r="H226" s="9">
        <f t="shared" si="1"/>
        <v>1</v>
      </c>
      <c r="I226" s="9">
        <f t="shared" si="2"/>
        <v>-1</v>
      </c>
    </row>
    <row r="227">
      <c r="A227" s="18">
        <v>12.0</v>
      </c>
      <c r="B227" s="1" t="s">
        <v>39</v>
      </c>
      <c r="C227" s="1" t="s">
        <v>222</v>
      </c>
      <c r="D227" s="1" t="s">
        <v>306</v>
      </c>
      <c r="E227" s="1">
        <v>8.0</v>
      </c>
      <c r="F227" s="8">
        <v>7.02421045303344E15</v>
      </c>
      <c r="G227" s="1">
        <v>8.0</v>
      </c>
      <c r="H227" s="9">
        <f t="shared" si="1"/>
        <v>0</v>
      </c>
      <c r="I227" s="9">
        <f t="shared" si="2"/>
        <v>0</v>
      </c>
    </row>
    <row r="228">
      <c r="A228" s="18">
        <v>13.0</v>
      </c>
      <c r="B228" s="1" t="s">
        <v>41</v>
      </c>
      <c r="C228" s="1" t="s">
        <v>222</v>
      </c>
      <c r="D228" s="1" t="s">
        <v>307</v>
      </c>
      <c r="E228" s="1">
        <v>5.0</v>
      </c>
      <c r="F228" s="8">
        <v>6.38819599151611E15</v>
      </c>
      <c r="G228" s="1">
        <v>6.0</v>
      </c>
      <c r="H228" s="9">
        <f t="shared" si="1"/>
        <v>1</v>
      </c>
      <c r="I228" s="9">
        <f t="shared" si="2"/>
        <v>-1</v>
      </c>
    </row>
    <row r="229">
      <c r="A229" s="18">
        <v>14.0</v>
      </c>
      <c r="B229" s="1" t="s">
        <v>43</v>
      </c>
      <c r="C229" s="1" t="s">
        <v>222</v>
      </c>
      <c r="D229" s="1" t="s">
        <v>308</v>
      </c>
      <c r="E229" s="1">
        <v>7.0</v>
      </c>
      <c r="F229" s="8">
        <v>6.37538743019104E14</v>
      </c>
      <c r="G229" s="1">
        <v>6.0</v>
      </c>
      <c r="H229" s="9">
        <f t="shared" si="1"/>
        <v>1</v>
      </c>
      <c r="I229" s="9">
        <f t="shared" si="2"/>
        <v>1</v>
      </c>
    </row>
    <row r="230">
      <c r="A230" s="18">
        <v>15.0</v>
      </c>
      <c r="B230" s="1" t="s">
        <v>45</v>
      </c>
      <c r="C230" s="1" t="s">
        <v>222</v>
      </c>
      <c r="D230" s="1" t="s">
        <v>309</v>
      </c>
      <c r="E230" s="1">
        <v>2.0</v>
      </c>
      <c r="F230" s="8">
        <v>7.00402808189392E15</v>
      </c>
      <c r="G230" s="1">
        <v>4.0</v>
      </c>
      <c r="H230" s="9">
        <f t="shared" si="1"/>
        <v>2</v>
      </c>
      <c r="I230" s="9">
        <f t="shared" si="2"/>
        <v>-2</v>
      </c>
    </row>
    <row r="231">
      <c r="A231" s="18">
        <v>16.0</v>
      </c>
      <c r="B231" s="1" t="s">
        <v>47</v>
      </c>
      <c r="C231" s="1" t="s">
        <v>222</v>
      </c>
      <c r="D231" s="1" t="s">
        <v>310</v>
      </c>
      <c r="E231" s="1">
        <v>7.0</v>
      </c>
      <c r="F231" s="8">
        <v>6.91367673873901E15</v>
      </c>
      <c r="G231" s="1">
        <v>7.0</v>
      </c>
      <c r="H231" s="9">
        <f t="shared" si="1"/>
        <v>0</v>
      </c>
      <c r="I231" s="9">
        <f t="shared" si="2"/>
        <v>0</v>
      </c>
    </row>
    <row r="232">
      <c r="A232" s="18">
        <v>17.0</v>
      </c>
      <c r="B232" s="1" t="s">
        <v>49</v>
      </c>
      <c r="C232" s="1" t="s">
        <v>222</v>
      </c>
      <c r="D232" s="1" t="s">
        <v>311</v>
      </c>
      <c r="E232" s="1">
        <v>9.0</v>
      </c>
      <c r="F232" s="8">
        <v>6.84224462509155E15</v>
      </c>
      <c r="G232" s="1">
        <v>8.0</v>
      </c>
      <c r="H232" s="9">
        <f t="shared" si="1"/>
        <v>1</v>
      </c>
      <c r="I232" s="9">
        <f t="shared" si="2"/>
        <v>1</v>
      </c>
    </row>
    <row r="233">
      <c r="A233" s="18">
        <v>18.0</v>
      </c>
      <c r="B233" s="1" t="s">
        <v>51</v>
      </c>
      <c r="C233" s="1" t="s">
        <v>222</v>
      </c>
      <c r="D233" s="1" t="s">
        <v>312</v>
      </c>
      <c r="E233" s="1">
        <v>7.0</v>
      </c>
      <c r="F233" s="8">
        <v>6.8947958946228E15</v>
      </c>
      <c r="G233" s="1">
        <v>7.0</v>
      </c>
      <c r="H233" s="9">
        <f t="shared" si="1"/>
        <v>0</v>
      </c>
      <c r="I233" s="9">
        <f t="shared" si="2"/>
        <v>0</v>
      </c>
    </row>
    <row r="234">
      <c r="A234" s="18">
        <v>19.0</v>
      </c>
      <c r="B234" s="1" t="s">
        <v>53</v>
      </c>
      <c r="C234" s="1" t="s">
        <v>222</v>
      </c>
      <c r="D234" s="1" t="s">
        <v>313</v>
      </c>
      <c r="E234" s="1">
        <v>0.0</v>
      </c>
      <c r="F234" s="8">
        <v>6.36825728416442E15</v>
      </c>
      <c r="G234" s="1">
        <v>4.0</v>
      </c>
      <c r="H234" s="9">
        <f t="shared" si="1"/>
        <v>4</v>
      </c>
      <c r="I234" s="9">
        <f t="shared" si="2"/>
        <v>-4</v>
      </c>
    </row>
    <row r="235">
      <c r="A235" s="18">
        <v>20.0</v>
      </c>
      <c r="B235" s="1" t="s">
        <v>55</v>
      </c>
      <c r="C235" s="1" t="s">
        <v>222</v>
      </c>
      <c r="D235" s="1" t="s">
        <v>314</v>
      </c>
      <c r="E235" s="1">
        <v>8.0</v>
      </c>
      <c r="F235" s="8">
        <v>7.4306149482727E15</v>
      </c>
      <c r="G235" s="1">
        <v>7.0</v>
      </c>
      <c r="H235" s="9">
        <f t="shared" si="1"/>
        <v>1</v>
      </c>
      <c r="I235" s="9">
        <f t="shared" si="2"/>
        <v>1</v>
      </c>
    </row>
    <row r="236">
      <c r="A236" s="18">
        <v>21.0</v>
      </c>
      <c r="B236" s="1" t="s">
        <v>57</v>
      </c>
      <c r="C236" s="1" t="s">
        <v>222</v>
      </c>
      <c r="D236" s="1" t="s">
        <v>315</v>
      </c>
      <c r="E236" s="1">
        <v>4.0</v>
      </c>
      <c r="F236" s="8">
        <v>6.40914940834045E15</v>
      </c>
      <c r="G236" s="1">
        <v>6.0</v>
      </c>
      <c r="H236" s="9">
        <f t="shared" si="1"/>
        <v>2</v>
      </c>
      <c r="I236" s="9">
        <f t="shared" si="2"/>
        <v>-2</v>
      </c>
    </row>
    <row r="237">
      <c r="A237" s="18">
        <v>22.0</v>
      </c>
      <c r="B237" s="1" t="s">
        <v>59</v>
      </c>
      <c r="C237" s="1" t="s">
        <v>222</v>
      </c>
      <c r="D237" s="1" t="s">
        <v>316</v>
      </c>
      <c r="E237" s="1">
        <v>7.0</v>
      </c>
      <c r="F237" s="8">
        <v>6.93921852111816E15</v>
      </c>
      <c r="G237" s="1">
        <v>7.0</v>
      </c>
      <c r="H237" s="9">
        <f t="shared" si="1"/>
        <v>0</v>
      </c>
      <c r="I237" s="9">
        <f t="shared" si="2"/>
        <v>0</v>
      </c>
    </row>
    <row r="238">
      <c r="A238" s="18">
        <v>23.0</v>
      </c>
      <c r="B238" s="1" t="s">
        <v>61</v>
      </c>
      <c r="C238" s="1" t="s">
        <v>222</v>
      </c>
      <c r="D238" s="1" t="s">
        <v>317</v>
      </c>
      <c r="E238" s="1">
        <v>1.0</v>
      </c>
      <c r="F238" s="8">
        <v>5.93230199813842E15</v>
      </c>
      <c r="G238" s="1">
        <v>2.0</v>
      </c>
      <c r="H238" s="9">
        <f t="shared" si="1"/>
        <v>1</v>
      </c>
      <c r="I238" s="9">
        <f t="shared" si="2"/>
        <v>-1</v>
      </c>
    </row>
    <row r="239">
      <c r="A239" s="18">
        <v>24.0</v>
      </c>
      <c r="B239" s="1" t="s">
        <v>63</v>
      </c>
      <c r="C239" s="1" t="s">
        <v>222</v>
      </c>
      <c r="D239" s="1" t="s">
        <v>318</v>
      </c>
      <c r="E239" s="1">
        <v>0.0</v>
      </c>
      <c r="F239" s="8">
        <v>5.94854259490966E15</v>
      </c>
      <c r="G239" s="1">
        <v>0.0</v>
      </c>
      <c r="H239" s="9">
        <f t="shared" si="1"/>
        <v>0</v>
      </c>
      <c r="I239" s="9">
        <f t="shared" si="2"/>
        <v>0</v>
      </c>
    </row>
    <row r="240">
      <c r="A240" s="18">
        <v>25.0</v>
      </c>
      <c r="B240" s="1" t="s">
        <v>65</v>
      </c>
      <c r="C240" s="1" t="s">
        <v>222</v>
      </c>
      <c r="D240" s="1" t="s">
        <v>319</v>
      </c>
      <c r="E240" s="1">
        <v>7.0</v>
      </c>
      <c r="F240" s="8">
        <v>6.43248653411865E15</v>
      </c>
      <c r="G240" s="1">
        <v>6.0</v>
      </c>
      <c r="H240" s="9">
        <f t="shared" si="1"/>
        <v>1</v>
      </c>
      <c r="I240" s="9">
        <f t="shared" si="2"/>
        <v>1</v>
      </c>
    </row>
    <row r="241">
      <c r="A241" s="18">
        <v>26.0</v>
      </c>
      <c r="B241" s="1" t="s">
        <v>67</v>
      </c>
      <c r="C241" s="1" t="s">
        <v>222</v>
      </c>
      <c r="D241" s="1" t="s">
        <v>320</v>
      </c>
      <c r="E241" s="1">
        <v>7.0</v>
      </c>
      <c r="F241" s="8">
        <v>6.40766739845275E15</v>
      </c>
      <c r="G241" s="1">
        <v>6.0</v>
      </c>
      <c r="H241" s="9">
        <f t="shared" si="1"/>
        <v>1</v>
      </c>
      <c r="I241" s="9">
        <f t="shared" si="2"/>
        <v>1</v>
      </c>
    </row>
    <row r="242">
      <c r="A242" s="18">
        <v>27.0</v>
      </c>
      <c r="B242" s="1" t="s">
        <v>69</v>
      </c>
      <c r="C242" s="1" t="s">
        <v>222</v>
      </c>
      <c r="D242" s="1" t="s">
        <v>321</v>
      </c>
      <c r="E242" s="1">
        <v>4.0</v>
      </c>
      <c r="F242" s="8">
        <v>6.40194511413574E15</v>
      </c>
      <c r="G242" s="1">
        <v>6.0</v>
      </c>
      <c r="H242" s="9">
        <f t="shared" si="1"/>
        <v>2</v>
      </c>
      <c r="I242" s="9">
        <f t="shared" si="2"/>
        <v>-2</v>
      </c>
    </row>
    <row r="243">
      <c r="A243" s="18">
        <v>28.0</v>
      </c>
      <c r="B243" s="1" t="s">
        <v>71</v>
      </c>
      <c r="C243" s="1" t="s">
        <v>222</v>
      </c>
      <c r="D243" s="1" t="s">
        <v>322</v>
      </c>
      <c r="E243" s="1">
        <v>4.0</v>
      </c>
      <c r="F243" s="8">
        <v>6.35122299194335E15</v>
      </c>
      <c r="G243" s="1">
        <v>6.0</v>
      </c>
      <c r="H243" s="9">
        <f t="shared" si="1"/>
        <v>2</v>
      </c>
      <c r="I243" s="9">
        <f t="shared" si="2"/>
        <v>-2</v>
      </c>
    </row>
    <row r="244">
      <c r="A244" s="18">
        <v>29.0</v>
      </c>
      <c r="B244" s="1" t="s">
        <v>73</v>
      </c>
      <c r="C244" s="1" t="s">
        <v>222</v>
      </c>
      <c r="D244" s="1" t="s">
        <v>323</v>
      </c>
      <c r="E244" s="1">
        <v>3.0</v>
      </c>
      <c r="F244" s="8">
        <v>6.36781620979309E15</v>
      </c>
      <c r="G244" s="1">
        <v>4.0</v>
      </c>
      <c r="H244" s="9">
        <f t="shared" si="1"/>
        <v>1</v>
      </c>
      <c r="I244" s="9">
        <f t="shared" si="2"/>
        <v>-1</v>
      </c>
    </row>
    <row r="245">
      <c r="A245" s="18">
        <v>30.0</v>
      </c>
      <c r="B245" s="1" t="s">
        <v>75</v>
      </c>
      <c r="C245" s="1" t="s">
        <v>222</v>
      </c>
      <c r="D245" s="1" t="s">
        <v>324</v>
      </c>
      <c r="E245" s="1">
        <v>9.0</v>
      </c>
      <c r="F245" s="8">
        <v>7.03904032707214E15</v>
      </c>
      <c r="G245" s="1">
        <v>7.0</v>
      </c>
      <c r="H245" s="9">
        <f t="shared" si="1"/>
        <v>2</v>
      </c>
      <c r="I245" s="9">
        <f t="shared" si="2"/>
        <v>2</v>
      </c>
    </row>
    <row r="246">
      <c r="A246" s="18">
        <v>31.0</v>
      </c>
      <c r="B246" s="1" t="s">
        <v>77</v>
      </c>
      <c r="C246" s="1" t="s">
        <v>222</v>
      </c>
      <c r="D246" s="1" t="s">
        <v>325</v>
      </c>
      <c r="E246" s="1">
        <v>8.0</v>
      </c>
      <c r="F246" s="8">
        <v>6.41906952857971E15</v>
      </c>
      <c r="G246" s="1">
        <v>6.0</v>
      </c>
      <c r="H246" s="9">
        <f t="shared" si="1"/>
        <v>2</v>
      </c>
      <c r="I246" s="9">
        <f t="shared" si="2"/>
        <v>2</v>
      </c>
    </row>
    <row r="247">
      <c r="A247" s="18">
        <v>32.0</v>
      </c>
      <c r="B247" s="1" t="s">
        <v>79</v>
      </c>
      <c r="C247" s="1" t="s">
        <v>222</v>
      </c>
      <c r="D247" s="1" t="s">
        <v>326</v>
      </c>
      <c r="E247" s="1">
        <v>8.0</v>
      </c>
      <c r="F247" s="8">
        <v>6.93338227272033E15</v>
      </c>
      <c r="G247" s="1">
        <v>7.0</v>
      </c>
      <c r="H247" s="9">
        <f t="shared" si="1"/>
        <v>1</v>
      </c>
      <c r="I247" s="9">
        <f t="shared" si="2"/>
        <v>1</v>
      </c>
    </row>
    <row r="248">
      <c r="A248" s="18">
        <v>33.0</v>
      </c>
      <c r="B248" s="1" t="s">
        <v>81</v>
      </c>
      <c r="C248" s="1" t="s">
        <v>222</v>
      </c>
      <c r="D248" s="1" t="s">
        <v>327</v>
      </c>
      <c r="E248" s="1">
        <v>9.0</v>
      </c>
      <c r="F248" s="8">
        <v>6.95895195007324E15</v>
      </c>
      <c r="G248" s="1">
        <v>8.0</v>
      </c>
      <c r="H248" s="9">
        <f t="shared" si="1"/>
        <v>1</v>
      </c>
      <c r="I248" s="9">
        <f t="shared" si="2"/>
        <v>1</v>
      </c>
    </row>
    <row r="249">
      <c r="A249" s="18">
        <v>34.0</v>
      </c>
      <c r="B249" s="1" t="s">
        <v>83</v>
      </c>
      <c r="C249" s="1" t="s">
        <v>222</v>
      </c>
      <c r="D249" s="1" t="s">
        <v>328</v>
      </c>
      <c r="E249" s="1">
        <v>7.0</v>
      </c>
      <c r="F249" s="8">
        <v>6.9505181312561E15</v>
      </c>
      <c r="G249" s="1">
        <v>6.0</v>
      </c>
      <c r="H249" s="9">
        <f t="shared" si="1"/>
        <v>1</v>
      </c>
      <c r="I249" s="9">
        <f t="shared" si="2"/>
        <v>1</v>
      </c>
    </row>
    <row r="250">
      <c r="A250" s="18">
        <v>35.0</v>
      </c>
      <c r="B250" s="1" t="s">
        <v>85</v>
      </c>
      <c r="C250" s="1" t="s">
        <v>222</v>
      </c>
      <c r="D250" s="1" t="s">
        <v>329</v>
      </c>
      <c r="E250" s="1">
        <v>6.0</v>
      </c>
      <c r="F250" s="8">
        <v>6.35345292091369E15</v>
      </c>
      <c r="G250" s="1">
        <v>4.0</v>
      </c>
      <c r="H250" s="9">
        <f t="shared" si="1"/>
        <v>2</v>
      </c>
      <c r="I250" s="9">
        <f t="shared" si="2"/>
        <v>2</v>
      </c>
    </row>
    <row r="251">
      <c r="A251" s="18">
        <v>36.0</v>
      </c>
      <c r="B251" s="1" t="s">
        <v>87</v>
      </c>
      <c r="C251" s="1" t="s">
        <v>222</v>
      </c>
      <c r="D251" s="1" t="s">
        <v>330</v>
      </c>
      <c r="E251" s="1">
        <v>6.0</v>
      </c>
      <c r="F251" s="8">
        <v>6.40422677993774E15</v>
      </c>
      <c r="G251" s="1">
        <v>7.0</v>
      </c>
      <c r="H251" s="9">
        <f t="shared" si="1"/>
        <v>1</v>
      </c>
      <c r="I251" s="9">
        <f t="shared" si="2"/>
        <v>-1</v>
      </c>
    </row>
    <row r="252">
      <c r="A252" s="18">
        <v>37.0</v>
      </c>
      <c r="B252" s="1" t="s">
        <v>89</v>
      </c>
      <c r="C252" s="1" t="s">
        <v>222</v>
      </c>
      <c r="D252" s="1" t="s">
        <v>331</v>
      </c>
      <c r="E252" s="1">
        <v>8.0</v>
      </c>
      <c r="F252" s="8">
        <v>6.92841792106628E15</v>
      </c>
      <c r="G252" s="1">
        <v>7.0</v>
      </c>
      <c r="H252" s="9">
        <f t="shared" si="1"/>
        <v>1</v>
      </c>
      <c r="I252" s="9">
        <f t="shared" si="2"/>
        <v>1</v>
      </c>
    </row>
    <row r="253">
      <c r="A253" s="18">
        <v>38.0</v>
      </c>
      <c r="B253" s="1" t="s">
        <v>91</v>
      </c>
      <c r="C253" s="1" t="s">
        <v>222</v>
      </c>
      <c r="D253" s="1" t="s">
        <v>332</v>
      </c>
      <c r="E253" s="1">
        <v>8.0</v>
      </c>
      <c r="F253" s="8">
        <v>6.51831412315368E15</v>
      </c>
      <c r="G253" s="1">
        <v>8.0</v>
      </c>
      <c r="H253" s="9">
        <f t="shared" si="1"/>
        <v>0</v>
      </c>
      <c r="I253" s="9">
        <f t="shared" si="2"/>
        <v>0</v>
      </c>
    </row>
    <row r="254">
      <c r="A254" s="18">
        <v>39.0</v>
      </c>
      <c r="B254" s="1" t="s">
        <v>93</v>
      </c>
      <c r="C254" s="1" t="s">
        <v>222</v>
      </c>
      <c r="D254" s="1" t="s">
        <v>333</v>
      </c>
      <c r="E254" s="1">
        <v>1.0</v>
      </c>
      <c r="F254" s="8">
        <v>6.48696041107177E15</v>
      </c>
      <c r="G254" s="1">
        <v>2.0</v>
      </c>
      <c r="H254" s="9">
        <f t="shared" si="1"/>
        <v>1</v>
      </c>
      <c r="I254" s="9">
        <f t="shared" si="2"/>
        <v>-1</v>
      </c>
    </row>
    <row r="255">
      <c r="A255" s="18">
        <v>40.0</v>
      </c>
      <c r="B255" s="1" t="s">
        <v>95</v>
      </c>
      <c r="C255" s="1" t="s">
        <v>222</v>
      </c>
      <c r="D255" s="1" t="s">
        <v>334</v>
      </c>
      <c r="E255" s="1">
        <v>8.0</v>
      </c>
      <c r="F255" s="8">
        <v>7.39552807807922E15</v>
      </c>
      <c r="G255" s="1">
        <v>8.0</v>
      </c>
      <c r="H255" s="9">
        <f t="shared" si="1"/>
        <v>0</v>
      </c>
      <c r="I255" s="9">
        <f t="shared" si="2"/>
        <v>0</v>
      </c>
    </row>
    <row r="256">
      <c r="A256" s="18">
        <v>41.0</v>
      </c>
      <c r="B256" s="1" t="s">
        <v>97</v>
      </c>
      <c r="C256" s="1" t="s">
        <v>222</v>
      </c>
      <c r="D256" s="1" t="s">
        <v>335</v>
      </c>
      <c r="E256" s="1">
        <v>7.0</v>
      </c>
      <c r="F256" s="8">
        <v>6.85368156433105E15</v>
      </c>
      <c r="G256" s="1">
        <v>7.0</v>
      </c>
      <c r="H256" s="9">
        <f t="shared" si="1"/>
        <v>0</v>
      </c>
      <c r="I256" s="9">
        <f t="shared" si="2"/>
        <v>0</v>
      </c>
    </row>
    <row r="257">
      <c r="A257" s="18">
        <v>42.0</v>
      </c>
      <c r="B257" s="1" t="s">
        <v>99</v>
      </c>
      <c r="C257" s="1" t="s">
        <v>222</v>
      </c>
      <c r="D257" s="1" t="s">
        <v>336</v>
      </c>
      <c r="E257" s="1">
        <v>6.0</v>
      </c>
      <c r="F257" s="8">
        <v>6.47362732887268E15</v>
      </c>
      <c r="G257" s="1">
        <v>6.0</v>
      </c>
      <c r="H257" s="9">
        <f t="shared" si="1"/>
        <v>0</v>
      </c>
      <c r="I257" s="9">
        <f t="shared" si="2"/>
        <v>0</v>
      </c>
    </row>
    <row r="258">
      <c r="A258" s="18">
        <v>43.0</v>
      </c>
      <c r="B258" s="1" t="s">
        <v>101</v>
      </c>
      <c r="C258" s="1" t="s">
        <v>222</v>
      </c>
      <c r="D258" s="1" t="s">
        <v>337</v>
      </c>
      <c r="E258" s="1">
        <v>9.0</v>
      </c>
      <c r="F258" s="8">
        <v>7.458749294281E15</v>
      </c>
      <c r="G258" s="1">
        <v>6.0</v>
      </c>
      <c r="H258" s="9">
        <f t="shared" si="1"/>
        <v>3</v>
      </c>
      <c r="I258" s="9">
        <f t="shared" si="2"/>
        <v>3</v>
      </c>
    </row>
    <row r="259">
      <c r="A259" s="18">
        <v>44.0</v>
      </c>
      <c r="B259" s="1" t="s">
        <v>103</v>
      </c>
      <c r="C259" s="1" t="s">
        <v>222</v>
      </c>
      <c r="D259" s="1" t="s">
        <v>338</v>
      </c>
      <c r="E259" s="1">
        <v>3.0</v>
      </c>
      <c r="F259" s="8">
        <v>6.43751716613769E15</v>
      </c>
      <c r="G259" s="1">
        <v>4.0</v>
      </c>
      <c r="H259" s="9">
        <f t="shared" si="1"/>
        <v>1</v>
      </c>
      <c r="I259" s="9">
        <f t="shared" si="2"/>
        <v>-1</v>
      </c>
    </row>
    <row r="260">
      <c r="A260" s="18">
        <v>45.0</v>
      </c>
      <c r="B260" s="1" t="s">
        <v>105</v>
      </c>
      <c r="C260" s="1" t="s">
        <v>222</v>
      </c>
      <c r="D260" s="1" t="s">
        <v>339</v>
      </c>
      <c r="E260" s="1">
        <v>8.0</v>
      </c>
      <c r="F260" s="8">
        <v>6.95893144607544E14</v>
      </c>
      <c r="G260" s="1">
        <v>7.0</v>
      </c>
      <c r="H260" s="9">
        <f t="shared" si="1"/>
        <v>1</v>
      </c>
      <c r="I260" s="9">
        <f t="shared" si="2"/>
        <v>1</v>
      </c>
    </row>
    <row r="261">
      <c r="A261" s="18">
        <v>46.0</v>
      </c>
      <c r="B261" s="1" t="s">
        <v>107</v>
      </c>
      <c r="C261" s="1" t="s">
        <v>222</v>
      </c>
      <c r="D261" s="1" t="s">
        <v>340</v>
      </c>
      <c r="E261" s="1">
        <v>3.0</v>
      </c>
      <c r="F261" s="8">
        <v>6.48116445541381E15</v>
      </c>
      <c r="G261" s="1">
        <v>6.0</v>
      </c>
      <c r="H261" s="9">
        <f t="shared" si="1"/>
        <v>3</v>
      </c>
      <c r="I261" s="9">
        <f t="shared" si="2"/>
        <v>-3</v>
      </c>
    </row>
    <row r="262">
      <c r="A262" s="18">
        <v>47.0</v>
      </c>
      <c r="B262" s="1" t="s">
        <v>109</v>
      </c>
      <c r="C262" s="1" t="s">
        <v>222</v>
      </c>
      <c r="D262" s="1" t="s">
        <v>341</v>
      </c>
      <c r="E262" s="1">
        <v>2.0</v>
      </c>
      <c r="F262" s="8">
        <v>6.46112966537475E15</v>
      </c>
      <c r="G262" s="1">
        <v>4.0</v>
      </c>
      <c r="H262" s="9">
        <f t="shared" si="1"/>
        <v>2</v>
      </c>
      <c r="I262" s="9">
        <f t="shared" si="2"/>
        <v>-2</v>
      </c>
    </row>
    <row r="263">
      <c r="A263" s="18">
        <v>48.0</v>
      </c>
      <c r="B263" s="1" t="s">
        <v>111</v>
      </c>
      <c r="C263" s="1" t="s">
        <v>222</v>
      </c>
      <c r="D263" s="1" t="s">
        <v>342</v>
      </c>
      <c r="E263" s="1">
        <v>2.0</v>
      </c>
      <c r="F263" s="8">
        <v>6.39497876167297E15</v>
      </c>
      <c r="G263" s="1">
        <v>4.0</v>
      </c>
      <c r="H263" s="9">
        <f t="shared" si="1"/>
        <v>2</v>
      </c>
      <c r="I263" s="9">
        <f t="shared" si="2"/>
        <v>-2</v>
      </c>
    </row>
    <row r="264">
      <c r="A264" s="18">
        <v>49.0</v>
      </c>
      <c r="B264" s="1" t="s">
        <v>113</v>
      </c>
      <c r="C264" s="1" t="s">
        <v>222</v>
      </c>
      <c r="D264" s="1" t="s">
        <v>343</v>
      </c>
      <c r="E264" s="1">
        <v>8.0</v>
      </c>
      <c r="F264" s="8">
        <v>6.43927025794982E15</v>
      </c>
      <c r="G264" s="1">
        <v>7.0</v>
      </c>
      <c r="H264" s="9">
        <f t="shared" si="1"/>
        <v>1</v>
      </c>
      <c r="I264" s="9">
        <f t="shared" si="2"/>
        <v>1</v>
      </c>
    </row>
    <row r="265">
      <c r="A265" s="18">
        <v>50.0</v>
      </c>
      <c r="B265" s="1" t="s">
        <v>115</v>
      </c>
      <c r="C265" s="1" t="s">
        <v>222</v>
      </c>
      <c r="D265" s="1" t="s">
        <v>344</v>
      </c>
      <c r="E265" s="1">
        <v>8.0</v>
      </c>
      <c r="F265" s="8">
        <v>6.43333101272583E14</v>
      </c>
      <c r="G265" s="1">
        <v>7.0</v>
      </c>
      <c r="H265" s="9">
        <f t="shared" si="1"/>
        <v>1</v>
      </c>
      <c r="I265" s="9">
        <f t="shared" si="2"/>
        <v>1</v>
      </c>
    </row>
    <row r="266">
      <c r="A266" s="18">
        <v>51.0</v>
      </c>
      <c r="B266" s="1" t="s">
        <v>117</v>
      </c>
      <c r="C266" s="1" t="s">
        <v>222</v>
      </c>
      <c r="D266" s="1" t="s">
        <v>345</v>
      </c>
      <c r="E266" s="1">
        <v>4.0</v>
      </c>
      <c r="F266" s="8">
        <v>6.39710640907287E15</v>
      </c>
      <c r="G266" s="1">
        <v>6.0</v>
      </c>
      <c r="H266" s="9">
        <f t="shared" si="1"/>
        <v>2</v>
      </c>
      <c r="I266" s="9">
        <f t="shared" si="2"/>
        <v>-2</v>
      </c>
    </row>
    <row r="267">
      <c r="A267" s="18">
        <v>52.0</v>
      </c>
      <c r="B267" s="1" t="s">
        <v>119</v>
      </c>
      <c r="C267" s="1" t="s">
        <v>222</v>
      </c>
      <c r="D267" s="1" t="s">
        <v>346</v>
      </c>
      <c r="E267" s="1">
        <v>7.0</v>
      </c>
      <c r="F267" s="8">
        <v>6.46922993659973E16</v>
      </c>
      <c r="G267" s="1">
        <v>7.0</v>
      </c>
      <c r="H267" s="9">
        <f t="shared" si="1"/>
        <v>0</v>
      </c>
      <c r="I267" s="9">
        <f t="shared" si="2"/>
        <v>0</v>
      </c>
    </row>
    <row r="268">
      <c r="A268" s="18">
        <v>53.0</v>
      </c>
      <c r="B268" s="1" t="s">
        <v>121</v>
      </c>
      <c r="C268" s="1" t="s">
        <v>222</v>
      </c>
      <c r="D268" s="1" t="s">
        <v>347</v>
      </c>
      <c r="E268" s="1">
        <v>5.0</v>
      </c>
      <c r="F268" s="8">
        <v>6.91288971900939E15</v>
      </c>
      <c r="G268" s="1">
        <v>4.0</v>
      </c>
      <c r="H268" s="9">
        <f t="shared" si="1"/>
        <v>1</v>
      </c>
      <c r="I268" s="9">
        <f t="shared" si="2"/>
        <v>1</v>
      </c>
    </row>
    <row r="269">
      <c r="A269" s="18">
        <v>54.0</v>
      </c>
      <c r="B269" s="1" t="s">
        <v>123</v>
      </c>
      <c r="C269" s="1" t="s">
        <v>222</v>
      </c>
      <c r="D269" s="1" t="s">
        <v>348</v>
      </c>
      <c r="E269" s="1">
        <v>5.0</v>
      </c>
      <c r="F269" s="8">
        <v>6.45361042022705E15</v>
      </c>
      <c r="G269" s="1">
        <v>6.0</v>
      </c>
      <c r="H269" s="9">
        <f t="shared" si="1"/>
        <v>1</v>
      </c>
      <c r="I269" s="9">
        <f t="shared" si="2"/>
        <v>-1</v>
      </c>
    </row>
    <row r="270">
      <c r="A270" s="18">
        <v>55.0</v>
      </c>
      <c r="B270" s="1" t="s">
        <v>125</v>
      </c>
      <c r="C270" s="1" t="s">
        <v>222</v>
      </c>
      <c r="D270" s="1" t="s">
        <v>349</v>
      </c>
      <c r="E270" s="1">
        <v>9.0</v>
      </c>
      <c r="F270" s="8">
        <v>7.01548171043396E14</v>
      </c>
      <c r="G270" s="1">
        <v>8.0</v>
      </c>
      <c r="H270" s="9">
        <f t="shared" si="1"/>
        <v>1</v>
      </c>
      <c r="I270" s="9">
        <f t="shared" si="2"/>
        <v>1</v>
      </c>
    </row>
    <row r="271">
      <c r="A271" s="18">
        <v>56.0</v>
      </c>
      <c r="B271" s="1" t="s">
        <v>127</v>
      </c>
      <c r="C271" s="1" t="s">
        <v>222</v>
      </c>
      <c r="D271" s="1" t="s">
        <v>350</v>
      </c>
      <c r="E271" s="1">
        <v>4.0</v>
      </c>
      <c r="F271" s="8">
        <v>6.45015907287597E15</v>
      </c>
      <c r="G271" s="1">
        <v>6.0</v>
      </c>
      <c r="H271" s="9">
        <f t="shared" si="1"/>
        <v>2</v>
      </c>
      <c r="I271" s="9">
        <f t="shared" si="2"/>
        <v>-2</v>
      </c>
    </row>
    <row r="272">
      <c r="A272" s="18">
        <v>57.0</v>
      </c>
      <c r="B272" s="1" t="s">
        <v>129</v>
      </c>
      <c r="C272" s="1" t="s">
        <v>222</v>
      </c>
      <c r="D272" s="1" t="s">
        <v>351</v>
      </c>
      <c r="E272" s="1">
        <v>0.0</v>
      </c>
      <c r="F272" s="8">
        <v>5.97235298156738E15</v>
      </c>
      <c r="G272" s="1">
        <v>0.0</v>
      </c>
      <c r="H272" s="9">
        <f t="shared" si="1"/>
        <v>0</v>
      </c>
      <c r="I272" s="9">
        <f t="shared" si="2"/>
        <v>0</v>
      </c>
    </row>
    <row r="273">
      <c r="A273" s="18">
        <v>58.0</v>
      </c>
      <c r="B273" s="1" t="s">
        <v>131</v>
      </c>
      <c r="C273" s="1" t="s">
        <v>222</v>
      </c>
      <c r="D273" s="1" t="s">
        <v>352</v>
      </c>
      <c r="E273" s="1">
        <v>2.0</v>
      </c>
      <c r="F273" s="8">
        <v>6.48336720466613E15</v>
      </c>
      <c r="G273" s="1">
        <v>6.0</v>
      </c>
      <c r="H273" s="9">
        <f t="shared" si="1"/>
        <v>4</v>
      </c>
      <c r="I273" s="9">
        <f t="shared" si="2"/>
        <v>-4</v>
      </c>
    </row>
    <row r="274">
      <c r="A274" s="18">
        <v>59.0</v>
      </c>
      <c r="B274" s="1" t="s">
        <v>133</v>
      </c>
      <c r="C274" s="1" t="s">
        <v>222</v>
      </c>
      <c r="D274" s="1" t="s">
        <v>353</v>
      </c>
      <c r="E274" s="1">
        <v>3.0</v>
      </c>
      <c r="F274" s="8">
        <v>6.35850691795349E15</v>
      </c>
      <c r="G274" s="1">
        <v>4.0</v>
      </c>
      <c r="H274" s="9">
        <f t="shared" si="1"/>
        <v>1</v>
      </c>
      <c r="I274" s="9">
        <f t="shared" si="2"/>
        <v>-1</v>
      </c>
    </row>
    <row r="275">
      <c r="A275" s="18">
        <v>60.0</v>
      </c>
      <c r="B275" s="1" t="s">
        <v>135</v>
      </c>
      <c r="C275" s="1" t="s">
        <v>222</v>
      </c>
      <c r="D275" s="1" t="s">
        <v>354</v>
      </c>
      <c r="E275" s="1">
        <v>1.0</v>
      </c>
      <c r="F275" s="8">
        <v>6.44216775894165E14</v>
      </c>
      <c r="G275" s="1">
        <v>4.0</v>
      </c>
      <c r="H275" s="9">
        <f t="shared" si="1"/>
        <v>3</v>
      </c>
      <c r="I275" s="9">
        <f t="shared" si="2"/>
        <v>-3</v>
      </c>
    </row>
    <row r="276">
      <c r="A276" s="18">
        <v>61.0</v>
      </c>
      <c r="B276" s="1" t="s">
        <v>137</v>
      </c>
      <c r="C276" s="1" t="s">
        <v>222</v>
      </c>
      <c r="D276" s="1" t="s">
        <v>355</v>
      </c>
      <c r="E276" s="1">
        <v>9.0</v>
      </c>
      <c r="F276" s="8">
        <v>7.46131253242492E15</v>
      </c>
      <c r="G276" s="1">
        <v>8.0</v>
      </c>
      <c r="H276" s="9">
        <f t="shared" si="1"/>
        <v>1</v>
      </c>
      <c r="I276" s="9">
        <f t="shared" si="2"/>
        <v>1</v>
      </c>
    </row>
    <row r="277">
      <c r="A277" s="18">
        <v>62.0</v>
      </c>
      <c r="B277" s="1" t="s">
        <v>139</v>
      </c>
      <c r="C277" s="1" t="s">
        <v>222</v>
      </c>
      <c r="D277" s="1" t="s">
        <v>356</v>
      </c>
      <c r="E277" s="1">
        <v>3.0</v>
      </c>
      <c r="F277" s="8">
        <v>6.89566445350647E14</v>
      </c>
      <c r="G277" s="1">
        <v>6.0</v>
      </c>
      <c r="H277" s="9">
        <f t="shared" si="1"/>
        <v>3</v>
      </c>
      <c r="I277" s="9">
        <f t="shared" si="2"/>
        <v>-3</v>
      </c>
    </row>
    <row r="278">
      <c r="A278" s="18">
        <v>63.0</v>
      </c>
      <c r="B278" s="1" t="s">
        <v>141</v>
      </c>
      <c r="C278" s="1" t="s">
        <v>222</v>
      </c>
      <c r="D278" s="1" t="s">
        <v>357</v>
      </c>
      <c r="E278" s="1">
        <v>2.0</v>
      </c>
      <c r="F278" s="8">
        <v>6.43208980560302E15</v>
      </c>
      <c r="G278" s="1">
        <v>4.0</v>
      </c>
      <c r="H278" s="9">
        <f t="shared" si="1"/>
        <v>2</v>
      </c>
      <c r="I278" s="9">
        <f t="shared" si="2"/>
        <v>-2</v>
      </c>
    </row>
    <row r="279">
      <c r="A279" s="18">
        <v>64.0</v>
      </c>
      <c r="B279" s="1" t="s">
        <v>143</v>
      </c>
      <c r="C279" s="1" t="s">
        <v>222</v>
      </c>
      <c r="D279" s="1" t="s">
        <v>358</v>
      </c>
      <c r="E279" s="1">
        <v>0.0</v>
      </c>
      <c r="F279" s="8">
        <v>5.93441915512085E14</v>
      </c>
      <c r="G279" s="1">
        <v>0.0</v>
      </c>
      <c r="H279" s="9">
        <f t="shared" si="1"/>
        <v>0</v>
      </c>
      <c r="I279" s="9">
        <f t="shared" si="2"/>
        <v>0</v>
      </c>
    </row>
    <row r="280">
      <c r="A280" s="18">
        <v>65.0</v>
      </c>
      <c r="B280" s="1" t="s">
        <v>145</v>
      </c>
      <c r="C280" s="1" t="s">
        <v>222</v>
      </c>
      <c r="D280" s="1" t="s">
        <v>359</v>
      </c>
      <c r="E280" s="1">
        <v>0.0</v>
      </c>
      <c r="F280" s="8">
        <v>5.90109181404113E15</v>
      </c>
      <c r="G280" s="1">
        <v>0.0</v>
      </c>
      <c r="H280" s="9">
        <f t="shared" si="1"/>
        <v>0</v>
      </c>
      <c r="I280" s="9">
        <f t="shared" si="2"/>
        <v>0</v>
      </c>
    </row>
    <row r="281">
      <c r="A281" s="18">
        <v>66.0</v>
      </c>
      <c r="B281" s="1" t="s">
        <v>147</v>
      </c>
      <c r="C281" s="1" t="s">
        <v>222</v>
      </c>
      <c r="D281" s="1" t="s">
        <v>360</v>
      </c>
      <c r="E281" s="1">
        <v>4.0</v>
      </c>
      <c r="F281" s="8">
        <v>6.46992993354797E15</v>
      </c>
      <c r="G281" s="1">
        <v>6.0</v>
      </c>
      <c r="H281" s="9">
        <f t="shared" si="1"/>
        <v>2</v>
      </c>
      <c r="I281" s="9">
        <f t="shared" si="2"/>
        <v>-2</v>
      </c>
    </row>
    <row r="282">
      <c r="A282" s="18">
        <v>67.0</v>
      </c>
      <c r="B282" s="1" t="s">
        <v>149</v>
      </c>
      <c r="C282" s="1" t="s">
        <v>222</v>
      </c>
      <c r="D282" s="1" t="s">
        <v>361</v>
      </c>
      <c r="E282" s="1">
        <v>6.0</v>
      </c>
      <c r="F282" s="8">
        <v>6.41762518882751E15</v>
      </c>
      <c r="G282" s="1">
        <v>4.0</v>
      </c>
      <c r="H282" s="9">
        <f t="shared" si="1"/>
        <v>2</v>
      </c>
      <c r="I282" s="9">
        <f t="shared" si="2"/>
        <v>2</v>
      </c>
    </row>
    <row r="283">
      <c r="A283" s="18">
        <v>68.0</v>
      </c>
      <c r="B283" s="1" t="s">
        <v>151</v>
      </c>
      <c r="C283" s="1" t="s">
        <v>222</v>
      </c>
      <c r="D283" s="1" t="s">
        <v>362</v>
      </c>
      <c r="E283" s="1">
        <v>8.0</v>
      </c>
      <c r="F283" s="8">
        <v>7.05758142471313E15</v>
      </c>
      <c r="G283" s="1">
        <v>8.0</v>
      </c>
      <c r="H283" s="9">
        <f t="shared" si="1"/>
        <v>0</v>
      </c>
      <c r="I283" s="9">
        <f t="shared" si="2"/>
        <v>0</v>
      </c>
    </row>
    <row r="284">
      <c r="A284" s="18">
        <v>69.0</v>
      </c>
      <c r="B284" s="1" t="s">
        <v>153</v>
      </c>
      <c r="C284" s="1" t="s">
        <v>222</v>
      </c>
      <c r="D284" s="1" t="s">
        <v>363</v>
      </c>
      <c r="E284" s="1">
        <v>5.0</v>
      </c>
      <c r="F284" s="8">
        <v>6.57031869888305E15</v>
      </c>
      <c r="G284" s="1">
        <v>6.0</v>
      </c>
      <c r="H284" s="9">
        <f t="shared" si="1"/>
        <v>1</v>
      </c>
      <c r="I284" s="9">
        <f t="shared" si="2"/>
        <v>-1</v>
      </c>
    </row>
    <row r="285">
      <c r="A285" s="18">
        <v>70.0</v>
      </c>
      <c r="B285" s="1" t="s">
        <v>155</v>
      </c>
      <c r="C285" s="1" t="s">
        <v>222</v>
      </c>
      <c r="D285" s="1" t="s">
        <v>364</v>
      </c>
      <c r="E285" s="1">
        <v>0.0</v>
      </c>
      <c r="F285" s="8">
        <v>5.95544052124023E15</v>
      </c>
      <c r="G285" s="1">
        <v>0.0</v>
      </c>
      <c r="H285" s="9">
        <f t="shared" si="1"/>
        <v>0</v>
      </c>
      <c r="I285" s="9">
        <f t="shared" si="2"/>
        <v>0</v>
      </c>
    </row>
  </sheetData>
  <drawing r:id="rId1"/>
</worksheet>
</file>