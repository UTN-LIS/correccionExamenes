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imento-categorias-gemmaV1" sheetId="1" r:id="rId5"/>
  </sheets>
  <definedNames>
    <definedName hidden="1" localSheetId="0" name="_xlnm._FilterDatabase">'Experimento-categorias-gemmaV1'!$A$1:$F$299</definedName>
  </definedNames>
  <calcPr/>
</workbook>
</file>

<file path=xl/sharedStrings.xml><?xml version="1.0" encoding="utf-8"?>
<sst xmlns="http://schemas.openxmlformats.org/spreadsheetml/2006/main" count="906" uniqueCount="318">
  <si>
    <t>step</t>
  </si>
  <si>
    <t>pregunta</t>
  </si>
  <si>
    <t>respuesta</t>
  </si>
  <si>
    <t>salida</t>
  </si>
  <si>
    <t>esperado</t>
  </si>
  <si>
    <t>tiempo</t>
  </si>
  <si>
    <t>Agente GEMMA</t>
  </si>
  <si>
    <t>Explica el ciclo TDD  y su importancia en el desarrollo de software.</t>
  </si>
  <si>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</si>
  <si>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&lt;ACEPTABLE&gt;</t>
  </si>
  <si>
    <t>errores por arriba</t>
  </si>
  <si>
    <t>aciertos</t>
  </si>
  <si>
    <t>total</t>
  </si>
  <si>
    <t>errores por abajo</t>
  </si>
  <si>
    <t>Compara TDD con un enfoque tradicional de testing en el desarrollo de software.</t>
  </si>
  <si>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</si>
  <si>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Describe las buenas prácticas en TDD y su impacto en la calidad del software.</t>
  </si>
  <si>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</si>
  <si>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Explica la importancia de validar entradas en el contexto de TDD y cómo se relaciona con la robustez del software.</t>
  </si>
  <si>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</si>
  <si>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</si>
  <si>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</si>
  <si>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</si>
  <si>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</si>
  <si>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porcentaje de aciertos</t>
  </si>
  <si>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</si>
  <si>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</si>
  <si>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</si>
  <si>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&lt;INSUFICIENTE&gt;</t>
  </si>
  <si>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</si>
  <si>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&lt;EXCELENTE&gt;</t>
  </si>
  <si>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</si>
  <si>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</si>
  <si>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Es muy importante el validar entradas ya que comienzas con una estructura muy robusta y correcta, sino a mitad del proceso se pueden volver los test fragil.</t>
  </si>
  <si>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</si>
  <si>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En el enfoque tradicional de testing en el desarrollo de software es algo que se centra más en el código que pasar los test, los test se consideran algo secundario. 
En el desarrollo del TDD se centra más en el partado de los test que el desarrollo del código en si.</t>
  </si>
  <si>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</si>
  <si>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</si>
  <si>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</si>
  <si>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</si>
  <si>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</si>
  <si>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Es importante validar entradas en el contexto de TDD puesto que garantiza que el código no devuelva valores erróneos o sin sentido, permitiendo que el código sea eficiente y robusto.</t>
  </si>
  <si>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</si>
  <si>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</si>
  <si>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</si>
  <si>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La validación de entradas en los ciclos TDD es importante ya que te encargas de que las entradas existen y evitas que haya algún tipo de inconsistencia de datos.</t>
  </si>
  <si>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</si>
  <si>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El mecanismo TDD se ejecutan pruebas y luego se escribe el código, mientras que el enfoque tradicional se realiza el código y luego se ejecutan los test</t>
  </si>
  <si>
    <t>poner nombres simples e intuitivos, seguir el enfoque de las tres AAA y no probar varias funcionalidades en un mismo test, hacer varias que prueben y testeen una por una</t>
  </si>
  <si>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</si>
  <si>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</si>
  <si>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Las principales ventajas de TDD respecto a un enfoque tradicional de testing en desarrollo software, son que el codigo se reduce, mayor seguridad al refactorizar, codigo mas limpio y mas modulado, menos errores y tambien disminuye el tiempo de debugging.</t>
  </si>
  <si>
    <t>Desarrollar buenas en TDD es muy importante ya mejora la calidad del software notablemente, en el desarrollo de los tests prima la calidad a la cantidad, tambien es muy importante desarrollar codigo bien estructurado, ya que esto los errores,</t>
  </si>
  <si>
    <t>Validar la entradas de contexto es importante ya que evita conflictos en el codigo y esto hace que el codigo sea mas robusto.</t>
  </si>
  <si>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</si>
  <si>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</si>
  <si>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</si>
  <si>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Porque no puedes escribir codigo a lo loco, al final necesitas ajustarte a unos parametros para que el test pueda pasar por esas lineas que va a comprobar, y que este pueda entenderlo</t>
  </si>
  <si>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</si>
  <si>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</si>
  <si>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</si>
  <si>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</si>
  <si>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</si>
  <si>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</si>
  <si>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</si>
  <si>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</si>
  <si>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</si>
  <si>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</si>
  <si>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</si>
  <si>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Son clave ya que permiten usar un test para distintos casos y asi evitar codigo duplicado. Gracias a esto se tiene una mejor estructuracion del codigo y por tanto sea mas eficaz.</t>
  </si>
  <si>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</si>
  <si>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</si>
  <si>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</si>
  <si>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</si>
  <si>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</si>
  <si>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</si>
  <si>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</si>
  <si>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</si>
  <si>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</si>
  <si>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</si>
  <si>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</si>
  <si>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</si>
  <si>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</si>
  <si>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</si>
  <si>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</si>
  <si>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</si>
  <si>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</si>
  <si>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</si>
  <si>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</si>
  <si>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</si>
  <si>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</si>
  <si>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</si>
  <si>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</si>
  <si>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</si>
  <si>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</si>
  <si>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</si>
  <si>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</si>
  <si>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</si>
  <si>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</si>
  <si>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</si>
  <si>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</si>
  <si>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La validación de entradas es clave para tener un código consistente y que no de marguen a errores imprevisto o respuestas no esperadas, de esta manera impedimos que el sistema reciba algo para lo cual no está entrenado dando un mal servicio.</t>
  </si>
  <si>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</si>
  <si>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</si>
  <si>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</si>
  <si>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</si>
  <si>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</si>
  <si>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Diferencias:
-TDD empieza haciendo los test y después el código y el tradicional empieza por el código y después hace los test.
-TDD tiene un código preventivo y el tradicional proactivo.
-TDD utiliza menos código.</t>
  </si>
  <si>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</si>
  <si>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La validación de entradas sirve para comprobar duplicaciones o errores, manteniendo la robustez del software.
Por ejemplo si hay un error de entrada o una duplicación eso dará error, perjudicando la robustez del software.</t>
  </si>
  <si>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</si>
  <si>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 TDD primero reliza los test y luego el código, mientras que el tradicional, lo realiza al reves, primero el código y luego los tests.
* TDD contiene menor código</t>
  </si>
  <si>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</si>
  <si>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</si>
  <si>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</si>
  <si>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Tradicional: Las Clases test son creadas despues de produccion, test reactivos, tests basados en el código de producción.
TDD: Las clases test son creadas antes que código de procuccion, tests proactivos, código de producción guiado por tests.</t>
  </si>
  <si>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</si>
  <si>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</si>
  <si>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</si>
  <si>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</si>
  <si>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El TDD tiene un gran impacto en la calidad el software, puesto que cuanto más se cubra con los test, menos posibilidad de error habrá. En cuanto a sus buenas prácticas,</t>
  </si>
  <si>
    <t>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</si>
  <si>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</si>
  <si>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El TDD es proactivo y preventivo, es decir, el código se basa en el test, al contrario que el enfoque tradicional donde tenemos reactivdad y el test basándose en el código.</t>
  </si>
  <si>
    <t>Estructura dividida en tres pasos: preparacción, desarrollo y comparación.
Nomenclatura:  ()_parte afectado_resultado esperado</t>
  </si>
  <si>
    <t>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</si>
  <si>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</si>
  <si>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Las buenas prácticas más importantes son:
* El desarrollo primero de los tests.
* La independencia de los módulos entre sí.
* El determinismo de los tests (siempre se sepa que salida se espera).</t>
  </si>
  <si>
    <t>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</si>
  <si>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</si>
  <si>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TDD:
* Primero se realiza el test y luego la clase o función
* Test obligatorios
* Se basa en tres fases
* Test unitarios
Enfoque tracicional:
* Se realiza primero la clase y luego se ejecuta el test
* Test opcionales
*  Una sola fase
* Test unitarios o de componentes</t>
  </si>
  <si>
    <t>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</si>
  <si>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Validar entradas es un aspecto muy importante del TDD ya que la robsutez del software depende mayoritariamente de estas</t>
  </si>
  <si>
    <t>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</si>
  <si>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Tradiconal
TDD
Primero codigo, luego test
Primero test, luego codigo
Activo
proactivo
Se basa en la referencia
Se basa en la especificacion
Puede ser opcional
Es obligatorio</t>
  </si>
  <si>
    <t>* Seguir el ciclo: rojo, verde, refactor
* Definir primero el text y luego el código
* Tener una estructura organizada</t>
  </si>
  <si>
    <t>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</si>
  <si>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</si>
  <si>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El TDD enfoca a diseñar el codigo en torno a los tests en vez de hacer el codigo y luego testearlo. Permite asi un desarrollo con unos objetivos claros y evitar codigo inutil. Permite un codigo mas claro, al final evitando testeos internos.</t>
  </si>
  <si>
    <t>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</si>
  <si>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</si>
  <si>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</si>
  <si>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TDD primero te dice que tests quiere que tu programa pase y luego seguir desarrollando pasando esos mismos tests. Mientras que en el testing tradicional se realizan los tests una vez desarrollado el codigo que se va a someter a los tests.</t>
  </si>
  <si>
    <t>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</si>
  <si>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Al validar entradas te aseguras que la fluidez del sistema sea correcta y puedes evitar fallos con mas facilidad. Esto genera un software mas robusto ya que tienes mas cuidado y tienes mas en cuenta ciertas cosas a la hora de desarrollarlo.</t>
  </si>
  <si>
    <t>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</si>
  <si>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</si>
  <si>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Las buenas prácticas en el TDD son empezar por los tests, luego por un código muy simple, para luego mejorarlo en la última fase. El TDD tiene un impacto notable en la calidad del software ya que proporciona un código mucho más completo.</t>
  </si>
  <si>
    <t>Es importante comprobar las variables de entrada para no perder tiempo de ejecución ya que si son incompatibles o erróneas, el programa no debe funcionar. Por lo que la validación de datos hace que el software sea más robusto.</t>
  </si>
  <si>
    <t>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</si>
  <si>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</si>
  <si>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</si>
  <si>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Las entradas se pueden validar de diferentes formas ya sea con test unitarios normales o con test parametrizados que sería lo óptimo ya que esto le daría mas versatilidad y robustez al test al estar amparando el mismo código con diferentes entradas.</t>
  </si>
  <si>
    <t>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</si>
  <si>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</si>
  <si>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</si>
  <si>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</si>
  <si>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</si>
  <si>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</si>
  <si>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</si>
  <si>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</si>
  <si>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</si>
  <si>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</si>
  <si>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</si>
  <si>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</si>
  <si>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</si>
  <si>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</si>
  <si>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hay que validar las entradas en nuestro software ya que sino podria generar errores que no espamos ni tenemos contemplado en nuestros tests. un software robusto soporta fallos y tipo de ataques maliciosos</t>
  </si>
  <si>
    <t>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</si>
  <si>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</si>
  <si>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</si>
  <si>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</si>
  <si>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</si>
  <si>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TDD: primero tests y luego código de producción, mayor planificación de clases/métodos antes del desarrollo
Enfoque tradicional testing: primero código de producción y después tests, menos planificación de clases/métodos antes del desarrollo</t>
  </si>
  <si>
    <t>Buenas prácticas:
* Nomenclatura: should[acción]when[condición] , shouldDeletewhenIsNull()
* Solo un assertion por cada test
* Que al menos más de un 70% del código sea comprobado por tests</t>
  </si>
  <si>
    <t>Validar entradas en TDD es importante ya que debemos saber en todo momento que dato corresponde a que variable. Si por cualquier mótivo existe un fallo en una variable en el testing, será más fácil localizarlo si esta variable está validada correctamente.</t>
  </si>
  <si>
    <t>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</si>
  <si>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</si>
  <si>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</si>
  <si>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</si>
  <si>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</si>
  <si>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</si>
  <si>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</si>
  <si>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</si>
  <si>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EL enfoque tradicional de testing en el desarrollo del software es una forma de realizar test distinta a la de TDD ya que se puede realizar de forma más rapida y que se entienda mejor. Pero el TDD es una forma mas compleja y mas difícil.</t>
  </si>
  <si>
    <t>En el TDD se utiliza la palabra FIRST, fast, implementable, repetitible, self-vis, timely. Timely, realida cada paso en el tiempo adecuado. Fast lo realiza rápido. Self-vis, quiere decir que posee un autoservicio,</t>
  </si>
  <si>
    <t>si no validas las entradas de TDD no sabras el porccentaje por lo que no sabes si te darán error los tests</t>
  </si>
  <si>
    <t>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</si>
  <si>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</si>
  <si>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</si>
  <si>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</si>
  <si>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</si>
  <si>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</si>
  <si>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Las buenas prácticas de TDD son las siguientes:
* Fast: hace que sea más rápido
* I
* R
* Self-service: posee un autoservicio
* Timely: hace que esté todo a tiempo
TDD hace que todo esté de manera mas clara y tengo un mejor diseño.</t>
  </si>
  <si>
    <t>Es importante la validacion de entradas ya que te pueden dar distintos errores</t>
  </si>
  <si>
    <t>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</si>
  <si>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</si>
  <si>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</si>
  <si>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</si>
  <si>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</si>
  <si>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</si>
  <si>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</si>
  <si>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</si>
  <si>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</si>
  <si>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</si>
  <si>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</si>
  <si>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Es vital validar las entradas en el contexto del TDD, ya que un código que no valida las entradas puede hacer que un test sea pasado, cuando luego en la aplicación real no funcione y así que el código no sea robusto y presente errores</t>
  </si>
  <si>
    <t>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</si>
  <si>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</si>
  <si>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</si>
  <si>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</si>
  <si>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</si>
  <si>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</si>
  <si>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</si>
  <si>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</si>
  <si>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</si>
  <si>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</si>
  <si>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</si>
  <si>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</si>
  <si>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</si>
  <si>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</si>
  <si>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</si>
  <si>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Es importante validar las entradas en el contexto de TDD ya que evitamos que no entren datos que no son. Por ejemplo si se está pidiendo un número, que no entre una palabra. Se relaciona, ya que se evitan problemas, y se guarda o se recibe la información pedida.</t>
  </si>
  <si>
    <t>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</si>
  <si>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</si>
  <si>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</si>
  <si>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</si>
  <si>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</si>
  <si>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</si>
  <si>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</si>
  <si>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La validacion de entradas en TDD tiene mucha importancia debido a que de esta manera estariamos llevando a cabo un mayor control de codigo, esto a sus vez tambien tiene relacion con la robustez del software ya que estariamos incrementando la calidad de este.</t>
  </si>
  <si>
    <t>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</si>
  <si>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</si>
  <si>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</si>
  <si>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</si>
  <si>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</si>
  <si>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</si>
  <si>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</si>
  <si>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</si>
  <si>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</si>
  <si>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</si>
  <si>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</si>
  <si>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</si>
  <si>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</si>
  <si>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</si>
  <si>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</si>
  <si>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</si>
  <si>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</si>
  <si>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</si>
  <si>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</si>
  <si>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</si>
  <si>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</si>
  <si>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</si>
  <si>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</si>
  <si>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</si>
  <si>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</si>
  <si>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</si>
  <si>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</si>
  <si>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Validar entradas en TDD es crucial para que este pueda ser ejecutado de una manera precisa y con los parámetros que deseamos probar, permitiendo así la asertividad del test y asegurando que es el código el que falla y no el propio test escrito.</t>
  </si>
  <si>
    <t>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</si>
  <si>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</si>
  <si>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</si>
  <si>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</si>
  <si>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</si>
  <si>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</si>
  <si>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</si>
  <si>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</si>
  <si>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</si>
  <si>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En el TDD normalmente se hace primero el test y después el programa, y en el caso del enfoque tradicional se hace primero el programa y después el test.</t>
  </si>
  <si>
    <t>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</si>
  <si>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</si>
  <si>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</si>
  <si>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</si>
  <si>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</si>
  <si>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</si>
  <si>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</si>
  <si>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</si>
  <si>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</si>
  <si>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</si>
  <si>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</si>
  <si>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</si>
  <si>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</si>
  <si>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</si>
  <si>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</si>
  <si>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</si>
  <si>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No lo se</t>
  </si>
  <si>
    <t>&lt;SIN_RESPUESTA&gt;</t>
  </si>
  <si>
    <t>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</si>
  <si>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</si>
  <si>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</si>
  <si>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Las entradas de contexto son importantes para evitar que haya problemas o errores en este mismo codigo,como pueden llegar ha ser las herratas o problemas a la hora de definir alguna que otra variable.</t>
  </si>
  <si>
    <t>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</si>
  <si>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</si>
  <si>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La realización de pruebas continuamente es una de las buenas prácticas ya mediante el desarrollo y las pruebas estas verificando la funcionalidad del código y de esta manera se desarrolla un código con mams calidad.</t>
  </si>
  <si>
    <t>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</si>
  <si>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La diferencia es que en el TDD primero se desarrollan los test y posteriormente la funcionalidad, en el enfoque tradicional los test se hacen una vez tienes la funcionalidad desarrollada.</t>
  </si>
  <si>
    <t>Las buenas prácticas son desarrollar primero el test sin tener ninguna funcionalidad (red), una vez tengamos esto realizamos el código correspondiente para que el test pase (green) y terminamos refactorizando con los test unitarios para cubrir el codigo completo.</t>
  </si>
  <si>
    <t>Es importante validar las entradas porque asi los test pueden comprobar que tipo de entrada estas poniendo y en caso de poner algo prohibido estaria controlado</t>
  </si>
  <si>
    <t>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</si>
  <si>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</si>
  <si>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</si>
  <si>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</si>
  <si>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</si>
  <si>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</si>
  <si>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</si>
  <si>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</si>
  <si>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</si>
  <si>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</si>
  <si>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</si>
  <si>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</si>
  <si>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La importancia de Test-Driven Development es escribir la menor cantidad de líneas de código para que sea capaz de pasar los test, es decir, para cumplir los objetivos exactos del código</t>
  </si>
  <si>
    <t>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</si>
  <si>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Creación de test antes del desarrollo. Permite que el código sea más eficiente debido a que el desarrollo se ajusta a los test que definen los objetivos que debe alcanzar la aplicación. Te permite ser más consciente del código que uno está desarrollando</t>
  </si>
  <si>
    <t>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</si>
  <si>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</si>
  <si>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</si>
  <si>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Para que una práctica sea buena en TDD, se debe ir poco a poco con los cambios y siguiendo cada uno de los pasos, porque si haces primero la fase de refactor, aunque pase en verde ya vas a perder el enfoque de haberlo hecho de manera progresiva.</t>
  </si>
  <si>
    <t>no tengo idea, escribo para no dejarlo en blanco y me salte el mensaje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</si>
</sst>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H1" s="1" t="s">
        <v>6</v>
      </c>
    </row>
    <row r="2">
      <c r="A2" s="1">
        <v>0.0</v>
      </c>
      <c r="B2" s="1" t="s">
        <v>7</v>
      </c>
      <c r="C2" s="1" t="s">
        <v>8</v>
      </c>
      <c r="D2" s="1" t="s">
        <v>9</v>
      </c>
      <c r="E2" s="1">
        <v>9.0</v>
      </c>
      <c r="F2" s="2">
        <v>7.88682150840759E15</v>
      </c>
      <c r="H2" s="3" t="s">
        <v>10</v>
      </c>
      <c r="I2" s="3"/>
      <c r="J2" s="3" t="s">
        <v>11</v>
      </c>
      <c r="K2" s="3" t="s">
        <v>12</v>
      </c>
      <c r="L2" s="3" t="s">
        <v>13</v>
      </c>
    </row>
    <row r="3">
      <c r="A3" s="1">
        <v>1.0</v>
      </c>
      <c r="B3" s="1" t="s">
        <v>14</v>
      </c>
      <c r="C3" s="1" t="s">
        <v>15</v>
      </c>
      <c r="D3" s="1" t="s">
        <v>9</v>
      </c>
      <c r="E3" s="1">
        <v>7.0</v>
      </c>
      <c r="F3" s="2">
        <v>6.27185821533203E15</v>
      </c>
      <c r="H3" s="3"/>
      <c r="I3" s="3"/>
      <c r="J3" s="4">
        <f>COUNTIFS(E2:E304,"&gt;=8", D2:D304,"=&lt;EXCELENTE&gt;")</f>
        <v>17</v>
      </c>
      <c r="K3" s="4">
        <f>COUNTIF(D2:D304,"=&lt;EXCELENTE&gt;")</f>
        <v>19</v>
      </c>
      <c r="L3" s="4">
        <f>COUNTIFS(E2:E304,"&lt;8", D2:D304,"=&lt;EXCELENTE&gt;")</f>
        <v>2</v>
      </c>
    </row>
    <row r="4" ht="28.5" customHeight="1">
      <c r="A4" s="1">
        <v>2.0</v>
      </c>
      <c r="B4" s="1" t="s">
        <v>16</v>
      </c>
      <c r="C4" s="1" t="s">
        <v>17</v>
      </c>
      <c r="D4" s="1" t="s">
        <v>9</v>
      </c>
      <c r="E4" s="1">
        <v>6.0</v>
      </c>
      <c r="F4" s="2">
        <v>7.03445839881897E14</v>
      </c>
      <c r="H4" s="4">
        <f>COUNTIFS(E2:E305,"&gt;8", D2:D305,"=&lt;ACEPTABLE&gt;")</f>
        <v>46</v>
      </c>
      <c r="I4" s="4">
        <f>COUNTIFS(E2:E304,"&gt;=5", D2:D304,"=&lt;ACEPTABLE&gt;")</f>
        <v>180</v>
      </c>
      <c r="J4" s="4">
        <f t="shared" ref="J4:J6" si="1">I4-H4</f>
        <v>134</v>
      </c>
      <c r="K4" s="4">
        <f>COUNTIF(D2:D305,"=&lt;ACEPTABLE&gt;")</f>
        <v>195</v>
      </c>
      <c r="L4" s="4">
        <f>COUNTIFS(E2:E305,"&lt;5", D2:D305,"=&lt;ACEPTABLE&gt;")</f>
        <v>15</v>
      </c>
    </row>
    <row r="5" ht="28.5" customHeight="1">
      <c r="A5" s="1">
        <v>3.0</v>
      </c>
      <c r="B5" s="1" t="s">
        <v>18</v>
      </c>
      <c r="C5" s="1" t="s">
        <v>19</v>
      </c>
      <c r="D5" s="1" t="s">
        <v>9</v>
      </c>
      <c r="E5" s="1">
        <v>7.0</v>
      </c>
      <c r="F5" s="2">
        <v>6.33999156951904E15</v>
      </c>
      <c r="H5" s="4">
        <f>COUNTIFS(E2:E305,"&gt;5", D2:D305,"=&lt;INSUFICIENTE&gt;")</f>
        <v>15</v>
      </c>
      <c r="I5" s="4">
        <f>COUNTIFS(E2:E305,"&gt;=3", D2:D305,"=&lt;INSUFICIENTE&gt;")</f>
        <v>69</v>
      </c>
      <c r="J5" s="4">
        <f t="shared" si="1"/>
        <v>54</v>
      </c>
      <c r="K5" s="4">
        <f>COUNTIF(D2:D306,"=&lt;INSUFICIENTE&gt;")</f>
        <v>82</v>
      </c>
      <c r="L5" s="4">
        <f>COUNTIFS(E2:E305,"&lt;3", D2:D305,"=&lt;INSUFICIENTE&gt;")</f>
        <v>13</v>
      </c>
    </row>
    <row r="6">
      <c r="A6" s="1">
        <v>4.0</v>
      </c>
      <c r="B6" s="1" t="s">
        <v>7</v>
      </c>
      <c r="C6" s="1" t="s">
        <v>20</v>
      </c>
      <c r="D6" s="1" t="s">
        <v>9</v>
      </c>
      <c r="E6" s="1">
        <v>8.0</v>
      </c>
      <c r="F6" s="2">
        <v>5.86434936523437E15</v>
      </c>
      <c r="H6" s="4">
        <f>COUNTIFS(E2:E305,"&gt;3", D2:D305,"=&lt;SIN_RESPUESTA&gt;")</f>
        <v>0</v>
      </c>
      <c r="I6" s="4">
        <f>COUNTIFS(E2:E306,"&gt;=0", D2:D306,"=&lt;SIN_RESPUESTA&gt;")</f>
        <v>2</v>
      </c>
      <c r="J6" s="4">
        <f t="shared" si="1"/>
        <v>2</v>
      </c>
      <c r="K6" s="4">
        <f>COUNTIF(D2:D307,"=&lt;SIN_RESPUESTA&gt;")</f>
        <v>2</v>
      </c>
      <c r="L6" s="4">
        <f>COUNTIFS(E2:E306,"&lt;0", D2:D306,"=&lt;SIN_RESPUESTA&gt;")</f>
        <v>0</v>
      </c>
    </row>
    <row r="7">
      <c r="A7" s="1">
        <v>5.0</v>
      </c>
      <c r="B7" s="1" t="s">
        <v>14</v>
      </c>
      <c r="C7" s="1" t="s">
        <v>21</v>
      </c>
      <c r="D7" s="1" t="s">
        <v>9</v>
      </c>
      <c r="E7" s="1">
        <v>6.0</v>
      </c>
      <c r="F7" s="2">
        <v>5.8649263381958E15</v>
      </c>
      <c r="H7" s="4">
        <f t="shared" ref="H7:L7" si="2">SUM(H3:H6)</f>
        <v>61</v>
      </c>
      <c r="I7" s="4">
        <f t="shared" si="2"/>
        <v>251</v>
      </c>
      <c r="J7" s="4">
        <f t="shared" si="2"/>
        <v>207</v>
      </c>
      <c r="K7" s="4">
        <f t="shared" si="2"/>
        <v>298</v>
      </c>
      <c r="L7" s="4">
        <f t="shared" si="2"/>
        <v>30</v>
      </c>
    </row>
    <row r="8">
      <c r="A8" s="1">
        <v>6.0</v>
      </c>
      <c r="B8" s="1" t="s">
        <v>16</v>
      </c>
      <c r="C8" s="1" t="s">
        <v>22</v>
      </c>
      <c r="D8" s="1" t="s">
        <v>9</v>
      </c>
      <c r="E8" s="1">
        <v>8.0</v>
      </c>
      <c r="F8" s="2">
        <v>6.45578527450561E15</v>
      </c>
      <c r="H8" s="3"/>
      <c r="I8" s="3"/>
      <c r="J8" s="3"/>
      <c r="K8" s="3"/>
      <c r="L8" s="3"/>
    </row>
    <row r="9">
      <c r="A9" s="1">
        <v>7.0</v>
      </c>
      <c r="B9" s="1" t="s">
        <v>18</v>
      </c>
      <c r="C9" s="1" t="s">
        <v>23</v>
      </c>
      <c r="D9" s="1" t="s">
        <v>9</v>
      </c>
      <c r="E9" s="1">
        <v>7.0</v>
      </c>
      <c r="F9" s="2">
        <v>5.95911431312561E14</v>
      </c>
      <c r="H9" s="3"/>
      <c r="I9" s="3" t="s">
        <v>24</v>
      </c>
      <c r="J9" s="3"/>
      <c r="K9" s="4">
        <f>J7/K7</f>
        <v>0.6946308725</v>
      </c>
      <c r="L9" s="3"/>
    </row>
    <row r="10">
      <c r="A10" s="1">
        <v>8.0</v>
      </c>
      <c r="B10" s="1" t="s">
        <v>7</v>
      </c>
      <c r="C10" s="1" t="s">
        <v>25</v>
      </c>
      <c r="D10" s="1" t="s">
        <v>9</v>
      </c>
      <c r="E10" s="1">
        <v>10.0</v>
      </c>
      <c r="F10" s="2">
        <v>6.61454224586486E15</v>
      </c>
    </row>
    <row r="11">
      <c r="A11" s="1">
        <v>9.0</v>
      </c>
      <c r="B11" s="1" t="s">
        <v>14</v>
      </c>
      <c r="C11" s="1" t="s">
        <v>26</v>
      </c>
      <c r="D11" s="1" t="s">
        <v>9</v>
      </c>
      <c r="E11" s="1">
        <v>9.0</v>
      </c>
      <c r="F11" s="2">
        <v>6.6859118938446E16</v>
      </c>
    </row>
    <row r="12">
      <c r="A12" s="1">
        <v>10.0</v>
      </c>
      <c r="B12" s="1" t="s">
        <v>16</v>
      </c>
      <c r="C12" s="1" t="s">
        <v>27</v>
      </c>
      <c r="D12" s="1" t="s">
        <v>28</v>
      </c>
      <c r="E12" s="1">
        <v>6.0</v>
      </c>
      <c r="F12" s="2">
        <v>6.35662508010864E15</v>
      </c>
    </row>
    <row r="13">
      <c r="A13" s="1">
        <v>11.0</v>
      </c>
      <c r="B13" s="1" t="s">
        <v>7</v>
      </c>
      <c r="C13" s="1" t="s">
        <v>29</v>
      </c>
      <c r="D13" s="1" t="s">
        <v>30</v>
      </c>
      <c r="E13" s="1">
        <v>10.0</v>
      </c>
      <c r="F13" s="2">
        <v>7.00515007972717E15</v>
      </c>
    </row>
    <row r="14">
      <c r="A14" s="1">
        <v>12.0</v>
      </c>
      <c r="B14" s="1" t="s">
        <v>14</v>
      </c>
      <c r="C14" s="1" t="s">
        <v>31</v>
      </c>
      <c r="D14" s="1" t="s">
        <v>9</v>
      </c>
      <c r="E14" s="1">
        <v>8.0</v>
      </c>
      <c r="F14" s="2">
        <v>6.22148942947387E15</v>
      </c>
    </row>
    <row r="15">
      <c r="A15" s="1">
        <v>13.0</v>
      </c>
      <c r="B15" s="1" t="s">
        <v>16</v>
      </c>
      <c r="C15" s="1" t="s">
        <v>32</v>
      </c>
      <c r="D15" s="1" t="s">
        <v>28</v>
      </c>
      <c r="E15" s="1">
        <v>6.0</v>
      </c>
      <c r="F15" s="2">
        <v>7.20169067382812E15</v>
      </c>
    </row>
    <row r="16">
      <c r="A16" s="1">
        <v>14.0</v>
      </c>
      <c r="B16" s="1" t="s">
        <v>18</v>
      </c>
      <c r="C16" s="1" t="s">
        <v>33</v>
      </c>
      <c r="D16" s="1" t="s">
        <v>28</v>
      </c>
      <c r="E16" s="1">
        <v>3.0</v>
      </c>
      <c r="F16" s="2">
        <v>5.89708805084228E15</v>
      </c>
    </row>
    <row r="17">
      <c r="A17" s="1">
        <v>15.0</v>
      </c>
      <c r="B17" s="1" t="s">
        <v>7</v>
      </c>
      <c r="C17" s="1" t="s">
        <v>34</v>
      </c>
      <c r="D17" s="1" t="s">
        <v>9</v>
      </c>
      <c r="E17" s="1">
        <v>9.0</v>
      </c>
      <c r="F17" s="2">
        <v>7.32971239089965E15</v>
      </c>
    </row>
    <row r="18">
      <c r="A18" s="1">
        <v>16.0</v>
      </c>
      <c r="B18" s="1" t="s">
        <v>14</v>
      </c>
      <c r="C18" s="1" t="s">
        <v>35</v>
      </c>
      <c r="D18" s="1" t="s">
        <v>28</v>
      </c>
      <c r="E18" s="1">
        <v>6.0</v>
      </c>
      <c r="F18" s="2">
        <v>6.78264546394348E16</v>
      </c>
    </row>
    <row r="19">
      <c r="A19" s="1">
        <v>17.0</v>
      </c>
      <c r="B19" s="1" t="s">
        <v>16</v>
      </c>
      <c r="C19" s="1" t="s">
        <v>36</v>
      </c>
      <c r="D19" s="1" t="s">
        <v>28</v>
      </c>
      <c r="E19" s="1">
        <v>3.0</v>
      </c>
      <c r="F19" s="2">
        <v>6.8510582447052E13</v>
      </c>
    </row>
    <row r="20">
      <c r="A20" s="1">
        <v>18.0</v>
      </c>
      <c r="B20" s="1" t="s">
        <v>18</v>
      </c>
      <c r="C20" s="1" t="s">
        <v>37</v>
      </c>
      <c r="D20" s="1" t="s">
        <v>28</v>
      </c>
      <c r="E20" s="1">
        <v>6.0</v>
      </c>
      <c r="F20" s="2">
        <v>7.08591127395629E15</v>
      </c>
    </row>
    <row r="21">
      <c r="A21" s="1">
        <v>19.0</v>
      </c>
      <c r="B21" s="1" t="s">
        <v>7</v>
      </c>
      <c r="C21" s="1" t="s">
        <v>38</v>
      </c>
      <c r="D21" s="1" t="s">
        <v>30</v>
      </c>
      <c r="E21" s="1">
        <v>10.0</v>
      </c>
      <c r="F21" s="2">
        <v>8.67280220985412E15</v>
      </c>
    </row>
    <row r="22">
      <c r="A22" s="1">
        <v>20.0</v>
      </c>
      <c r="B22" s="1" t="s">
        <v>14</v>
      </c>
      <c r="C22" s="1" t="s">
        <v>39</v>
      </c>
      <c r="D22" s="1" t="s">
        <v>30</v>
      </c>
      <c r="E22" s="1">
        <v>10.0</v>
      </c>
      <c r="F22" s="2">
        <v>7.81970167160034E15</v>
      </c>
    </row>
    <row r="23">
      <c r="A23" s="1">
        <v>21.0</v>
      </c>
      <c r="B23" s="1" t="s">
        <v>16</v>
      </c>
      <c r="C23" s="1" t="s">
        <v>40</v>
      </c>
      <c r="D23" s="1" t="s">
        <v>9</v>
      </c>
      <c r="E23" s="1">
        <v>9.0</v>
      </c>
      <c r="F23" s="2">
        <v>6.83209109306335E16</v>
      </c>
    </row>
    <row r="24">
      <c r="A24" s="1">
        <v>22.0</v>
      </c>
      <c r="B24" s="1" t="s">
        <v>18</v>
      </c>
      <c r="C24" s="1" t="s">
        <v>41</v>
      </c>
      <c r="D24" s="1" t="s">
        <v>28</v>
      </c>
      <c r="E24" s="1">
        <v>5.0</v>
      </c>
      <c r="F24" s="2">
        <v>6.04714012145996E15</v>
      </c>
    </row>
    <row r="25">
      <c r="A25" s="1">
        <v>23.0</v>
      </c>
      <c r="B25" s="1" t="s">
        <v>7</v>
      </c>
      <c r="C25" s="1" t="s">
        <v>42</v>
      </c>
      <c r="D25" s="1" t="s">
        <v>9</v>
      </c>
      <c r="E25" s="1">
        <v>5.0</v>
      </c>
      <c r="F25" s="2">
        <v>7.37011361122131E16</v>
      </c>
    </row>
    <row r="26">
      <c r="A26" s="1">
        <v>24.0</v>
      </c>
      <c r="B26" s="1" t="s">
        <v>14</v>
      </c>
      <c r="C26" s="1" t="s">
        <v>43</v>
      </c>
      <c r="D26" s="1" t="s">
        <v>9</v>
      </c>
      <c r="E26" s="1">
        <v>7.0</v>
      </c>
      <c r="F26" s="2">
        <v>6.51703834533691E15</v>
      </c>
    </row>
    <row r="27">
      <c r="A27" s="1">
        <v>25.0</v>
      </c>
      <c r="B27" s="1" t="s">
        <v>16</v>
      </c>
      <c r="C27" s="1" t="s">
        <v>44</v>
      </c>
      <c r="D27" s="1" t="s">
        <v>9</v>
      </c>
      <c r="E27" s="1">
        <v>6.0</v>
      </c>
      <c r="F27" s="2">
        <v>8.7204942703247E15</v>
      </c>
    </row>
    <row r="28">
      <c r="A28" s="1">
        <v>26.0</v>
      </c>
      <c r="B28" s="1" t="s">
        <v>18</v>
      </c>
      <c r="C28" s="1" t="s">
        <v>45</v>
      </c>
      <c r="D28" s="1" t="s">
        <v>28</v>
      </c>
      <c r="E28" s="1">
        <v>4.0</v>
      </c>
      <c r="F28" s="2">
        <v>6.00567746162414E16</v>
      </c>
    </row>
    <row r="29">
      <c r="A29" s="1">
        <v>27.0</v>
      </c>
      <c r="B29" s="1" t="s">
        <v>7</v>
      </c>
      <c r="C29" s="1" t="s">
        <v>46</v>
      </c>
      <c r="D29" s="1" t="s">
        <v>9</v>
      </c>
      <c r="E29" s="1">
        <v>8.0</v>
      </c>
      <c r="F29" s="2">
        <v>7.32719659805297E16</v>
      </c>
    </row>
    <row r="30">
      <c r="A30" s="1">
        <v>28.0</v>
      </c>
      <c r="B30" s="1" t="s">
        <v>14</v>
      </c>
      <c r="C30" s="1" t="s">
        <v>47</v>
      </c>
      <c r="D30" s="1" t="s">
        <v>28</v>
      </c>
      <c r="E30" s="1">
        <v>6.0</v>
      </c>
      <c r="F30" s="2">
        <v>6.17056918144226E15</v>
      </c>
    </row>
    <row r="31">
      <c r="A31" s="1">
        <v>29.0</v>
      </c>
      <c r="B31" s="1" t="s">
        <v>16</v>
      </c>
      <c r="C31" s="1" t="s">
        <v>48</v>
      </c>
      <c r="D31" s="1" t="s">
        <v>28</v>
      </c>
      <c r="E31" s="1">
        <v>6.0</v>
      </c>
      <c r="F31" s="2">
        <v>6.21609997749328E15</v>
      </c>
    </row>
    <row r="32">
      <c r="A32" s="1">
        <v>30.0</v>
      </c>
      <c r="B32" s="1" t="s">
        <v>18</v>
      </c>
      <c r="C32" s="1" t="s">
        <v>49</v>
      </c>
      <c r="D32" s="1" t="s">
        <v>9</v>
      </c>
      <c r="E32" s="1">
        <v>5.0</v>
      </c>
      <c r="F32" s="2">
        <v>6.80645203590393E15</v>
      </c>
    </row>
    <row r="33">
      <c r="A33" s="1">
        <v>31.0</v>
      </c>
      <c r="B33" s="1" t="s">
        <v>7</v>
      </c>
      <c r="C33" s="1" t="s">
        <v>50</v>
      </c>
      <c r="D33" s="1" t="s">
        <v>9</v>
      </c>
      <c r="E33" s="1">
        <v>10.0</v>
      </c>
      <c r="F33" s="2">
        <v>7.45507311820983E15</v>
      </c>
    </row>
    <row r="34">
      <c r="A34" s="1">
        <v>32.0</v>
      </c>
      <c r="B34" s="1" t="s">
        <v>14</v>
      </c>
      <c r="C34" s="1" t="s">
        <v>51</v>
      </c>
      <c r="D34" s="1" t="s">
        <v>9</v>
      </c>
      <c r="E34" s="1">
        <v>4.0</v>
      </c>
      <c r="F34" s="2">
        <v>5.91240906715393E15</v>
      </c>
    </row>
    <row r="35">
      <c r="A35" s="1">
        <v>33.0</v>
      </c>
      <c r="B35" s="1" t="s">
        <v>16</v>
      </c>
      <c r="C35" s="1" t="s">
        <v>52</v>
      </c>
      <c r="D35" s="1" t="s">
        <v>28</v>
      </c>
      <c r="E35" s="1">
        <v>3.0</v>
      </c>
      <c r="F35" s="2">
        <v>6.03269481658935E16</v>
      </c>
    </row>
    <row r="36">
      <c r="A36" s="1">
        <v>34.0</v>
      </c>
      <c r="B36" s="1" t="s">
        <v>18</v>
      </c>
      <c r="C36" s="1" t="s">
        <v>53</v>
      </c>
      <c r="D36" s="1" t="s">
        <v>28</v>
      </c>
      <c r="E36" s="1">
        <v>4.0</v>
      </c>
      <c r="F36" s="2">
        <v>5.9583134651184E15</v>
      </c>
    </row>
    <row r="37">
      <c r="A37" s="1">
        <v>35.0</v>
      </c>
      <c r="B37" s="1" t="s">
        <v>7</v>
      </c>
      <c r="C37" s="1" t="s">
        <v>54</v>
      </c>
      <c r="D37" s="1" t="s">
        <v>9</v>
      </c>
      <c r="E37" s="1">
        <v>9.0</v>
      </c>
      <c r="F37" s="2">
        <v>7.3779182434082E15</v>
      </c>
    </row>
    <row r="38">
      <c r="A38" s="1">
        <v>36.0</v>
      </c>
      <c r="B38" s="1" t="s">
        <v>14</v>
      </c>
      <c r="C38" s="1" t="s">
        <v>55</v>
      </c>
      <c r="D38" s="1" t="s">
        <v>9</v>
      </c>
      <c r="E38" s="1">
        <v>10.0</v>
      </c>
      <c r="F38" s="2">
        <v>7.24855685234069E15</v>
      </c>
    </row>
    <row r="39">
      <c r="A39" s="1">
        <v>37.0</v>
      </c>
      <c r="B39" s="1" t="s">
        <v>16</v>
      </c>
      <c r="C39" s="1" t="s">
        <v>56</v>
      </c>
      <c r="D39" s="1" t="s">
        <v>9</v>
      </c>
      <c r="E39" s="1">
        <v>8.0</v>
      </c>
      <c r="F39" s="2">
        <v>7.25154447555542E14</v>
      </c>
    </row>
    <row r="40">
      <c r="A40" s="1">
        <v>38.0</v>
      </c>
      <c r="B40" s="1" t="s">
        <v>18</v>
      </c>
      <c r="C40" s="1" t="s">
        <v>57</v>
      </c>
      <c r="D40" s="1" t="s">
        <v>28</v>
      </c>
      <c r="E40" s="1">
        <v>3.0</v>
      </c>
      <c r="F40" s="2">
        <v>6.00935530662536E15</v>
      </c>
    </row>
    <row r="41">
      <c r="A41" s="1">
        <v>39.0</v>
      </c>
      <c r="B41" s="1" t="s">
        <v>7</v>
      </c>
      <c r="C41" s="1" t="s">
        <v>58</v>
      </c>
      <c r="D41" s="1" t="s">
        <v>9</v>
      </c>
      <c r="E41" s="1">
        <v>7.0</v>
      </c>
      <c r="F41" s="2">
        <v>7.37610602378845E15</v>
      </c>
    </row>
    <row r="42">
      <c r="A42" s="1">
        <v>40.0</v>
      </c>
      <c r="B42" s="1" t="s">
        <v>14</v>
      </c>
      <c r="C42" s="1" t="s">
        <v>59</v>
      </c>
      <c r="D42" s="1" t="s">
        <v>9</v>
      </c>
      <c r="E42" s="1">
        <v>6.0</v>
      </c>
      <c r="F42" s="2">
        <v>7.30726289749145E15</v>
      </c>
    </row>
    <row r="43">
      <c r="A43" s="1">
        <v>41.0</v>
      </c>
      <c r="B43" s="1" t="s">
        <v>16</v>
      </c>
      <c r="C43" s="1" t="s">
        <v>60</v>
      </c>
      <c r="D43" s="1" t="s">
        <v>9</v>
      </c>
      <c r="E43" s="1">
        <v>6.0</v>
      </c>
      <c r="F43" s="2">
        <v>7.41040563583374E14</v>
      </c>
    </row>
    <row r="44">
      <c r="A44" s="1">
        <v>42.0</v>
      </c>
      <c r="B44" s="1" t="s">
        <v>18</v>
      </c>
      <c r="C44" s="1" t="s">
        <v>61</v>
      </c>
      <c r="D44" s="1" t="s">
        <v>28</v>
      </c>
      <c r="E44" s="1">
        <v>5.0</v>
      </c>
      <c r="F44" s="2">
        <v>6.82475638389587E15</v>
      </c>
    </row>
    <row r="45">
      <c r="A45" s="1">
        <v>43.0</v>
      </c>
      <c r="B45" s="1" t="s">
        <v>7</v>
      </c>
      <c r="C45" s="1" t="s">
        <v>62</v>
      </c>
      <c r="D45" s="1" t="s">
        <v>30</v>
      </c>
      <c r="E45" s="1">
        <v>6.0</v>
      </c>
      <c r="F45" s="2">
        <v>8.88090276718139E15</v>
      </c>
    </row>
    <row r="46">
      <c r="A46" s="1">
        <v>44.0</v>
      </c>
      <c r="B46" s="1" t="s">
        <v>14</v>
      </c>
      <c r="C46" s="1" t="s">
        <v>63</v>
      </c>
      <c r="D46" s="1" t="s">
        <v>30</v>
      </c>
      <c r="E46" s="1">
        <v>7.0</v>
      </c>
      <c r="F46" s="2">
        <v>8.19473528861999E15</v>
      </c>
    </row>
    <row r="47">
      <c r="A47" s="1">
        <v>45.0</v>
      </c>
      <c r="B47" s="1" t="s">
        <v>16</v>
      </c>
      <c r="C47" s="1" t="s">
        <v>64</v>
      </c>
      <c r="D47" s="1" t="s">
        <v>28</v>
      </c>
      <c r="E47" s="1">
        <v>4.0</v>
      </c>
      <c r="F47" s="2">
        <v>7.44634366035461E15</v>
      </c>
    </row>
    <row r="48">
      <c r="A48" s="1">
        <v>46.0</v>
      </c>
      <c r="B48" s="1" t="s">
        <v>18</v>
      </c>
      <c r="C48" s="1" t="s">
        <v>65</v>
      </c>
      <c r="D48" s="1" t="s">
        <v>28</v>
      </c>
      <c r="E48" s="1">
        <v>3.0</v>
      </c>
      <c r="F48" s="2">
        <v>6.67446875572204E15</v>
      </c>
    </row>
    <row r="49">
      <c r="A49" s="1">
        <v>47.0</v>
      </c>
      <c r="B49" s="1" t="s">
        <v>7</v>
      </c>
      <c r="C49" s="1" t="s">
        <v>66</v>
      </c>
      <c r="D49" s="1" t="s">
        <v>30</v>
      </c>
      <c r="E49" s="1">
        <v>10.0</v>
      </c>
      <c r="F49" s="2">
        <v>8.24939560890197E15</v>
      </c>
    </row>
    <row r="50">
      <c r="A50" s="1">
        <v>48.0</v>
      </c>
      <c r="B50" s="1" t="s">
        <v>14</v>
      </c>
      <c r="C50" s="1" t="s">
        <v>67</v>
      </c>
      <c r="D50" s="1" t="s">
        <v>9</v>
      </c>
      <c r="E50" s="1">
        <v>8.0</v>
      </c>
      <c r="F50" s="2">
        <v>7.38719773292541E15</v>
      </c>
    </row>
    <row r="51">
      <c r="A51" s="1">
        <v>49.0</v>
      </c>
      <c r="B51" s="1" t="s">
        <v>16</v>
      </c>
      <c r="C51" s="1" t="s">
        <v>68</v>
      </c>
      <c r="D51" s="1" t="s">
        <v>9</v>
      </c>
      <c r="E51" s="1">
        <v>6.0</v>
      </c>
      <c r="F51" s="2">
        <v>7.34583187103271E15</v>
      </c>
    </row>
    <row r="52">
      <c r="A52" s="1">
        <v>50.0</v>
      </c>
      <c r="B52" s="1" t="s">
        <v>18</v>
      </c>
      <c r="C52" s="1" t="s">
        <v>69</v>
      </c>
      <c r="D52" s="1" t="s">
        <v>28</v>
      </c>
      <c r="E52" s="1">
        <v>3.0</v>
      </c>
      <c r="F52" s="2">
        <v>6.04894018173217E15</v>
      </c>
    </row>
    <row r="53">
      <c r="A53" s="1">
        <v>51.0</v>
      </c>
      <c r="B53" s="1" t="s">
        <v>7</v>
      </c>
      <c r="C53" s="1" t="s">
        <v>70</v>
      </c>
      <c r="D53" s="1" t="s">
        <v>9</v>
      </c>
      <c r="E53" s="1">
        <v>6.0</v>
      </c>
      <c r="F53" s="2">
        <v>8.12192273139953E15</v>
      </c>
    </row>
    <row r="54">
      <c r="A54" s="1">
        <v>52.0</v>
      </c>
      <c r="B54" s="1" t="s">
        <v>14</v>
      </c>
      <c r="C54" s="1" t="s">
        <v>71</v>
      </c>
      <c r="D54" s="1" t="s">
        <v>9</v>
      </c>
      <c r="E54" s="1">
        <v>6.0</v>
      </c>
      <c r="F54" s="2">
        <v>8.12637639045715E15</v>
      </c>
    </row>
    <row r="55">
      <c r="A55" s="1">
        <v>53.0</v>
      </c>
      <c r="B55" s="1" t="s">
        <v>16</v>
      </c>
      <c r="C55" s="1" t="s">
        <v>72</v>
      </c>
      <c r="D55" s="1" t="s">
        <v>9</v>
      </c>
      <c r="E55" s="1">
        <v>6.0</v>
      </c>
      <c r="F55" s="2">
        <v>8.17873477935791E14</v>
      </c>
    </row>
    <row r="56">
      <c r="A56" s="1">
        <v>54.0</v>
      </c>
      <c r="B56" s="1" t="s">
        <v>18</v>
      </c>
      <c r="C56" s="1" t="s">
        <v>73</v>
      </c>
      <c r="D56" s="1" t="s">
        <v>9</v>
      </c>
      <c r="E56" s="1">
        <v>6.0</v>
      </c>
      <c r="F56" s="2">
        <v>8.06833100318908E15</v>
      </c>
    </row>
    <row r="57">
      <c r="A57" s="1">
        <v>55.0</v>
      </c>
      <c r="B57" s="1" t="s">
        <v>7</v>
      </c>
      <c r="C57" s="1" t="s">
        <v>74</v>
      </c>
      <c r="D57" s="1" t="s">
        <v>28</v>
      </c>
      <c r="E57" s="1">
        <v>5.0</v>
      </c>
      <c r="F57" s="2">
        <v>6.83688449859619E15</v>
      </c>
    </row>
    <row r="58">
      <c r="A58" s="1">
        <v>56.0</v>
      </c>
      <c r="B58" s="1" t="s">
        <v>14</v>
      </c>
      <c r="C58" s="1" t="s">
        <v>75</v>
      </c>
      <c r="D58" s="1" t="s">
        <v>9</v>
      </c>
      <c r="E58" s="1">
        <v>7.0</v>
      </c>
      <c r="F58" s="2">
        <v>6.64679765701293E16</v>
      </c>
    </row>
    <row r="59">
      <c r="A59" s="1">
        <v>57.0</v>
      </c>
      <c r="B59" s="1" t="s">
        <v>16</v>
      </c>
      <c r="C59" s="1" t="s">
        <v>76</v>
      </c>
      <c r="D59" s="1" t="s">
        <v>9</v>
      </c>
      <c r="E59" s="1">
        <v>7.0</v>
      </c>
      <c r="F59" s="2">
        <v>8.03297305107116E15</v>
      </c>
    </row>
    <row r="60">
      <c r="A60" s="1">
        <v>58.0</v>
      </c>
      <c r="B60" s="1" t="s">
        <v>18</v>
      </c>
      <c r="C60" s="1" t="s">
        <v>77</v>
      </c>
      <c r="D60" s="1" t="s">
        <v>9</v>
      </c>
      <c r="E60" s="1">
        <v>7.0</v>
      </c>
      <c r="F60" s="2">
        <v>6.51542592048645E14</v>
      </c>
    </row>
    <row r="61">
      <c r="A61" s="1">
        <v>59.0</v>
      </c>
      <c r="B61" s="1" t="s">
        <v>7</v>
      </c>
      <c r="C61" s="1" t="s">
        <v>78</v>
      </c>
      <c r="D61" s="1" t="s">
        <v>9</v>
      </c>
      <c r="E61" s="1">
        <v>9.0</v>
      </c>
      <c r="F61" s="2">
        <v>7.2753791809082E15</v>
      </c>
    </row>
    <row r="62">
      <c r="A62" s="1">
        <v>60.0</v>
      </c>
      <c r="B62" s="1" t="s">
        <v>14</v>
      </c>
      <c r="C62" s="1" t="s">
        <v>79</v>
      </c>
      <c r="D62" s="1" t="s">
        <v>9</v>
      </c>
      <c r="E62" s="1">
        <v>10.0</v>
      </c>
      <c r="F62" s="2">
        <v>8.16977667808532E15</v>
      </c>
    </row>
    <row r="63">
      <c r="A63" s="1">
        <v>61.0</v>
      </c>
      <c r="B63" s="1" t="s">
        <v>16</v>
      </c>
      <c r="C63" s="1" t="s">
        <v>80</v>
      </c>
      <c r="D63" s="1" t="s">
        <v>9</v>
      </c>
      <c r="E63" s="1">
        <v>6.0</v>
      </c>
      <c r="F63" s="2">
        <v>7.41372060775756E15</v>
      </c>
    </row>
    <row r="64">
      <c r="A64" s="1">
        <v>62.0</v>
      </c>
      <c r="B64" s="1" t="s">
        <v>18</v>
      </c>
      <c r="C64" s="1" t="s">
        <v>81</v>
      </c>
      <c r="D64" s="1" t="s">
        <v>9</v>
      </c>
      <c r="E64" s="1">
        <v>7.0</v>
      </c>
      <c r="F64" s="2">
        <v>6.55188679695129E15</v>
      </c>
    </row>
    <row r="65">
      <c r="A65" s="1">
        <v>63.0</v>
      </c>
      <c r="B65" s="1" t="s">
        <v>7</v>
      </c>
      <c r="C65" s="1" t="s">
        <v>82</v>
      </c>
      <c r="D65" s="1" t="s">
        <v>9</v>
      </c>
      <c r="E65" s="1">
        <v>7.0</v>
      </c>
      <c r="F65" s="2">
        <v>8.17615461349487E15</v>
      </c>
    </row>
    <row r="66">
      <c r="A66" s="1">
        <v>64.0</v>
      </c>
      <c r="B66" s="1" t="s">
        <v>14</v>
      </c>
      <c r="C66" s="1" t="s">
        <v>83</v>
      </c>
      <c r="D66" s="1" t="s">
        <v>9</v>
      </c>
      <c r="E66" s="1">
        <v>9.0</v>
      </c>
      <c r="F66" s="2">
        <v>7.54872322082519E15</v>
      </c>
    </row>
    <row r="67">
      <c r="A67" s="1">
        <v>65.0</v>
      </c>
      <c r="B67" s="1" t="s">
        <v>16</v>
      </c>
      <c r="C67" s="1" t="s">
        <v>84</v>
      </c>
      <c r="D67" s="1" t="s">
        <v>28</v>
      </c>
      <c r="E67" s="1">
        <v>5.0</v>
      </c>
      <c r="F67" s="2">
        <v>9.02518963813781E15</v>
      </c>
    </row>
    <row r="68">
      <c r="A68" s="1">
        <v>66.0</v>
      </c>
      <c r="B68" s="1" t="s">
        <v>18</v>
      </c>
      <c r="C68" s="1" t="s">
        <v>85</v>
      </c>
      <c r="D68" s="1" t="s">
        <v>9</v>
      </c>
      <c r="E68" s="1">
        <v>6.0</v>
      </c>
      <c r="F68" s="2">
        <v>8.1151533126831E15</v>
      </c>
    </row>
    <row r="69">
      <c r="A69" s="1">
        <v>67.0</v>
      </c>
      <c r="B69" s="1" t="s">
        <v>7</v>
      </c>
      <c r="C69" s="1" t="s">
        <v>86</v>
      </c>
      <c r="D69" s="1" t="s">
        <v>9</v>
      </c>
      <c r="E69" s="1">
        <v>10.0</v>
      </c>
      <c r="F69" s="2">
        <v>7.40899085998535E15</v>
      </c>
    </row>
    <row r="70">
      <c r="A70" s="1">
        <v>68.0</v>
      </c>
      <c r="B70" s="1" t="s">
        <v>14</v>
      </c>
      <c r="C70" s="1" t="s">
        <v>87</v>
      </c>
      <c r="D70" s="1" t="s">
        <v>9</v>
      </c>
      <c r="E70" s="1">
        <v>10.0</v>
      </c>
      <c r="F70" s="2">
        <v>7.23207664489746E15</v>
      </c>
    </row>
    <row r="71">
      <c r="A71" s="1">
        <v>69.0</v>
      </c>
      <c r="B71" s="1" t="s">
        <v>16</v>
      </c>
      <c r="C71" s="1" t="s">
        <v>88</v>
      </c>
      <c r="D71" s="1" t="s">
        <v>9</v>
      </c>
      <c r="E71" s="1">
        <v>9.0</v>
      </c>
      <c r="F71" s="2">
        <v>6.61499977111816E15</v>
      </c>
    </row>
    <row r="72">
      <c r="A72" s="1">
        <v>70.0</v>
      </c>
      <c r="B72" s="1" t="s">
        <v>18</v>
      </c>
      <c r="C72" s="1" t="s">
        <v>89</v>
      </c>
      <c r="D72" s="1" t="s">
        <v>28</v>
      </c>
      <c r="E72" s="1">
        <v>2.0</v>
      </c>
      <c r="F72" s="2">
        <v>7.45395445823669E15</v>
      </c>
    </row>
    <row r="73">
      <c r="A73" s="1">
        <v>71.0</v>
      </c>
      <c r="B73" s="1" t="s">
        <v>7</v>
      </c>
      <c r="C73" s="1" t="s">
        <v>90</v>
      </c>
      <c r="D73" s="1" t="s">
        <v>30</v>
      </c>
      <c r="E73" s="1">
        <v>10.0</v>
      </c>
      <c r="F73" s="2">
        <v>9.62795805931091E15</v>
      </c>
    </row>
    <row r="74">
      <c r="A74" s="1">
        <v>72.0</v>
      </c>
      <c r="B74" s="1" t="s">
        <v>14</v>
      </c>
      <c r="C74" s="1" t="s">
        <v>91</v>
      </c>
      <c r="D74" s="1" t="s">
        <v>9</v>
      </c>
      <c r="E74" s="1">
        <v>9.0</v>
      </c>
      <c r="F74" s="2">
        <v>8.20386600494384E15</v>
      </c>
    </row>
    <row r="75">
      <c r="A75" s="1">
        <v>73.0</v>
      </c>
      <c r="B75" s="1" t="s">
        <v>16</v>
      </c>
      <c r="C75" s="1" t="s">
        <v>92</v>
      </c>
      <c r="D75" s="1" t="s">
        <v>28</v>
      </c>
      <c r="E75" s="1">
        <v>5.0</v>
      </c>
      <c r="F75" s="2">
        <v>6.72554564476013E15</v>
      </c>
    </row>
    <row r="76">
      <c r="A76" s="1">
        <v>74.0</v>
      </c>
      <c r="B76" s="1" t="s">
        <v>18</v>
      </c>
      <c r="C76" s="1" t="s">
        <v>93</v>
      </c>
      <c r="D76" s="1" t="s">
        <v>9</v>
      </c>
      <c r="E76" s="1">
        <v>6.0</v>
      </c>
      <c r="F76" s="2">
        <v>6.62316441535949E15</v>
      </c>
    </row>
    <row r="77">
      <c r="A77" s="1">
        <v>75.0</v>
      </c>
      <c r="B77" s="1" t="s">
        <v>7</v>
      </c>
      <c r="C77" s="1" t="s">
        <v>94</v>
      </c>
      <c r="D77" s="1" t="s">
        <v>9</v>
      </c>
      <c r="E77" s="1">
        <v>7.0</v>
      </c>
      <c r="F77" s="2">
        <v>7.35955667495727E15</v>
      </c>
    </row>
    <row r="78">
      <c r="A78" s="1">
        <v>76.0</v>
      </c>
      <c r="B78" s="1" t="s">
        <v>14</v>
      </c>
      <c r="C78" s="1" t="s">
        <v>95</v>
      </c>
      <c r="D78" s="1" t="s">
        <v>9</v>
      </c>
      <c r="E78" s="1">
        <v>9.0</v>
      </c>
      <c r="F78" s="2">
        <v>6.62117457389831E15</v>
      </c>
    </row>
    <row r="79">
      <c r="A79" s="1">
        <v>77.0</v>
      </c>
      <c r="B79" s="1" t="s">
        <v>16</v>
      </c>
      <c r="C79" s="1" t="s">
        <v>96</v>
      </c>
      <c r="D79" s="1" t="s">
        <v>9</v>
      </c>
      <c r="E79" s="1">
        <v>5.0</v>
      </c>
      <c r="F79" s="2">
        <v>7.28946876525878E15</v>
      </c>
    </row>
    <row r="80">
      <c r="A80" s="1">
        <v>78.0</v>
      </c>
      <c r="B80" s="1" t="s">
        <v>18</v>
      </c>
      <c r="C80" s="1" t="s">
        <v>97</v>
      </c>
      <c r="D80" s="1" t="s">
        <v>9</v>
      </c>
      <c r="E80" s="1">
        <v>7.0</v>
      </c>
      <c r="F80" s="2">
        <v>6.66035676002502E15</v>
      </c>
    </row>
    <row r="81">
      <c r="A81" s="1">
        <v>79.0</v>
      </c>
      <c r="B81" s="1" t="s">
        <v>7</v>
      </c>
      <c r="C81" s="1" t="s">
        <v>98</v>
      </c>
      <c r="D81" s="1" t="s">
        <v>9</v>
      </c>
      <c r="E81" s="1">
        <v>7.0</v>
      </c>
      <c r="F81" s="2">
        <v>6.65656733512878E15</v>
      </c>
    </row>
    <row r="82">
      <c r="A82" s="1">
        <v>80.0</v>
      </c>
      <c r="B82" s="1" t="s">
        <v>14</v>
      </c>
      <c r="C82" s="1" t="s">
        <v>99</v>
      </c>
      <c r="D82" s="1" t="s">
        <v>9</v>
      </c>
      <c r="E82" s="1">
        <v>10.0</v>
      </c>
      <c r="F82" s="2">
        <v>6.67139601707458E15</v>
      </c>
    </row>
    <row r="83">
      <c r="A83" s="1">
        <v>81.0</v>
      </c>
      <c r="B83" s="1" t="s">
        <v>16</v>
      </c>
      <c r="C83" s="1" t="s">
        <v>100</v>
      </c>
      <c r="D83" s="1" t="s">
        <v>9</v>
      </c>
      <c r="E83" s="1">
        <v>6.0</v>
      </c>
      <c r="F83" s="2">
        <v>7.38013982772827E16</v>
      </c>
    </row>
    <row r="84">
      <c r="A84" s="1">
        <v>82.0</v>
      </c>
      <c r="B84" s="1" t="s">
        <v>18</v>
      </c>
      <c r="C84" s="1" t="s">
        <v>101</v>
      </c>
      <c r="D84" s="1" t="s">
        <v>9</v>
      </c>
      <c r="E84" s="1">
        <v>5.0</v>
      </c>
      <c r="F84" s="2">
        <v>6.50031781196594E15</v>
      </c>
    </row>
    <row r="85">
      <c r="A85" s="1">
        <v>83.0</v>
      </c>
      <c r="B85" s="1" t="s">
        <v>7</v>
      </c>
      <c r="C85" s="1" t="s">
        <v>102</v>
      </c>
      <c r="D85" s="1" t="s">
        <v>30</v>
      </c>
      <c r="E85" s="1">
        <v>10.0</v>
      </c>
      <c r="F85" s="2">
        <v>8.20126843452453E15</v>
      </c>
    </row>
    <row r="86">
      <c r="A86" s="1">
        <v>84.0</v>
      </c>
      <c r="B86" s="1" t="s">
        <v>14</v>
      </c>
      <c r="C86" s="1" t="s">
        <v>103</v>
      </c>
      <c r="D86" s="1" t="s">
        <v>9</v>
      </c>
      <c r="E86" s="1">
        <v>10.0</v>
      </c>
      <c r="F86" s="2">
        <v>7.36059045791626E14</v>
      </c>
    </row>
    <row r="87">
      <c r="A87" s="1">
        <v>85.0</v>
      </c>
      <c r="B87" s="1" t="s">
        <v>16</v>
      </c>
      <c r="C87" s="1" t="s">
        <v>104</v>
      </c>
      <c r="D87" s="1" t="s">
        <v>30</v>
      </c>
      <c r="E87" s="1">
        <v>8.0</v>
      </c>
      <c r="F87" s="2">
        <v>8.13694047927856E15</v>
      </c>
    </row>
    <row r="88">
      <c r="A88" s="1">
        <v>86.0</v>
      </c>
      <c r="B88" s="1" t="s">
        <v>18</v>
      </c>
      <c r="C88" s="1" t="s">
        <v>105</v>
      </c>
      <c r="D88" s="1" t="s">
        <v>9</v>
      </c>
      <c r="E88" s="1">
        <v>6.0</v>
      </c>
      <c r="F88" s="2">
        <v>6.66645336151123E16</v>
      </c>
    </row>
    <row r="89">
      <c r="A89" s="1">
        <v>87.0</v>
      </c>
      <c r="B89" s="1" t="s">
        <v>7</v>
      </c>
      <c r="C89" s="1" t="s">
        <v>106</v>
      </c>
      <c r="D89" s="1" t="s">
        <v>9</v>
      </c>
      <c r="E89" s="1">
        <v>6.0</v>
      </c>
      <c r="F89" s="2">
        <v>6.74284410476684E15</v>
      </c>
    </row>
    <row r="90">
      <c r="A90" s="1">
        <v>88.0</v>
      </c>
      <c r="B90" s="1" t="s">
        <v>14</v>
      </c>
      <c r="C90" s="1" t="s">
        <v>107</v>
      </c>
      <c r="D90" s="1" t="s">
        <v>28</v>
      </c>
      <c r="E90" s="1">
        <v>4.0</v>
      </c>
      <c r="F90" s="2">
        <v>6.74866843223571E15</v>
      </c>
    </row>
    <row r="91">
      <c r="A91" s="1">
        <v>89.0</v>
      </c>
      <c r="B91" s="1" t="s">
        <v>16</v>
      </c>
      <c r="C91" s="1" t="s">
        <v>108</v>
      </c>
      <c r="D91" s="1" t="s">
        <v>9</v>
      </c>
      <c r="E91" s="1">
        <v>4.0</v>
      </c>
      <c r="F91" s="2">
        <v>6.64732933044433E15</v>
      </c>
    </row>
    <row r="92">
      <c r="A92" s="1">
        <v>90.0</v>
      </c>
      <c r="B92" s="1" t="s">
        <v>18</v>
      </c>
      <c r="C92" s="1" t="s">
        <v>109</v>
      </c>
      <c r="D92" s="1" t="s">
        <v>28</v>
      </c>
      <c r="E92" s="1">
        <v>4.0</v>
      </c>
      <c r="F92" s="2">
        <v>6.7587730884552E13</v>
      </c>
    </row>
    <row r="93">
      <c r="A93" s="1">
        <v>91.0</v>
      </c>
      <c r="B93" s="1" t="s">
        <v>7</v>
      </c>
      <c r="C93" s="1" t="s">
        <v>110</v>
      </c>
      <c r="D93" s="1" t="s">
        <v>9</v>
      </c>
      <c r="E93" s="1">
        <v>6.0</v>
      </c>
      <c r="F93" s="2">
        <v>7.31162190437316E15</v>
      </c>
    </row>
    <row r="94">
      <c r="A94" s="1">
        <v>92.0</v>
      </c>
      <c r="B94" s="1" t="s">
        <v>14</v>
      </c>
      <c r="C94" s="1" t="s">
        <v>111</v>
      </c>
      <c r="D94" s="1" t="s">
        <v>28</v>
      </c>
      <c r="E94" s="1">
        <v>4.0</v>
      </c>
      <c r="F94" s="2">
        <v>6.08461356163024E15</v>
      </c>
    </row>
    <row r="95">
      <c r="A95" s="1">
        <v>93.0</v>
      </c>
      <c r="B95" s="1" t="s">
        <v>16</v>
      </c>
      <c r="C95" s="1" t="s">
        <v>112</v>
      </c>
      <c r="D95" s="1" t="s">
        <v>9</v>
      </c>
      <c r="E95" s="1">
        <v>5.0</v>
      </c>
      <c r="F95" s="2">
        <v>7.38641381263732E15</v>
      </c>
    </row>
    <row r="96">
      <c r="A96" s="1">
        <v>94.0</v>
      </c>
      <c r="B96" s="1" t="s">
        <v>18</v>
      </c>
      <c r="C96" s="1" t="s">
        <v>113</v>
      </c>
      <c r="D96" s="1" t="s">
        <v>28</v>
      </c>
      <c r="E96" s="1">
        <v>2.0</v>
      </c>
      <c r="F96" s="2">
        <v>6.85269260406494E15</v>
      </c>
    </row>
    <row r="97">
      <c r="A97" s="1">
        <v>95.0</v>
      </c>
      <c r="B97" s="1" t="s">
        <v>7</v>
      </c>
      <c r="C97" s="1" t="s">
        <v>114</v>
      </c>
      <c r="D97" s="1" t="s">
        <v>9</v>
      </c>
      <c r="E97" s="1">
        <v>5.0</v>
      </c>
      <c r="F97" s="2">
        <v>7.41769313812255E15</v>
      </c>
    </row>
    <row r="98">
      <c r="A98" s="1">
        <v>96.0</v>
      </c>
      <c r="B98" s="1" t="s">
        <v>14</v>
      </c>
      <c r="C98" s="1" t="s">
        <v>115</v>
      </c>
      <c r="D98" s="1" t="s">
        <v>9</v>
      </c>
      <c r="E98" s="1">
        <v>9.0</v>
      </c>
      <c r="F98" s="2">
        <v>6.67825555801391E15</v>
      </c>
    </row>
    <row r="99">
      <c r="A99" s="1">
        <v>97.0</v>
      </c>
      <c r="B99" s="1" t="s">
        <v>16</v>
      </c>
      <c r="C99" s="1" t="s">
        <v>116</v>
      </c>
      <c r="D99" s="1" t="s">
        <v>9</v>
      </c>
      <c r="E99" s="1">
        <v>6.0</v>
      </c>
      <c r="F99" s="2">
        <v>7.40257143974304E15</v>
      </c>
    </row>
    <row r="100">
      <c r="A100" s="1">
        <v>98.0</v>
      </c>
      <c r="B100" s="1" t="s">
        <v>18</v>
      </c>
      <c r="C100" s="1" t="s">
        <v>117</v>
      </c>
      <c r="D100" s="1" t="s">
        <v>9</v>
      </c>
      <c r="E100" s="1">
        <v>3.0</v>
      </c>
      <c r="F100" s="2">
        <v>6.64944958686828E15</v>
      </c>
    </row>
    <row r="101">
      <c r="A101" s="1">
        <v>99.0</v>
      </c>
      <c r="B101" s="1" t="s">
        <v>7</v>
      </c>
      <c r="C101" s="1" t="s">
        <v>118</v>
      </c>
      <c r="D101" s="1" t="s">
        <v>9</v>
      </c>
      <c r="E101" s="1">
        <v>9.0</v>
      </c>
      <c r="F101" s="2">
        <v>7.57952404022216E15</v>
      </c>
    </row>
    <row r="102">
      <c r="A102" s="1">
        <v>100.0</v>
      </c>
      <c r="B102" s="1" t="s">
        <v>14</v>
      </c>
      <c r="C102" s="1" t="s">
        <v>119</v>
      </c>
      <c r="D102" s="1" t="s">
        <v>28</v>
      </c>
      <c r="E102" s="1">
        <v>5.0</v>
      </c>
      <c r="F102" s="2">
        <v>6.87836718559265E15</v>
      </c>
    </row>
    <row r="103">
      <c r="A103" s="1">
        <v>101.0</v>
      </c>
      <c r="B103" s="1" t="s">
        <v>16</v>
      </c>
      <c r="C103" s="1" t="s">
        <v>120</v>
      </c>
      <c r="D103" s="1" t="s">
        <v>28</v>
      </c>
      <c r="E103" s="1">
        <v>3.0</v>
      </c>
      <c r="F103" s="2">
        <v>6.1183385848999E15</v>
      </c>
    </row>
    <row r="104">
      <c r="A104" s="1">
        <v>102.0</v>
      </c>
      <c r="B104" s="1" t="s">
        <v>18</v>
      </c>
      <c r="C104" s="1" t="s">
        <v>121</v>
      </c>
      <c r="D104" s="1" t="s">
        <v>9</v>
      </c>
      <c r="E104" s="1">
        <v>7.0</v>
      </c>
      <c r="F104" s="2">
        <v>7.39380764961242E15</v>
      </c>
    </row>
    <row r="105">
      <c r="A105" s="1">
        <v>103.0</v>
      </c>
      <c r="B105" s="1" t="s">
        <v>7</v>
      </c>
      <c r="C105" s="1" t="s">
        <v>122</v>
      </c>
      <c r="D105" s="1" t="s">
        <v>9</v>
      </c>
      <c r="E105" s="1">
        <v>9.0</v>
      </c>
      <c r="F105" s="2">
        <v>6.81417489051818E16</v>
      </c>
    </row>
    <row r="106">
      <c r="A106" s="1">
        <v>104.0</v>
      </c>
      <c r="B106" s="1" t="s">
        <v>14</v>
      </c>
      <c r="C106" s="1" t="s">
        <v>123</v>
      </c>
      <c r="D106" s="1" t="s">
        <v>9</v>
      </c>
      <c r="E106" s="1">
        <v>8.0</v>
      </c>
      <c r="F106" s="2">
        <v>5.97011518478393E16</v>
      </c>
    </row>
    <row r="107">
      <c r="A107" s="1">
        <v>105.0</v>
      </c>
      <c r="B107" s="1" t="s">
        <v>16</v>
      </c>
      <c r="C107" s="1" t="s">
        <v>124</v>
      </c>
      <c r="D107" s="1" t="s">
        <v>28</v>
      </c>
      <c r="E107" s="1">
        <v>2.0</v>
      </c>
      <c r="F107" s="2">
        <v>6.0549931526184E15</v>
      </c>
    </row>
    <row r="108">
      <c r="A108" s="1">
        <v>106.0</v>
      </c>
      <c r="B108" s="1" t="s">
        <v>7</v>
      </c>
      <c r="C108" s="1" t="s">
        <v>125</v>
      </c>
      <c r="D108" s="1" t="s">
        <v>30</v>
      </c>
      <c r="E108" s="1">
        <v>9.0</v>
      </c>
      <c r="F108" s="2">
        <v>7.40527033805847E15</v>
      </c>
    </row>
    <row r="109">
      <c r="A109" s="1">
        <v>107.0</v>
      </c>
      <c r="B109" s="1" t="s">
        <v>14</v>
      </c>
      <c r="C109" s="1" t="s">
        <v>126</v>
      </c>
      <c r="D109" s="1" t="s">
        <v>9</v>
      </c>
      <c r="E109" s="1">
        <v>8.0</v>
      </c>
      <c r="F109" s="2">
        <v>6.50089001655578E15</v>
      </c>
    </row>
    <row r="110">
      <c r="A110" s="1">
        <v>108.0</v>
      </c>
      <c r="B110" s="1" t="s">
        <v>16</v>
      </c>
      <c r="C110" s="1" t="s">
        <v>127</v>
      </c>
      <c r="D110" s="1" t="s">
        <v>28</v>
      </c>
      <c r="E110" s="1">
        <v>7.0</v>
      </c>
      <c r="F110" s="2">
        <v>6.69748139381408E15</v>
      </c>
    </row>
    <row r="111">
      <c r="A111" s="1">
        <v>109.0</v>
      </c>
      <c r="B111" s="1" t="s">
        <v>18</v>
      </c>
      <c r="C111" s="1" t="s">
        <v>128</v>
      </c>
      <c r="D111" s="1" t="s">
        <v>9</v>
      </c>
      <c r="E111" s="1">
        <v>7.0</v>
      </c>
      <c r="F111" s="2">
        <v>6.63901090621948E15</v>
      </c>
    </row>
    <row r="112">
      <c r="A112" s="1">
        <v>110.0</v>
      </c>
      <c r="B112" s="1" t="s">
        <v>7</v>
      </c>
      <c r="C112" s="1" t="s">
        <v>129</v>
      </c>
      <c r="D112" s="1" t="s">
        <v>9</v>
      </c>
      <c r="E112" s="1">
        <v>8.0</v>
      </c>
      <c r="F112" s="2">
        <v>8.22011876106262E15</v>
      </c>
    </row>
    <row r="113">
      <c r="A113" s="1">
        <v>111.0</v>
      </c>
      <c r="B113" s="1" t="s">
        <v>14</v>
      </c>
      <c r="C113" s="1" t="s">
        <v>130</v>
      </c>
      <c r="D113" s="1" t="s">
        <v>9</v>
      </c>
      <c r="E113" s="1">
        <v>8.0</v>
      </c>
      <c r="F113" s="2">
        <v>6.80396938323974E15</v>
      </c>
    </row>
    <row r="114">
      <c r="A114" s="1">
        <v>112.0</v>
      </c>
      <c r="B114" s="1" t="s">
        <v>16</v>
      </c>
      <c r="C114" s="1" t="s">
        <v>131</v>
      </c>
      <c r="D114" s="1" t="s">
        <v>28</v>
      </c>
      <c r="E114" s="1">
        <v>3.0</v>
      </c>
      <c r="F114" s="2">
        <v>6.78258609771728E15</v>
      </c>
    </row>
    <row r="115">
      <c r="A115" s="1">
        <v>113.0</v>
      </c>
      <c r="B115" s="1" t="s">
        <v>18</v>
      </c>
      <c r="C115" s="1" t="s">
        <v>132</v>
      </c>
      <c r="D115" s="1" t="s">
        <v>28</v>
      </c>
      <c r="E115" s="1">
        <v>2.0</v>
      </c>
      <c r="F115" s="2">
        <v>6.13966751098632E15</v>
      </c>
    </row>
    <row r="116">
      <c r="A116" s="1">
        <v>114.0</v>
      </c>
      <c r="B116" s="1" t="s">
        <v>7</v>
      </c>
      <c r="C116" s="1" t="s">
        <v>133</v>
      </c>
      <c r="D116" s="1" t="s">
        <v>9</v>
      </c>
      <c r="E116" s="1">
        <v>10.0</v>
      </c>
      <c r="F116" s="2">
        <v>7.4316725730896E13</v>
      </c>
    </row>
    <row r="117">
      <c r="A117" s="1">
        <v>115.0</v>
      </c>
      <c r="B117" s="1" t="s">
        <v>14</v>
      </c>
      <c r="C117" s="1" t="s">
        <v>134</v>
      </c>
      <c r="D117" s="1" t="s">
        <v>9</v>
      </c>
      <c r="E117" s="1">
        <v>9.0</v>
      </c>
      <c r="F117" s="2">
        <v>6.63916826248168E16</v>
      </c>
    </row>
    <row r="118">
      <c r="A118" s="1">
        <v>116.0</v>
      </c>
      <c r="B118" s="1" t="s">
        <v>16</v>
      </c>
      <c r="C118" s="1" t="s">
        <v>135</v>
      </c>
      <c r="D118" s="1" t="s">
        <v>28</v>
      </c>
      <c r="E118" s="1">
        <v>5.0</v>
      </c>
      <c r="F118" s="2">
        <v>6.04269766807556E16</v>
      </c>
    </row>
    <row r="119">
      <c r="A119" s="1">
        <v>117.0</v>
      </c>
      <c r="B119" s="1" t="s">
        <v>18</v>
      </c>
      <c r="C119" s="1" t="s">
        <v>136</v>
      </c>
      <c r="D119" s="1" t="s">
        <v>28</v>
      </c>
      <c r="E119" s="1">
        <v>6.0</v>
      </c>
      <c r="F119" s="2">
        <v>6.79808974266052E16</v>
      </c>
    </row>
    <row r="120">
      <c r="A120" s="1">
        <v>118.0</v>
      </c>
      <c r="B120" s="1" t="s">
        <v>7</v>
      </c>
      <c r="C120" s="1" t="s">
        <v>137</v>
      </c>
      <c r="D120" s="1" t="s">
        <v>9</v>
      </c>
      <c r="E120" s="1">
        <v>4.0</v>
      </c>
      <c r="F120" s="2">
        <v>6.70522570610046E15</v>
      </c>
    </row>
    <row r="121">
      <c r="A121" s="1">
        <v>119.0</v>
      </c>
      <c r="B121" s="1" t="s">
        <v>14</v>
      </c>
      <c r="C121" s="1" t="s">
        <v>138</v>
      </c>
      <c r="D121" s="1" t="s">
        <v>9</v>
      </c>
      <c r="E121" s="1">
        <v>8.0</v>
      </c>
      <c r="F121" s="2">
        <v>6.54524683952331E15</v>
      </c>
    </row>
    <row r="122">
      <c r="A122" s="1">
        <v>120.0</v>
      </c>
      <c r="B122" s="1" t="s">
        <v>16</v>
      </c>
      <c r="C122" s="1" t="s">
        <v>139</v>
      </c>
      <c r="D122" s="1" t="s">
        <v>9</v>
      </c>
      <c r="E122" s="1">
        <v>7.0</v>
      </c>
      <c r="F122" s="2">
        <v>7.30492711067199E15</v>
      </c>
    </row>
    <row r="123">
      <c r="A123" s="1">
        <v>121.0</v>
      </c>
      <c r="B123" s="1" t="s">
        <v>18</v>
      </c>
      <c r="C123" s="1" t="s">
        <v>140</v>
      </c>
      <c r="D123" s="1" t="s">
        <v>9</v>
      </c>
      <c r="E123" s="1">
        <v>6.0</v>
      </c>
      <c r="F123" s="2">
        <v>6.54643535614013E15</v>
      </c>
    </row>
    <row r="124">
      <c r="A124" s="1">
        <v>122.0</v>
      </c>
      <c r="B124" s="1" t="s">
        <v>7</v>
      </c>
      <c r="C124" s="1" t="s">
        <v>141</v>
      </c>
      <c r="D124" s="1" t="s">
        <v>9</v>
      </c>
      <c r="E124" s="1">
        <v>8.0</v>
      </c>
      <c r="F124" s="2">
        <v>6.6846272945404E15</v>
      </c>
    </row>
    <row r="125">
      <c r="A125" s="1">
        <v>123.0</v>
      </c>
      <c r="B125" s="1" t="s">
        <v>14</v>
      </c>
      <c r="C125" s="1" t="s">
        <v>142</v>
      </c>
      <c r="D125" s="1" t="s">
        <v>9</v>
      </c>
      <c r="E125" s="1">
        <v>8.0</v>
      </c>
      <c r="F125" s="2">
        <v>5.94974517822265E15</v>
      </c>
    </row>
    <row r="126">
      <c r="A126" s="1">
        <v>124.0</v>
      </c>
      <c r="B126" s="1" t="s">
        <v>16</v>
      </c>
      <c r="C126" s="1" t="s">
        <v>143</v>
      </c>
      <c r="D126" s="1" t="s">
        <v>28</v>
      </c>
      <c r="E126" s="1">
        <v>1.0</v>
      </c>
      <c r="F126" s="2">
        <v>6.76689481735229E15</v>
      </c>
    </row>
    <row r="127">
      <c r="A127" s="1">
        <v>125.0</v>
      </c>
      <c r="B127" s="1" t="s">
        <v>18</v>
      </c>
      <c r="C127" s="1" t="s">
        <v>144</v>
      </c>
      <c r="D127" s="1" t="s">
        <v>28</v>
      </c>
      <c r="E127" s="1">
        <v>6.0</v>
      </c>
      <c r="F127" s="2">
        <v>6.7428274154663E15</v>
      </c>
    </row>
    <row r="128">
      <c r="A128" s="1">
        <v>126.0</v>
      </c>
      <c r="B128" s="1" t="s">
        <v>7</v>
      </c>
      <c r="C128" s="1" t="s">
        <v>145</v>
      </c>
      <c r="D128" s="1" t="s">
        <v>9</v>
      </c>
      <c r="E128" s="1">
        <v>8.0</v>
      </c>
      <c r="F128" s="2">
        <v>7.4140133857727E15</v>
      </c>
    </row>
    <row r="129">
      <c r="A129" s="1">
        <v>127.0</v>
      </c>
      <c r="B129" s="1" t="s">
        <v>14</v>
      </c>
      <c r="C129" s="1" t="s">
        <v>146</v>
      </c>
      <c r="D129" s="1" t="s">
        <v>9</v>
      </c>
      <c r="E129" s="1">
        <v>8.0</v>
      </c>
      <c r="F129" s="2">
        <v>6.76024866104126E14</v>
      </c>
    </row>
    <row r="130">
      <c r="A130" s="1">
        <v>128.0</v>
      </c>
      <c r="B130" s="1" t="s">
        <v>16</v>
      </c>
      <c r="C130" s="1" t="s">
        <v>147</v>
      </c>
      <c r="D130" s="1" t="s">
        <v>28</v>
      </c>
      <c r="E130" s="1">
        <v>6.0</v>
      </c>
      <c r="F130" s="2">
        <v>6.12613940238952E15</v>
      </c>
    </row>
    <row r="131">
      <c r="A131" s="1">
        <v>129.0</v>
      </c>
      <c r="B131" s="1" t="s">
        <v>18</v>
      </c>
      <c r="C131" s="1" t="s">
        <v>148</v>
      </c>
      <c r="D131" s="1" t="s">
        <v>28</v>
      </c>
      <c r="E131" s="1">
        <v>6.0</v>
      </c>
      <c r="F131" s="2">
        <v>6.71650338172912E15</v>
      </c>
    </row>
    <row r="132">
      <c r="A132" s="1">
        <v>130.0</v>
      </c>
      <c r="B132" s="1" t="s">
        <v>7</v>
      </c>
      <c r="C132" s="1" t="s">
        <v>149</v>
      </c>
      <c r="D132" s="1" t="s">
        <v>9</v>
      </c>
      <c r="E132" s="1">
        <v>8.0</v>
      </c>
      <c r="F132" s="2">
        <v>7.30727052688598E15</v>
      </c>
    </row>
    <row r="133">
      <c r="A133" s="1">
        <v>131.0</v>
      </c>
      <c r="B133" s="1" t="s">
        <v>14</v>
      </c>
      <c r="C133" s="1" t="s">
        <v>150</v>
      </c>
      <c r="D133" s="1" t="s">
        <v>9</v>
      </c>
      <c r="E133" s="1">
        <v>10.0</v>
      </c>
      <c r="F133" s="2">
        <v>6.62778854370117E15</v>
      </c>
    </row>
    <row r="134">
      <c r="A134" s="1">
        <v>132.0</v>
      </c>
      <c r="B134" s="1" t="s">
        <v>16</v>
      </c>
      <c r="C134" s="1" t="s">
        <v>151</v>
      </c>
      <c r="D134" s="1" t="s">
        <v>9</v>
      </c>
      <c r="E134" s="1">
        <v>7.0</v>
      </c>
      <c r="F134" s="2">
        <v>6.72576165199279E15</v>
      </c>
    </row>
    <row r="135">
      <c r="A135" s="1">
        <v>133.0</v>
      </c>
      <c r="B135" s="1" t="s">
        <v>18</v>
      </c>
      <c r="C135" s="1" t="s">
        <v>152</v>
      </c>
      <c r="D135" s="1" t="s">
        <v>28</v>
      </c>
      <c r="E135" s="1">
        <v>5.0</v>
      </c>
      <c r="F135" s="2">
        <v>6.83116364479064E15</v>
      </c>
    </row>
    <row r="136">
      <c r="A136" s="1">
        <v>134.0</v>
      </c>
      <c r="B136" s="1" t="s">
        <v>7</v>
      </c>
      <c r="C136" s="1" t="s">
        <v>153</v>
      </c>
      <c r="D136" s="1" t="s">
        <v>28</v>
      </c>
      <c r="E136" s="1">
        <v>2.0</v>
      </c>
      <c r="F136" s="2">
        <v>6.7593400478363E15</v>
      </c>
    </row>
    <row r="137">
      <c r="A137" s="1">
        <v>135.0</v>
      </c>
      <c r="B137" s="1" t="s">
        <v>14</v>
      </c>
      <c r="C137" s="1" t="s">
        <v>154</v>
      </c>
      <c r="D137" s="1" t="s">
        <v>9</v>
      </c>
      <c r="E137" s="1">
        <v>3.0</v>
      </c>
      <c r="F137" s="2">
        <v>6.72187733650207E15</v>
      </c>
    </row>
    <row r="138">
      <c r="A138" s="1">
        <v>136.0</v>
      </c>
      <c r="B138" s="1" t="s">
        <v>16</v>
      </c>
      <c r="C138" s="1" t="s">
        <v>155</v>
      </c>
      <c r="D138" s="1" t="s">
        <v>28</v>
      </c>
      <c r="E138" s="1">
        <v>3.0</v>
      </c>
      <c r="F138" s="2">
        <v>6.94703078269958E15</v>
      </c>
    </row>
    <row r="139">
      <c r="A139" s="1">
        <v>137.0</v>
      </c>
      <c r="B139" s="1" t="s">
        <v>18</v>
      </c>
      <c r="C139" s="1" t="s">
        <v>156</v>
      </c>
      <c r="D139" s="1" t="s">
        <v>28</v>
      </c>
      <c r="E139" s="1">
        <v>6.0</v>
      </c>
      <c r="F139" s="2">
        <v>6.81407260894775E15</v>
      </c>
    </row>
    <row r="140">
      <c r="A140" s="1">
        <v>138.0</v>
      </c>
      <c r="B140" s="1" t="s">
        <v>7</v>
      </c>
      <c r="C140" s="1" t="s">
        <v>157</v>
      </c>
      <c r="D140" s="1" t="s">
        <v>30</v>
      </c>
      <c r="E140" s="1">
        <v>10.0</v>
      </c>
      <c r="F140" s="2">
        <v>9.70012712478637E15</v>
      </c>
    </row>
    <row r="141">
      <c r="A141" s="1">
        <v>139.0</v>
      </c>
      <c r="B141" s="1" t="s">
        <v>14</v>
      </c>
      <c r="C141" s="1" t="s">
        <v>158</v>
      </c>
      <c r="D141" s="1" t="s">
        <v>30</v>
      </c>
      <c r="E141" s="1">
        <v>10.0</v>
      </c>
      <c r="F141" s="2">
        <v>7.3891270160675E15</v>
      </c>
    </row>
    <row r="142">
      <c r="A142" s="1">
        <v>140.0</v>
      </c>
      <c r="B142" s="1" t="s">
        <v>16</v>
      </c>
      <c r="C142" s="1" t="s">
        <v>159</v>
      </c>
      <c r="D142" s="1" t="s">
        <v>9</v>
      </c>
      <c r="E142" s="1">
        <v>8.0</v>
      </c>
      <c r="F142" s="2">
        <v>8.92338418960571E15</v>
      </c>
    </row>
    <row r="143">
      <c r="A143" s="1">
        <v>141.0</v>
      </c>
      <c r="B143" s="1" t="s">
        <v>18</v>
      </c>
      <c r="C143" s="1" t="s">
        <v>160</v>
      </c>
      <c r="D143" s="1" t="s">
        <v>9</v>
      </c>
      <c r="E143" s="1">
        <v>9.0</v>
      </c>
      <c r="F143" s="2">
        <v>7.38531804084777E15</v>
      </c>
    </row>
    <row r="144">
      <c r="A144" s="1">
        <v>142.0</v>
      </c>
      <c r="B144" s="1" t="s">
        <v>7</v>
      </c>
      <c r="C144" s="1" t="s">
        <v>161</v>
      </c>
      <c r="D144" s="1" t="s">
        <v>9</v>
      </c>
      <c r="E144" s="1">
        <v>6.0</v>
      </c>
      <c r="F144" s="2">
        <v>7.51784205436706E15</v>
      </c>
    </row>
    <row r="145">
      <c r="A145" s="1">
        <v>143.0</v>
      </c>
      <c r="B145" s="1" t="s">
        <v>14</v>
      </c>
      <c r="C145" s="1" t="s">
        <v>162</v>
      </c>
      <c r="D145" s="1" t="s">
        <v>9</v>
      </c>
      <c r="E145" s="1">
        <v>6.0</v>
      </c>
      <c r="F145" s="2">
        <v>7.58194160461425E15</v>
      </c>
    </row>
    <row r="146">
      <c r="A146" s="1">
        <v>144.0</v>
      </c>
      <c r="B146" s="1" t="s">
        <v>16</v>
      </c>
      <c r="C146" s="1" t="s">
        <v>163</v>
      </c>
      <c r="D146" s="1" t="s">
        <v>9</v>
      </c>
      <c r="E146" s="1">
        <v>6.0</v>
      </c>
      <c r="F146" s="2">
        <v>7.53509855270385E15</v>
      </c>
    </row>
    <row r="147">
      <c r="A147" s="1">
        <v>145.0</v>
      </c>
      <c r="B147" s="1" t="s">
        <v>7</v>
      </c>
      <c r="C147" s="1" t="s">
        <v>164</v>
      </c>
      <c r="D147" s="1" t="s">
        <v>9</v>
      </c>
      <c r="E147" s="1">
        <v>5.0</v>
      </c>
      <c r="F147" s="2">
        <v>6.70355534553527E15</v>
      </c>
    </row>
    <row r="148">
      <c r="A148" s="1">
        <v>146.0</v>
      </c>
      <c r="B148" s="1" t="s">
        <v>14</v>
      </c>
      <c r="C148" s="1" t="s">
        <v>165</v>
      </c>
      <c r="D148" s="1" t="s">
        <v>9</v>
      </c>
      <c r="E148" s="1">
        <v>9.0</v>
      </c>
      <c r="F148" s="2">
        <v>6.7799379825592E15</v>
      </c>
    </row>
    <row r="149">
      <c r="A149" s="1">
        <v>147.0</v>
      </c>
      <c r="B149" s="1" t="s">
        <v>16</v>
      </c>
      <c r="C149" s="1" t="s">
        <v>166</v>
      </c>
      <c r="D149" s="1" t="s">
        <v>9</v>
      </c>
      <c r="E149" s="1">
        <v>6.0</v>
      </c>
      <c r="F149" s="2">
        <v>6.62186074256897E14</v>
      </c>
    </row>
    <row r="150">
      <c r="A150" s="1">
        <v>148.0</v>
      </c>
      <c r="B150" s="1" t="s">
        <v>18</v>
      </c>
      <c r="C150" s="1" t="s">
        <v>167</v>
      </c>
      <c r="D150" s="1" t="s">
        <v>9</v>
      </c>
      <c r="E150" s="1">
        <v>6.0</v>
      </c>
      <c r="F150" s="2">
        <v>5.91788530349731E16</v>
      </c>
    </row>
    <row r="151">
      <c r="A151" s="1">
        <v>149.0</v>
      </c>
      <c r="B151" s="1" t="s">
        <v>7</v>
      </c>
      <c r="C151" s="1" t="s">
        <v>168</v>
      </c>
      <c r="D151" s="1" t="s">
        <v>30</v>
      </c>
      <c r="E151" s="1">
        <v>10.0</v>
      </c>
      <c r="F151" s="2">
        <v>7.32453751564025E15</v>
      </c>
    </row>
    <row r="152">
      <c r="A152" s="1">
        <v>150.0</v>
      </c>
      <c r="B152" s="1" t="s">
        <v>14</v>
      </c>
      <c r="C152" s="1" t="s">
        <v>169</v>
      </c>
      <c r="D152" s="1" t="s">
        <v>9</v>
      </c>
      <c r="E152" s="1">
        <v>7.0</v>
      </c>
      <c r="F152" s="2">
        <v>6.5627851486206E16</v>
      </c>
    </row>
    <row r="153">
      <c r="A153" s="1">
        <v>151.0</v>
      </c>
      <c r="B153" s="1" t="s">
        <v>16</v>
      </c>
      <c r="C153" s="1" t="s">
        <v>170</v>
      </c>
      <c r="D153" s="1" t="s">
        <v>9</v>
      </c>
      <c r="E153" s="1">
        <v>9.0</v>
      </c>
      <c r="F153" s="2">
        <v>7.32866024971008E15</v>
      </c>
    </row>
    <row r="154">
      <c r="A154" s="1">
        <v>152.0</v>
      </c>
      <c r="B154" s="1" t="s">
        <v>18</v>
      </c>
      <c r="C154" s="1" t="s">
        <v>171</v>
      </c>
      <c r="D154" s="1" t="s">
        <v>9</v>
      </c>
      <c r="E154" s="1">
        <v>6.0</v>
      </c>
      <c r="F154" s="2">
        <v>6.71549940109252E15</v>
      </c>
    </row>
    <row r="155">
      <c r="A155" s="1">
        <v>153.0</v>
      </c>
      <c r="B155" s="1" t="s">
        <v>7</v>
      </c>
      <c r="C155" s="1" t="s">
        <v>172</v>
      </c>
      <c r="D155" s="1" t="s">
        <v>30</v>
      </c>
      <c r="E155" s="1">
        <v>8.0</v>
      </c>
      <c r="F155" s="2">
        <v>7.46223473548889E15</v>
      </c>
    </row>
    <row r="156">
      <c r="A156" s="1">
        <v>154.0</v>
      </c>
      <c r="B156" s="1" t="s">
        <v>14</v>
      </c>
      <c r="C156" s="1" t="s">
        <v>173</v>
      </c>
      <c r="D156" s="1" t="s">
        <v>9</v>
      </c>
      <c r="E156" s="1">
        <v>8.0</v>
      </c>
      <c r="F156" s="2">
        <v>5.97204446792602E15</v>
      </c>
    </row>
    <row r="157">
      <c r="A157" s="1">
        <v>155.0</v>
      </c>
      <c r="B157" s="1" t="s">
        <v>16</v>
      </c>
      <c r="C157" s="1" t="s">
        <v>174</v>
      </c>
      <c r="D157" s="1" t="s">
        <v>28</v>
      </c>
      <c r="E157" s="1">
        <v>4.0</v>
      </c>
      <c r="F157" s="2">
        <v>6.77249979972839E16</v>
      </c>
    </row>
    <row r="158">
      <c r="A158" s="1">
        <v>156.0</v>
      </c>
      <c r="B158" s="1" t="s">
        <v>18</v>
      </c>
      <c r="C158" s="1" t="s">
        <v>175</v>
      </c>
      <c r="D158" s="1" t="s">
        <v>28</v>
      </c>
      <c r="E158" s="1">
        <v>4.0</v>
      </c>
      <c r="F158" s="2">
        <v>6.78296971321106E14</v>
      </c>
    </row>
    <row r="159">
      <c r="A159" s="1">
        <v>157.0</v>
      </c>
      <c r="B159" s="1" t="s">
        <v>7</v>
      </c>
      <c r="C159" s="1" t="s">
        <v>176</v>
      </c>
      <c r="D159" s="1" t="s">
        <v>9</v>
      </c>
      <c r="E159" s="1">
        <v>7.0</v>
      </c>
      <c r="F159" s="2">
        <v>8.22366261482238E15</v>
      </c>
    </row>
    <row r="160">
      <c r="A160" s="1">
        <v>158.0</v>
      </c>
      <c r="B160" s="1" t="s">
        <v>14</v>
      </c>
      <c r="C160" s="1" t="s">
        <v>177</v>
      </c>
      <c r="D160" s="1" t="s">
        <v>9</v>
      </c>
      <c r="E160" s="1">
        <v>5.0</v>
      </c>
      <c r="F160" s="2">
        <v>7.28412222862243E16</v>
      </c>
    </row>
    <row r="161">
      <c r="A161" s="1">
        <v>159.0</v>
      </c>
      <c r="B161" s="1" t="s">
        <v>16</v>
      </c>
      <c r="C161" s="1" t="s">
        <v>178</v>
      </c>
      <c r="D161" s="1" t="s">
        <v>9</v>
      </c>
      <c r="E161" s="1">
        <v>7.0</v>
      </c>
      <c r="F161" s="2">
        <v>8.19973134994506E15</v>
      </c>
    </row>
    <row r="162">
      <c r="A162" s="1">
        <v>160.0</v>
      </c>
      <c r="B162" s="1" t="s">
        <v>18</v>
      </c>
      <c r="C162" s="1" t="s">
        <v>179</v>
      </c>
      <c r="D162" s="1" t="s">
        <v>9</v>
      </c>
      <c r="E162" s="1">
        <v>6.0</v>
      </c>
      <c r="F162" s="2">
        <v>6.69637846946716E15</v>
      </c>
    </row>
    <row r="163">
      <c r="A163" s="1">
        <v>161.0</v>
      </c>
      <c r="B163" s="1" t="s">
        <v>7</v>
      </c>
      <c r="C163" s="1" t="s">
        <v>180</v>
      </c>
      <c r="D163" s="1" t="s">
        <v>30</v>
      </c>
      <c r="E163" s="1">
        <v>9.0</v>
      </c>
      <c r="F163" s="2">
        <v>7.32944154739379E15</v>
      </c>
    </row>
    <row r="164">
      <c r="A164" s="1">
        <v>162.0</v>
      </c>
      <c r="B164" s="1" t="s">
        <v>14</v>
      </c>
      <c r="C164" s="1" t="s">
        <v>181</v>
      </c>
      <c r="D164" s="1" t="s">
        <v>9</v>
      </c>
      <c r="E164" s="1">
        <v>10.0</v>
      </c>
      <c r="F164" s="2">
        <v>6.56162285804748E15</v>
      </c>
    </row>
    <row r="165">
      <c r="A165" s="1">
        <v>163.0</v>
      </c>
      <c r="B165" s="1" t="s">
        <v>16</v>
      </c>
      <c r="C165" s="1" t="s">
        <v>182</v>
      </c>
      <c r="D165" s="1" t="s">
        <v>30</v>
      </c>
      <c r="E165" s="1">
        <v>9.0</v>
      </c>
      <c r="F165" s="2">
        <v>7.36464309692382E15</v>
      </c>
    </row>
    <row r="166">
      <c r="A166" s="1">
        <v>164.0</v>
      </c>
      <c r="B166" s="1" t="s">
        <v>7</v>
      </c>
      <c r="C166" s="1" t="s">
        <v>183</v>
      </c>
      <c r="D166" s="1" t="s">
        <v>28</v>
      </c>
      <c r="E166" s="1">
        <v>3.0</v>
      </c>
      <c r="F166" s="2">
        <v>6.72274708747863E15</v>
      </c>
    </row>
    <row r="167">
      <c r="A167" s="1">
        <v>165.0</v>
      </c>
      <c r="B167" s="1" t="s">
        <v>14</v>
      </c>
      <c r="C167" s="1" t="s">
        <v>184</v>
      </c>
      <c r="D167" s="1" t="s">
        <v>28</v>
      </c>
      <c r="E167" s="1">
        <v>1.0</v>
      </c>
      <c r="F167" s="2">
        <v>6.67706632614135E15</v>
      </c>
    </row>
    <row r="168">
      <c r="A168" s="1">
        <v>166.0</v>
      </c>
      <c r="B168" s="1" t="s">
        <v>16</v>
      </c>
      <c r="C168" s="1" t="s">
        <v>185</v>
      </c>
      <c r="D168" s="1" t="s">
        <v>28</v>
      </c>
      <c r="E168" s="1">
        <v>2.0</v>
      </c>
      <c r="F168" s="2">
        <v>6.7564857006073E13</v>
      </c>
    </row>
    <row r="169">
      <c r="A169" s="1">
        <v>167.0</v>
      </c>
      <c r="B169" s="1" t="s">
        <v>18</v>
      </c>
      <c r="C169" s="1" t="s">
        <v>186</v>
      </c>
      <c r="D169" s="1" t="s">
        <v>28</v>
      </c>
      <c r="E169" s="1">
        <v>1.0</v>
      </c>
      <c r="F169" s="2">
        <v>6.08262419700622E15</v>
      </c>
    </row>
    <row r="170">
      <c r="A170" s="1">
        <v>168.0</v>
      </c>
      <c r="B170" s="1" t="s">
        <v>7</v>
      </c>
      <c r="C170" s="1" t="s">
        <v>187</v>
      </c>
      <c r="D170" s="1" t="s">
        <v>30</v>
      </c>
      <c r="E170" s="1">
        <v>9.0</v>
      </c>
      <c r="F170" s="2">
        <v>7.43521070480346E15</v>
      </c>
    </row>
    <row r="171">
      <c r="A171" s="1">
        <v>169.0</v>
      </c>
      <c r="B171" s="1" t="s">
        <v>14</v>
      </c>
      <c r="C171" s="1" t="s">
        <v>188</v>
      </c>
      <c r="D171" s="1" t="s">
        <v>9</v>
      </c>
      <c r="E171" s="1">
        <v>9.0</v>
      </c>
      <c r="F171" s="2">
        <v>7.4969573020935E15</v>
      </c>
    </row>
    <row r="172">
      <c r="A172" s="1">
        <v>170.0</v>
      </c>
      <c r="B172" s="1" t="s">
        <v>16</v>
      </c>
      <c r="C172" s="1" t="s">
        <v>189</v>
      </c>
      <c r="D172" s="1" t="s">
        <v>9</v>
      </c>
      <c r="E172" s="1">
        <v>8.0</v>
      </c>
      <c r="F172" s="2">
        <v>6.69653701782226E15</v>
      </c>
    </row>
    <row r="173">
      <c r="A173" s="1">
        <v>171.0</v>
      </c>
      <c r="B173" s="1" t="s">
        <v>18</v>
      </c>
      <c r="C173" s="1" t="s">
        <v>190</v>
      </c>
      <c r="D173" s="1" t="s">
        <v>9</v>
      </c>
      <c r="E173" s="1">
        <v>9.0</v>
      </c>
      <c r="F173" s="2">
        <v>7.37143588066101E15</v>
      </c>
    </row>
    <row r="174">
      <c r="A174" s="1">
        <v>172.0</v>
      </c>
      <c r="B174" s="1" t="s">
        <v>7</v>
      </c>
      <c r="C174" s="1" t="s">
        <v>191</v>
      </c>
      <c r="D174" s="1" t="s">
        <v>28</v>
      </c>
      <c r="E174" s="1">
        <v>5.0</v>
      </c>
      <c r="F174" s="2">
        <v>6.73153853416442E15</v>
      </c>
    </row>
    <row r="175">
      <c r="A175" s="1">
        <v>173.0</v>
      </c>
      <c r="B175" s="1" t="s">
        <v>14</v>
      </c>
      <c r="C175" s="1" t="s">
        <v>192</v>
      </c>
      <c r="D175" s="1" t="s">
        <v>9</v>
      </c>
      <c r="E175" s="1">
        <v>3.0</v>
      </c>
      <c r="F175" s="2">
        <v>6.5547776222229E13</v>
      </c>
    </row>
    <row r="176">
      <c r="A176" s="1">
        <v>174.0</v>
      </c>
      <c r="B176" s="1" t="s">
        <v>16</v>
      </c>
      <c r="C176" s="1" t="s">
        <v>193</v>
      </c>
      <c r="D176" s="1" t="s">
        <v>28</v>
      </c>
      <c r="E176" s="1">
        <v>2.0</v>
      </c>
      <c r="F176" s="2">
        <v>6.69335651397705E15</v>
      </c>
    </row>
    <row r="177">
      <c r="A177" s="1">
        <v>175.0</v>
      </c>
      <c r="B177" s="1" t="s">
        <v>18</v>
      </c>
      <c r="C177" s="1" t="s">
        <v>194</v>
      </c>
      <c r="D177" s="1" t="s">
        <v>28</v>
      </c>
      <c r="E177" s="1">
        <v>2.0</v>
      </c>
      <c r="F177" s="2">
        <v>6.01565289497375E15</v>
      </c>
    </row>
    <row r="178">
      <c r="A178" s="1">
        <v>176.0</v>
      </c>
      <c r="B178" s="1" t="s">
        <v>7</v>
      </c>
      <c r="C178" s="1" t="s">
        <v>195</v>
      </c>
      <c r="D178" s="1" t="s">
        <v>9</v>
      </c>
      <c r="E178" s="1">
        <v>6.0</v>
      </c>
      <c r="F178" s="2">
        <v>8.13382863998413E14</v>
      </c>
    </row>
    <row r="179">
      <c r="A179" s="1">
        <v>177.0</v>
      </c>
      <c r="B179" s="1" t="s">
        <v>14</v>
      </c>
      <c r="C179" s="1" t="s">
        <v>196</v>
      </c>
      <c r="D179" s="1" t="s">
        <v>9</v>
      </c>
      <c r="E179" s="1">
        <v>3.0</v>
      </c>
      <c r="F179" s="2">
        <v>6.69002771377563E15</v>
      </c>
    </row>
    <row r="180">
      <c r="A180" s="1">
        <v>178.0</v>
      </c>
      <c r="B180" s="1" t="s">
        <v>16</v>
      </c>
      <c r="C180" s="1" t="s">
        <v>197</v>
      </c>
      <c r="D180" s="1" t="s">
        <v>28</v>
      </c>
      <c r="E180" s="1">
        <v>4.0</v>
      </c>
      <c r="F180" s="2">
        <v>6.84652137756347E15</v>
      </c>
    </row>
    <row r="181">
      <c r="A181" s="1">
        <v>179.0</v>
      </c>
      <c r="B181" s="1" t="s">
        <v>18</v>
      </c>
      <c r="C181" s="1" t="s">
        <v>198</v>
      </c>
      <c r="D181" s="1" t="s">
        <v>28</v>
      </c>
      <c r="E181" s="1">
        <v>5.0</v>
      </c>
      <c r="F181" s="2">
        <v>6.76276683807373E16</v>
      </c>
    </row>
    <row r="182">
      <c r="A182" s="1">
        <v>180.0</v>
      </c>
      <c r="B182" s="1" t="s">
        <v>7</v>
      </c>
      <c r="C182" s="1" t="s">
        <v>199</v>
      </c>
      <c r="D182" s="1" t="s">
        <v>9</v>
      </c>
      <c r="E182" s="1">
        <v>9.0</v>
      </c>
      <c r="F182" s="2">
        <v>7.51101064682006E15</v>
      </c>
    </row>
    <row r="183">
      <c r="A183" s="1">
        <v>181.0</v>
      </c>
      <c r="B183" s="1" t="s">
        <v>14</v>
      </c>
      <c r="C183" s="1" t="s">
        <v>200</v>
      </c>
      <c r="D183" s="1" t="s">
        <v>9</v>
      </c>
      <c r="E183" s="1">
        <v>8.0</v>
      </c>
      <c r="F183" s="2">
        <v>8.18121695518493E15</v>
      </c>
    </row>
    <row r="184">
      <c r="A184" s="1">
        <v>182.0</v>
      </c>
      <c r="B184" s="1" t="s">
        <v>16</v>
      </c>
      <c r="C184" s="1" t="s">
        <v>201</v>
      </c>
      <c r="D184" s="1" t="s">
        <v>9</v>
      </c>
      <c r="E184" s="1">
        <v>7.0</v>
      </c>
      <c r="F184" s="2">
        <v>7.29826116561889E16</v>
      </c>
    </row>
    <row r="185">
      <c r="A185" s="1">
        <v>183.0</v>
      </c>
      <c r="B185" s="1" t="s">
        <v>18</v>
      </c>
      <c r="C185" s="1" t="s">
        <v>202</v>
      </c>
      <c r="D185" s="1" t="s">
        <v>9</v>
      </c>
      <c r="E185" s="1">
        <v>7.0</v>
      </c>
      <c r="F185" s="2">
        <v>6.6915431022644E15</v>
      </c>
    </row>
    <row r="186">
      <c r="A186" s="1">
        <v>184.0</v>
      </c>
      <c r="B186" s="1" t="s">
        <v>7</v>
      </c>
      <c r="C186" s="1" t="s">
        <v>203</v>
      </c>
      <c r="D186" s="1" t="s">
        <v>9</v>
      </c>
      <c r="E186" s="1">
        <v>9.0</v>
      </c>
      <c r="F186" s="2">
        <v>7.30088114738464E16</v>
      </c>
    </row>
    <row r="187">
      <c r="A187" s="1">
        <v>185.0</v>
      </c>
      <c r="B187" s="1" t="s">
        <v>14</v>
      </c>
      <c r="C187" s="1" t="s">
        <v>204</v>
      </c>
      <c r="D187" s="1" t="s">
        <v>9</v>
      </c>
      <c r="E187" s="1">
        <v>5.0</v>
      </c>
      <c r="F187" s="2">
        <v>7.30363631248474E15</v>
      </c>
    </row>
    <row r="188">
      <c r="A188" s="1">
        <v>186.0</v>
      </c>
      <c r="B188" s="1" t="s">
        <v>16</v>
      </c>
      <c r="C188" s="1" t="s">
        <v>205</v>
      </c>
      <c r="D188" s="1" t="s">
        <v>9</v>
      </c>
      <c r="E188" s="1">
        <v>6.0</v>
      </c>
      <c r="F188" s="2">
        <v>7.28897142410278E15</v>
      </c>
    </row>
    <row r="189">
      <c r="A189" s="1">
        <v>187.0</v>
      </c>
      <c r="B189" s="1" t="s">
        <v>18</v>
      </c>
      <c r="C189" s="1" t="s">
        <v>206</v>
      </c>
      <c r="D189" s="1" t="s">
        <v>9</v>
      </c>
      <c r="E189" s="1">
        <v>6.0</v>
      </c>
      <c r="F189" s="2">
        <v>6.57226538658142E15</v>
      </c>
    </row>
    <row r="190">
      <c r="A190" s="1">
        <v>188.0</v>
      </c>
      <c r="B190" s="1" t="s">
        <v>7</v>
      </c>
      <c r="C190" s="1" t="s">
        <v>207</v>
      </c>
      <c r="D190" s="1" t="s">
        <v>30</v>
      </c>
      <c r="E190" s="1">
        <v>10.0</v>
      </c>
      <c r="F190" s="2">
        <v>6.75354123115539E16</v>
      </c>
    </row>
    <row r="191">
      <c r="A191" s="1">
        <v>189.0</v>
      </c>
      <c r="B191" s="1" t="s">
        <v>14</v>
      </c>
      <c r="C191" s="1" t="s">
        <v>208</v>
      </c>
      <c r="D191" s="1" t="s">
        <v>9</v>
      </c>
      <c r="E191" s="1">
        <v>9.0</v>
      </c>
      <c r="F191" s="2">
        <v>6.76910805702209E15</v>
      </c>
    </row>
    <row r="192">
      <c r="A192" s="1">
        <v>190.0</v>
      </c>
      <c r="B192" s="1" t="s">
        <v>16</v>
      </c>
      <c r="C192" s="1" t="s">
        <v>209</v>
      </c>
      <c r="D192" s="1" t="s">
        <v>9</v>
      </c>
      <c r="E192" s="1">
        <v>8.0</v>
      </c>
      <c r="F192" s="2">
        <v>6.69962239265441E15</v>
      </c>
    </row>
    <row r="193">
      <c r="A193" s="1">
        <v>191.0</v>
      </c>
      <c r="B193" s="1" t="s">
        <v>18</v>
      </c>
      <c r="C193" s="1" t="s">
        <v>210</v>
      </c>
      <c r="D193" s="1" t="s">
        <v>9</v>
      </c>
      <c r="E193" s="1">
        <v>9.0</v>
      </c>
      <c r="F193" s="2">
        <v>6.63891649246215E15</v>
      </c>
    </row>
    <row r="194">
      <c r="A194" s="1">
        <v>192.0</v>
      </c>
      <c r="B194" s="1" t="s">
        <v>7</v>
      </c>
      <c r="C194" s="1" t="s">
        <v>211</v>
      </c>
      <c r="D194" s="1" t="s">
        <v>28</v>
      </c>
      <c r="E194" s="1">
        <v>4.0</v>
      </c>
      <c r="F194" s="2">
        <v>6.75693178176879E15</v>
      </c>
    </row>
    <row r="195">
      <c r="A195" s="1">
        <v>193.0</v>
      </c>
      <c r="B195" s="1" t="s">
        <v>14</v>
      </c>
      <c r="C195" s="1" t="s">
        <v>212</v>
      </c>
      <c r="D195" s="1" t="s">
        <v>28</v>
      </c>
      <c r="E195" s="1">
        <v>2.0</v>
      </c>
      <c r="F195" s="2">
        <v>6.72754049301147E15</v>
      </c>
    </row>
    <row r="196">
      <c r="A196" s="1">
        <v>194.0</v>
      </c>
      <c r="B196" s="1" t="s">
        <v>16</v>
      </c>
      <c r="C196" s="1" t="s">
        <v>213</v>
      </c>
      <c r="D196" s="1" t="s">
        <v>28</v>
      </c>
      <c r="E196" s="1">
        <v>4.0</v>
      </c>
      <c r="F196" s="2">
        <v>6.79181957244873E16</v>
      </c>
    </row>
    <row r="197">
      <c r="A197" s="1">
        <v>195.0</v>
      </c>
      <c r="B197" s="1" t="s">
        <v>18</v>
      </c>
      <c r="C197" s="1" t="s">
        <v>214</v>
      </c>
      <c r="D197" s="1" t="s">
        <v>9</v>
      </c>
      <c r="E197" s="1">
        <v>7.0</v>
      </c>
      <c r="F197" s="2">
        <v>6.59540748596191E15</v>
      </c>
    </row>
    <row r="198">
      <c r="A198" s="1">
        <v>196.0</v>
      </c>
      <c r="B198" s="1" t="s">
        <v>7</v>
      </c>
      <c r="C198" s="1" t="s">
        <v>215</v>
      </c>
      <c r="D198" s="1" t="s">
        <v>9</v>
      </c>
      <c r="E198" s="1">
        <v>5.0</v>
      </c>
      <c r="F198" s="2">
        <v>6.63931393623352E16</v>
      </c>
    </row>
    <row r="199">
      <c r="A199" s="1">
        <v>197.0</v>
      </c>
      <c r="B199" s="1" t="s">
        <v>14</v>
      </c>
      <c r="C199" s="1" t="s">
        <v>216</v>
      </c>
      <c r="D199" s="1" t="s">
        <v>9</v>
      </c>
      <c r="E199" s="1">
        <v>4.0</v>
      </c>
      <c r="F199" s="2">
        <v>7.30169034004211E15</v>
      </c>
    </row>
    <row r="200">
      <c r="A200" s="1">
        <v>198.0</v>
      </c>
      <c r="B200" s="1" t="s">
        <v>16</v>
      </c>
      <c r="C200" s="1" t="s">
        <v>217</v>
      </c>
      <c r="D200" s="1" t="s">
        <v>28</v>
      </c>
      <c r="E200" s="1">
        <v>3.0</v>
      </c>
      <c r="F200" s="2">
        <v>6.70236635208129E15</v>
      </c>
    </row>
    <row r="201">
      <c r="A201" s="1">
        <v>199.0</v>
      </c>
      <c r="B201" s="1" t="s">
        <v>18</v>
      </c>
      <c r="C201" s="1" t="s">
        <v>218</v>
      </c>
      <c r="D201" s="1" t="s">
        <v>28</v>
      </c>
      <c r="E201" s="1">
        <v>4.0</v>
      </c>
      <c r="F201" s="2">
        <v>6.66265416145324E15</v>
      </c>
    </row>
    <row r="202">
      <c r="A202" s="1">
        <v>200.0</v>
      </c>
      <c r="B202" s="1" t="s">
        <v>7</v>
      </c>
      <c r="C202" s="1" t="s">
        <v>219</v>
      </c>
      <c r="D202" s="1" t="s">
        <v>9</v>
      </c>
      <c r="E202" s="1">
        <v>6.0</v>
      </c>
      <c r="F202" s="2">
        <v>7.42155599594116E15</v>
      </c>
    </row>
    <row r="203">
      <c r="A203" s="1">
        <v>201.0</v>
      </c>
      <c r="B203" s="1" t="s">
        <v>14</v>
      </c>
      <c r="C203" s="1" t="s">
        <v>220</v>
      </c>
      <c r="D203" s="1" t="s">
        <v>9</v>
      </c>
      <c r="E203" s="1">
        <v>4.0</v>
      </c>
      <c r="F203" s="2">
        <v>6.61217784881591E15</v>
      </c>
    </row>
    <row r="204">
      <c r="A204" s="1">
        <v>202.0</v>
      </c>
      <c r="B204" s="1" t="s">
        <v>16</v>
      </c>
      <c r="C204" s="1" t="s">
        <v>221</v>
      </c>
      <c r="D204" s="1" t="s">
        <v>9</v>
      </c>
      <c r="E204" s="1">
        <v>7.0</v>
      </c>
      <c r="F204" s="2">
        <v>6.6389422416687E15</v>
      </c>
    </row>
    <row r="205">
      <c r="A205" s="1">
        <v>203.0</v>
      </c>
      <c r="B205" s="1" t="s">
        <v>18</v>
      </c>
      <c r="C205" s="1" t="s">
        <v>222</v>
      </c>
      <c r="D205" s="1" t="s">
        <v>28</v>
      </c>
      <c r="E205" s="1">
        <v>5.0</v>
      </c>
      <c r="F205" s="2">
        <v>6.77471327781677E16</v>
      </c>
    </row>
    <row r="206">
      <c r="A206" s="1">
        <v>204.0</v>
      </c>
      <c r="B206" s="1" t="s">
        <v>7</v>
      </c>
      <c r="C206" s="1" t="s">
        <v>223</v>
      </c>
      <c r="D206" s="1" t="s">
        <v>9</v>
      </c>
      <c r="E206" s="1">
        <v>9.0</v>
      </c>
      <c r="F206" s="2">
        <v>7.29574584960937E15</v>
      </c>
    </row>
    <row r="207">
      <c r="A207" s="1">
        <v>205.0</v>
      </c>
      <c r="B207" s="1" t="s">
        <v>14</v>
      </c>
      <c r="C207" s="1" t="s">
        <v>224</v>
      </c>
      <c r="D207" s="1" t="s">
        <v>9</v>
      </c>
      <c r="E207" s="1">
        <v>8.0</v>
      </c>
      <c r="F207" s="2">
        <v>7.29643678665161E15</v>
      </c>
    </row>
    <row r="208">
      <c r="A208" s="1">
        <v>206.0</v>
      </c>
      <c r="B208" s="1" t="s">
        <v>16</v>
      </c>
      <c r="C208" s="1" t="s">
        <v>225</v>
      </c>
      <c r="D208" s="1" t="s">
        <v>9</v>
      </c>
      <c r="E208" s="1">
        <v>7.0</v>
      </c>
      <c r="F208" s="2">
        <v>7.33793663978576E15</v>
      </c>
    </row>
    <row r="209">
      <c r="A209" s="1">
        <v>207.0</v>
      </c>
      <c r="B209" s="1" t="s">
        <v>18</v>
      </c>
      <c r="C209" s="1" t="s">
        <v>226</v>
      </c>
      <c r="D209" s="1" t="s">
        <v>9</v>
      </c>
      <c r="E209" s="1">
        <v>7.0</v>
      </c>
      <c r="F209" s="2">
        <v>6.78042459487915E14</v>
      </c>
    </row>
    <row r="210">
      <c r="A210" s="1">
        <v>208.0</v>
      </c>
      <c r="B210" s="1" t="s">
        <v>7</v>
      </c>
      <c r="C210" s="1" t="s">
        <v>227</v>
      </c>
      <c r="D210" s="1" t="s">
        <v>28</v>
      </c>
      <c r="E210" s="1">
        <v>7.0</v>
      </c>
      <c r="F210" s="2">
        <v>6.78959846496582E14</v>
      </c>
    </row>
    <row r="211">
      <c r="A211" s="1">
        <v>209.0</v>
      </c>
      <c r="B211" s="1" t="s">
        <v>14</v>
      </c>
      <c r="C211" s="1" t="s">
        <v>228</v>
      </c>
      <c r="D211" s="1" t="s">
        <v>9</v>
      </c>
      <c r="E211" s="1">
        <v>5.0</v>
      </c>
      <c r="F211" s="2">
        <v>7.3481011390686E16</v>
      </c>
    </row>
    <row r="212">
      <c r="A212" s="1">
        <v>210.0</v>
      </c>
      <c r="B212" s="1" t="s">
        <v>16</v>
      </c>
      <c r="C212" s="1" t="s">
        <v>229</v>
      </c>
      <c r="D212" s="1" t="s">
        <v>28</v>
      </c>
      <c r="E212" s="1">
        <v>4.0</v>
      </c>
      <c r="F212" s="2">
        <v>7.44342875480651E16</v>
      </c>
    </row>
    <row r="213">
      <c r="A213" s="1">
        <v>211.0</v>
      </c>
      <c r="B213" s="1" t="s">
        <v>18</v>
      </c>
      <c r="C213" s="1" t="s">
        <v>230</v>
      </c>
      <c r="D213" s="1" t="s">
        <v>28</v>
      </c>
      <c r="E213" s="1">
        <v>4.0</v>
      </c>
      <c r="F213" s="2">
        <v>6.69800519943237E15</v>
      </c>
    </row>
    <row r="214">
      <c r="A214" s="1">
        <v>212.0</v>
      </c>
      <c r="B214" s="1" t="s">
        <v>7</v>
      </c>
      <c r="C214" s="1" t="s">
        <v>231</v>
      </c>
      <c r="D214" s="1" t="s">
        <v>9</v>
      </c>
      <c r="E214" s="1">
        <v>10.0</v>
      </c>
      <c r="F214" s="2">
        <v>6.66957473754882E15</v>
      </c>
    </row>
    <row r="215">
      <c r="A215" s="1">
        <v>213.0</v>
      </c>
      <c r="B215" s="1" t="s">
        <v>14</v>
      </c>
      <c r="C215" s="1" t="s">
        <v>232</v>
      </c>
      <c r="D215" s="1" t="s">
        <v>9</v>
      </c>
      <c r="E215" s="1">
        <v>9.0</v>
      </c>
      <c r="F215" s="2">
        <v>6.71601486206054E15</v>
      </c>
    </row>
    <row r="216">
      <c r="A216" s="1">
        <v>214.0</v>
      </c>
      <c r="B216" s="1" t="s">
        <v>16</v>
      </c>
      <c r="C216" s="1" t="s">
        <v>233</v>
      </c>
      <c r="D216" s="1" t="s">
        <v>9</v>
      </c>
      <c r="E216" s="1">
        <v>8.0</v>
      </c>
      <c r="F216" s="2">
        <v>6.67806148529052E15</v>
      </c>
    </row>
    <row r="217">
      <c r="A217" s="1">
        <v>215.0</v>
      </c>
      <c r="B217" s="1" t="s">
        <v>18</v>
      </c>
      <c r="C217" s="1" t="s">
        <v>234</v>
      </c>
      <c r="D217" s="1" t="s">
        <v>9</v>
      </c>
      <c r="E217" s="1">
        <v>6.0</v>
      </c>
      <c r="F217" s="2">
        <v>6.54335641860961E15</v>
      </c>
    </row>
    <row r="218">
      <c r="A218" s="1">
        <v>216.0</v>
      </c>
      <c r="B218" s="1" t="s">
        <v>7</v>
      </c>
      <c r="C218" s="1" t="s">
        <v>235</v>
      </c>
      <c r="D218" s="1" t="s">
        <v>9</v>
      </c>
      <c r="E218" s="1">
        <v>5.0</v>
      </c>
      <c r="F218" s="2">
        <v>7.32152128219604E15</v>
      </c>
    </row>
    <row r="219">
      <c r="A219" s="1">
        <v>217.0</v>
      </c>
      <c r="B219" s="1" t="s">
        <v>14</v>
      </c>
      <c r="C219" s="1" t="s">
        <v>236</v>
      </c>
      <c r="D219" s="1" t="s">
        <v>9</v>
      </c>
      <c r="E219" s="1">
        <v>4.0</v>
      </c>
      <c r="F219" s="2">
        <v>7.32694339752197E15</v>
      </c>
    </row>
    <row r="220">
      <c r="A220" s="1">
        <v>218.0</v>
      </c>
      <c r="B220" s="1" t="s">
        <v>16</v>
      </c>
      <c r="C220" s="1" t="s">
        <v>237</v>
      </c>
      <c r="D220" s="1" t="s">
        <v>28</v>
      </c>
      <c r="E220" s="1">
        <v>4.0</v>
      </c>
      <c r="F220" s="2">
        <v>6.76578736305236E15</v>
      </c>
    </row>
    <row r="221">
      <c r="A221" s="1">
        <v>219.0</v>
      </c>
      <c r="B221" s="1" t="s">
        <v>18</v>
      </c>
      <c r="C221" s="1" t="s">
        <v>238</v>
      </c>
      <c r="D221" s="1" t="s">
        <v>9</v>
      </c>
      <c r="E221" s="1">
        <v>6.0</v>
      </c>
      <c r="F221" s="2">
        <v>6.5266728401184E15</v>
      </c>
    </row>
    <row r="222">
      <c r="A222" s="1">
        <v>220.0</v>
      </c>
      <c r="B222" s="1" t="s">
        <v>7</v>
      </c>
      <c r="C222" s="1" t="s">
        <v>239</v>
      </c>
      <c r="D222" s="1" t="s">
        <v>9</v>
      </c>
      <c r="E222" s="1">
        <v>9.0</v>
      </c>
      <c r="F222" s="2">
        <v>7.32697749137878E15</v>
      </c>
    </row>
    <row r="223">
      <c r="A223" s="1">
        <v>221.0</v>
      </c>
      <c r="B223" s="1" t="s">
        <v>14</v>
      </c>
      <c r="C223" s="1" t="s">
        <v>240</v>
      </c>
      <c r="D223" s="1" t="s">
        <v>9</v>
      </c>
      <c r="E223" s="1">
        <v>8.0</v>
      </c>
      <c r="F223" s="2">
        <v>6.80394315719604E15</v>
      </c>
    </row>
    <row r="224">
      <c r="A224" s="1">
        <v>222.0</v>
      </c>
      <c r="B224" s="1" t="s">
        <v>16</v>
      </c>
      <c r="C224" s="1" t="s">
        <v>241</v>
      </c>
      <c r="D224" s="1" t="s">
        <v>9</v>
      </c>
      <c r="E224" s="1">
        <v>8.0</v>
      </c>
      <c r="F224" s="2">
        <v>6.7983922958374E15</v>
      </c>
    </row>
    <row r="225">
      <c r="A225" s="1">
        <v>223.0</v>
      </c>
      <c r="B225" s="1" t="s">
        <v>18</v>
      </c>
      <c r="C225" s="1" t="s">
        <v>242</v>
      </c>
      <c r="D225" s="1" t="s">
        <v>9</v>
      </c>
      <c r="E225" s="1">
        <v>6.0</v>
      </c>
      <c r="F225" s="2">
        <v>7.51964688301086E15</v>
      </c>
    </row>
    <row r="226">
      <c r="A226" s="1">
        <v>224.0</v>
      </c>
      <c r="B226" s="1" t="s">
        <v>7</v>
      </c>
      <c r="C226" s="1" t="s">
        <v>243</v>
      </c>
      <c r="D226" s="1" t="s">
        <v>9</v>
      </c>
      <c r="E226" s="1">
        <v>7.0</v>
      </c>
      <c r="F226" s="2">
        <v>6.72020268440246E15</v>
      </c>
    </row>
    <row r="227">
      <c r="A227" s="1">
        <v>225.0</v>
      </c>
      <c r="B227" s="1" t="s">
        <v>14</v>
      </c>
      <c r="C227" s="1" t="s">
        <v>244</v>
      </c>
      <c r="D227" s="1" t="s">
        <v>9</v>
      </c>
      <c r="E227" s="1">
        <v>7.0</v>
      </c>
      <c r="F227" s="2">
        <v>6.62695741653442E15</v>
      </c>
    </row>
    <row r="228">
      <c r="A228" s="1">
        <v>226.0</v>
      </c>
      <c r="B228" s="1" t="s">
        <v>16</v>
      </c>
      <c r="C228" s="1" t="s">
        <v>245</v>
      </c>
      <c r="D228" s="1" t="s">
        <v>28</v>
      </c>
      <c r="E228" s="1">
        <v>5.0</v>
      </c>
      <c r="F228" s="2">
        <v>6.80306577682495E15</v>
      </c>
    </row>
    <row r="229">
      <c r="A229" s="1">
        <v>227.0</v>
      </c>
      <c r="B229" s="1" t="s">
        <v>18</v>
      </c>
      <c r="C229" s="1" t="s">
        <v>246</v>
      </c>
      <c r="D229" s="1" t="s">
        <v>9</v>
      </c>
      <c r="E229" s="1">
        <v>6.0</v>
      </c>
      <c r="F229" s="2">
        <v>7.33460593223571E15</v>
      </c>
    </row>
    <row r="230">
      <c r="A230" s="1">
        <v>228.0</v>
      </c>
      <c r="B230" s="1" t="s">
        <v>7</v>
      </c>
      <c r="C230" s="1" t="s">
        <v>247</v>
      </c>
      <c r="D230" s="1" t="s">
        <v>9</v>
      </c>
      <c r="E230" s="1">
        <v>4.0</v>
      </c>
      <c r="F230" s="2">
        <v>7.42366695404052E15</v>
      </c>
    </row>
    <row r="231">
      <c r="A231" s="1">
        <v>229.0</v>
      </c>
      <c r="B231" s="1" t="s">
        <v>14</v>
      </c>
      <c r="C231" s="1" t="s">
        <v>248</v>
      </c>
      <c r="D231" s="1" t="s">
        <v>9</v>
      </c>
      <c r="E231" s="1">
        <v>7.0</v>
      </c>
      <c r="F231" s="2">
        <v>6.58646464347839E16</v>
      </c>
    </row>
    <row r="232">
      <c r="A232" s="1">
        <v>230.0</v>
      </c>
      <c r="B232" s="1" t="s">
        <v>16</v>
      </c>
      <c r="C232" s="1" t="s">
        <v>249</v>
      </c>
      <c r="D232" s="1" t="s">
        <v>28</v>
      </c>
      <c r="E232" s="1">
        <v>5.0</v>
      </c>
      <c r="F232" s="2">
        <v>6.84639573097229E14</v>
      </c>
    </row>
    <row r="233">
      <c r="A233" s="1">
        <v>231.0</v>
      </c>
      <c r="B233" s="1" t="s">
        <v>18</v>
      </c>
      <c r="C233" s="1" t="s">
        <v>250</v>
      </c>
      <c r="D233" s="1" t="s">
        <v>28</v>
      </c>
      <c r="E233" s="1">
        <v>4.0</v>
      </c>
      <c r="F233" s="2">
        <v>6.78353285789489E16</v>
      </c>
    </row>
    <row r="234">
      <c r="A234" s="1">
        <v>232.0</v>
      </c>
      <c r="B234" s="1" t="s">
        <v>7</v>
      </c>
      <c r="C234" s="1" t="s">
        <v>251</v>
      </c>
      <c r="D234" s="1" t="s">
        <v>9</v>
      </c>
      <c r="E234" s="1">
        <v>10.0</v>
      </c>
      <c r="F234" s="2">
        <v>7.36958599090576E15</v>
      </c>
    </row>
    <row r="235">
      <c r="A235" s="1">
        <v>233.0</v>
      </c>
      <c r="B235" s="1" t="s">
        <v>14</v>
      </c>
      <c r="C235" s="1" t="s">
        <v>252</v>
      </c>
      <c r="D235" s="1" t="s">
        <v>9</v>
      </c>
      <c r="E235" s="1">
        <v>9.0</v>
      </c>
      <c r="F235" s="2">
        <v>8.19619178771972E15</v>
      </c>
    </row>
    <row r="236">
      <c r="A236" s="1">
        <v>234.0</v>
      </c>
      <c r="B236" s="1" t="s">
        <v>16</v>
      </c>
      <c r="C236" s="1" t="s">
        <v>253</v>
      </c>
      <c r="D236" s="1" t="s">
        <v>9</v>
      </c>
      <c r="E236" s="1">
        <v>9.0</v>
      </c>
      <c r="F236" s="2">
        <v>8.17293000221252E15</v>
      </c>
    </row>
    <row r="237">
      <c r="A237" s="1">
        <v>235.0</v>
      </c>
      <c r="B237" s="1" t="s">
        <v>18</v>
      </c>
      <c r="C237" s="1" t="s">
        <v>254</v>
      </c>
      <c r="D237" s="1" t="s">
        <v>9</v>
      </c>
      <c r="E237" s="1">
        <v>7.0</v>
      </c>
      <c r="F237" s="2">
        <v>6.70653820037841E15</v>
      </c>
    </row>
    <row r="238">
      <c r="A238" s="1">
        <v>236.0</v>
      </c>
      <c r="B238" s="1" t="s">
        <v>7</v>
      </c>
      <c r="C238" s="1" t="s">
        <v>255</v>
      </c>
      <c r="D238" s="1" t="s">
        <v>9</v>
      </c>
      <c r="E238" s="1">
        <v>9.0</v>
      </c>
      <c r="F238" s="2">
        <v>7.44303226470947E15</v>
      </c>
    </row>
    <row r="239">
      <c r="A239" s="1">
        <v>237.0</v>
      </c>
      <c r="B239" s="1" t="s">
        <v>14</v>
      </c>
      <c r="C239" s="1" t="s">
        <v>256</v>
      </c>
      <c r="D239" s="1" t="s">
        <v>28</v>
      </c>
      <c r="E239" s="1">
        <v>5.0</v>
      </c>
      <c r="F239" s="2">
        <v>6.83372068405151E15</v>
      </c>
    </row>
    <row r="240">
      <c r="A240" s="1">
        <v>238.0</v>
      </c>
      <c r="B240" s="1" t="s">
        <v>16</v>
      </c>
      <c r="C240" s="1" t="s">
        <v>257</v>
      </c>
      <c r="D240" s="1" t="s">
        <v>28</v>
      </c>
      <c r="E240" s="1">
        <v>8.0</v>
      </c>
      <c r="F240" s="2">
        <v>7.58854174613952E15</v>
      </c>
    </row>
    <row r="241">
      <c r="A241" s="1">
        <v>239.0</v>
      </c>
      <c r="B241" s="1" t="s">
        <v>18</v>
      </c>
      <c r="C241" s="1" t="s">
        <v>258</v>
      </c>
      <c r="D241" s="1" t="s">
        <v>9</v>
      </c>
      <c r="E241" s="1">
        <v>5.0</v>
      </c>
      <c r="F241" s="2">
        <v>6.6015031337738E15</v>
      </c>
    </row>
    <row r="242">
      <c r="A242" s="1">
        <v>240.0</v>
      </c>
      <c r="B242" s="1" t="s">
        <v>7</v>
      </c>
      <c r="C242" s="1" t="s">
        <v>259</v>
      </c>
      <c r="D242" s="1" t="s">
        <v>9</v>
      </c>
      <c r="E242" s="1">
        <v>7.0</v>
      </c>
      <c r="F242" s="2">
        <v>7.30490922927856E16</v>
      </c>
    </row>
    <row r="243">
      <c r="A243" s="1">
        <v>241.0</v>
      </c>
      <c r="B243" s="1" t="s">
        <v>14</v>
      </c>
      <c r="C243" s="1" t="s">
        <v>260</v>
      </c>
      <c r="D243" s="1" t="s">
        <v>9</v>
      </c>
      <c r="E243" s="1">
        <v>3.0</v>
      </c>
      <c r="F243" s="2">
        <v>6.60044836997985E15</v>
      </c>
    </row>
    <row r="244">
      <c r="A244" s="1">
        <v>242.0</v>
      </c>
      <c r="B244" s="1" t="s">
        <v>16</v>
      </c>
      <c r="C244" s="1" t="s">
        <v>261</v>
      </c>
      <c r="D244" s="1" t="s">
        <v>9</v>
      </c>
      <c r="E244" s="1">
        <v>7.0</v>
      </c>
      <c r="F244" s="2">
        <v>6.5921881198883E15</v>
      </c>
    </row>
    <row r="245">
      <c r="A245" s="1">
        <v>243.0</v>
      </c>
      <c r="B245" s="1" t="s">
        <v>18</v>
      </c>
      <c r="C245" s="1" t="s">
        <v>262</v>
      </c>
      <c r="D245" s="1" t="s">
        <v>9</v>
      </c>
      <c r="E245" s="1">
        <v>5.0</v>
      </c>
      <c r="F245" s="2">
        <v>6.61516118049621E15</v>
      </c>
    </row>
    <row r="246">
      <c r="A246" s="1">
        <v>244.0</v>
      </c>
      <c r="B246" s="1" t="s">
        <v>7</v>
      </c>
      <c r="C246" s="1" t="s">
        <v>263</v>
      </c>
      <c r="D246" s="1" t="s">
        <v>9</v>
      </c>
      <c r="E246" s="1">
        <v>7.0</v>
      </c>
      <c r="F246" s="2">
        <v>6.60399341583251E16</v>
      </c>
    </row>
    <row r="247">
      <c r="A247" s="1">
        <v>245.0</v>
      </c>
      <c r="B247" s="1" t="s">
        <v>14</v>
      </c>
      <c r="C247" s="1" t="s">
        <v>264</v>
      </c>
      <c r="D247" s="1" t="s">
        <v>9</v>
      </c>
      <c r="E247" s="1">
        <v>7.0</v>
      </c>
      <c r="F247" s="2">
        <v>6.60372519493103E14</v>
      </c>
    </row>
    <row r="248">
      <c r="A248" s="1">
        <v>246.0</v>
      </c>
      <c r="B248" s="1" t="s">
        <v>16</v>
      </c>
      <c r="C248" s="1" t="s">
        <v>265</v>
      </c>
      <c r="D248" s="1" t="s">
        <v>28</v>
      </c>
      <c r="E248" s="1">
        <v>4.0</v>
      </c>
      <c r="F248" s="2">
        <v>6.65110230445861E15</v>
      </c>
    </row>
    <row r="249">
      <c r="A249" s="1">
        <v>247.0</v>
      </c>
      <c r="B249" s="1" t="s">
        <v>18</v>
      </c>
      <c r="C249" s="1" t="s">
        <v>266</v>
      </c>
      <c r="D249" s="1" t="s">
        <v>28</v>
      </c>
      <c r="E249" s="1">
        <v>6.0</v>
      </c>
      <c r="F249" s="2">
        <v>6.90435934066772E15</v>
      </c>
    </row>
    <row r="250">
      <c r="A250" s="1">
        <v>248.0</v>
      </c>
      <c r="B250" s="1" t="s">
        <v>7</v>
      </c>
      <c r="C250" s="1" t="s">
        <v>267</v>
      </c>
      <c r="D250" s="1" t="s">
        <v>9</v>
      </c>
      <c r="E250" s="1">
        <v>8.0</v>
      </c>
      <c r="F250" s="2">
        <v>7.47090029716491E15</v>
      </c>
    </row>
    <row r="251">
      <c r="A251" s="1">
        <v>249.0</v>
      </c>
      <c r="B251" s="1" t="s">
        <v>14</v>
      </c>
      <c r="C251" s="1" t="s">
        <v>268</v>
      </c>
      <c r="D251" s="1" t="s">
        <v>28</v>
      </c>
      <c r="E251" s="1">
        <v>5.0</v>
      </c>
      <c r="F251" s="2">
        <v>6.06392860412597E15</v>
      </c>
    </row>
    <row r="252">
      <c r="A252" s="1">
        <v>250.0</v>
      </c>
      <c r="B252" s="1" t="s">
        <v>16</v>
      </c>
      <c r="C252" s="1" t="s">
        <v>269</v>
      </c>
      <c r="D252" s="1" t="s">
        <v>28</v>
      </c>
      <c r="E252" s="1">
        <v>4.0</v>
      </c>
      <c r="F252" s="2">
        <v>6.87770247459411E15</v>
      </c>
    </row>
    <row r="253">
      <c r="A253" s="1">
        <v>251.0</v>
      </c>
      <c r="B253" s="1" t="s">
        <v>7</v>
      </c>
      <c r="C253" s="1" t="s">
        <v>270</v>
      </c>
      <c r="D253" s="1" t="s">
        <v>9</v>
      </c>
      <c r="E253" s="1">
        <v>9.0</v>
      </c>
      <c r="F253" s="2">
        <v>8.27453732490539E15</v>
      </c>
    </row>
    <row r="254">
      <c r="A254" s="1">
        <v>252.0</v>
      </c>
      <c r="B254" s="1" t="s">
        <v>14</v>
      </c>
      <c r="C254" s="1" t="s">
        <v>271</v>
      </c>
      <c r="D254" s="1" t="s">
        <v>9</v>
      </c>
      <c r="E254" s="1">
        <v>3.0</v>
      </c>
      <c r="F254" s="2">
        <v>7.5496232509613E15</v>
      </c>
    </row>
    <row r="255">
      <c r="A255" s="1">
        <v>253.0</v>
      </c>
      <c r="B255" s="1" t="s">
        <v>16</v>
      </c>
      <c r="C255" s="1" t="s">
        <v>272</v>
      </c>
      <c r="D255" s="1" t="s">
        <v>9</v>
      </c>
      <c r="E255" s="1">
        <v>5.0</v>
      </c>
      <c r="F255" s="2">
        <v>7.40848517417907E15</v>
      </c>
    </row>
    <row r="256">
      <c r="A256" s="1">
        <v>254.0</v>
      </c>
      <c r="B256" s="1" t="s">
        <v>18</v>
      </c>
      <c r="C256" s="1" t="s">
        <v>273</v>
      </c>
      <c r="D256" s="1" t="s">
        <v>9</v>
      </c>
      <c r="E256" s="1">
        <v>6.0</v>
      </c>
      <c r="F256" s="2">
        <v>7.35787034034729E14</v>
      </c>
    </row>
    <row r="257">
      <c r="A257" s="1">
        <v>255.0</v>
      </c>
      <c r="B257" s="1" t="s">
        <v>7</v>
      </c>
      <c r="C257" s="1" t="s">
        <v>274</v>
      </c>
      <c r="D257" s="1" t="s">
        <v>9</v>
      </c>
      <c r="E257" s="1">
        <v>7.0</v>
      </c>
      <c r="F257" s="2">
        <v>6.75791931152343E16</v>
      </c>
    </row>
    <row r="258">
      <c r="A258" s="1">
        <v>256.0</v>
      </c>
      <c r="B258" s="1" t="s">
        <v>14</v>
      </c>
      <c r="C258" s="1" t="s">
        <v>275</v>
      </c>
      <c r="D258" s="1" t="s">
        <v>9</v>
      </c>
      <c r="E258" s="1">
        <v>6.0</v>
      </c>
      <c r="F258" s="2">
        <v>6.73623156547546E15</v>
      </c>
    </row>
    <row r="259">
      <c r="A259" s="1">
        <v>257.0</v>
      </c>
      <c r="B259" s="1" t="s">
        <v>16</v>
      </c>
      <c r="C259" s="1" t="s">
        <v>276</v>
      </c>
      <c r="D259" s="1" t="s">
        <v>9</v>
      </c>
      <c r="E259" s="1">
        <v>3.0</v>
      </c>
      <c r="F259" s="2">
        <v>6.74119138717651E15</v>
      </c>
    </row>
    <row r="260">
      <c r="A260" s="1">
        <v>258.0</v>
      </c>
      <c r="B260" s="1" t="s">
        <v>18</v>
      </c>
      <c r="C260" s="1" t="s">
        <v>277</v>
      </c>
      <c r="D260" s="1" t="s">
        <v>9</v>
      </c>
      <c r="E260" s="1">
        <v>5.0</v>
      </c>
      <c r="F260" s="2">
        <v>6.72688865661621E15</v>
      </c>
    </row>
    <row r="261">
      <c r="A261" s="1">
        <v>259.0</v>
      </c>
      <c r="B261" s="1" t="s">
        <v>7</v>
      </c>
      <c r="C261" s="1" t="s">
        <v>278</v>
      </c>
      <c r="D261" s="1" t="s">
        <v>30</v>
      </c>
      <c r="E261" s="1">
        <v>10.0</v>
      </c>
      <c r="F261" s="2">
        <v>8.14966869354248E14</v>
      </c>
    </row>
    <row r="262">
      <c r="A262" s="1">
        <v>260.0</v>
      </c>
      <c r="B262" s="1" t="s">
        <v>14</v>
      </c>
      <c r="C262" s="1" t="s">
        <v>279</v>
      </c>
      <c r="D262" s="1" t="s">
        <v>9</v>
      </c>
      <c r="E262" s="1">
        <v>9.0</v>
      </c>
      <c r="F262" s="2">
        <v>7.48860931396484E15</v>
      </c>
    </row>
    <row r="263">
      <c r="A263" s="1">
        <v>261.0</v>
      </c>
      <c r="B263" s="1" t="s">
        <v>16</v>
      </c>
      <c r="C263" s="1" t="s">
        <v>280</v>
      </c>
      <c r="D263" s="1" t="s">
        <v>9</v>
      </c>
      <c r="E263" s="1">
        <v>8.0</v>
      </c>
      <c r="F263" s="2">
        <v>8.2781708240509E15</v>
      </c>
    </row>
    <row r="264">
      <c r="A264" s="1">
        <v>262.0</v>
      </c>
      <c r="B264" s="1" t="s">
        <v>18</v>
      </c>
      <c r="C264" s="1" t="s">
        <v>281</v>
      </c>
      <c r="D264" s="1" t="s">
        <v>9</v>
      </c>
      <c r="E264" s="1">
        <v>8.0</v>
      </c>
      <c r="F264" s="2">
        <v>6.73525118827819E15</v>
      </c>
    </row>
    <row r="265">
      <c r="A265" s="1">
        <v>263.0</v>
      </c>
      <c r="B265" s="1" t="s">
        <v>7</v>
      </c>
      <c r="C265" s="1" t="s">
        <v>282</v>
      </c>
      <c r="D265" s="1" t="s">
        <v>28</v>
      </c>
      <c r="E265" s="1">
        <v>4.0</v>
      </c>
      <c r="F265" s="2">
        <v>6.8483498096466E16</v>
      </c>
    </row>
    <row r="266">
      <c r="A266" s="1">
        <v>264.0</v>
      </c>
      <c r="B266" s="1" t="s">
        <v>14</v>
      </c>
      <c r="C266" s="1" t="s">
        <v>283</v>
      </c>
      <c r="D266" s="1" t="s">
        <v>9</v>
      </c>
      <c r="E266" s="1">
        <v>7.0</v>
      </c>
      <c r="F266" s="2">
        <v>6.61666679382324E15</v>
      </c>
    </row>
    <row r="267">
      <c r="A267" s="1">
        <v>265.0</v>
      </c>
      <c r="B267" s="1" t="s">
        <v>16</v>
      </c>
      <c r="C267" s="1" t="s">
        <v>284</v>
      </c>
      <c r="D267" s="1" t="s">
        <v>28</v>
      </c>
      <c r="E267" s="1">
        <v>3.0</v>
      </c>
      <c r="F267" s="2">
        <v>7.49424123764038E15</v>
      </c>
    </row>
    <row r="268">
      <c r="A268" s="1">
        <v>266.0</v>
      </c>
      <c r="B268" s="1" t="s">
        <v>18</v>
      </c>
      <c r="C268" s="1" t="s">
        <v>285</v>
      </c>
      <c r="D268" s="1" t="s">
        <v>286</v>
      </c>
      <c r="E268" s="1">
        <v>0.0</v>
      </c>
      <c r="F268" s="2">
        <v>6.09719443321228E14</v>
      </c>
    </row>
    <row r="269">
      <c r="A269" s="1">
        <v>267.0</v>
      </c>
      <c r="B269" s="1" t="s">
        <v>7</v>
      </c>
      <c r="C269" s="1" t="s">
        <v>287</v>
      </c>
      <c r="D269" s="1" t="s">
        <v>9</v>
      </c>
      <c r="E269" s="1">
        <v>5.0</v>
      </c>
      <c r="F269" s="2">
        <v>6.61948537826538E15</v>
      </c>
    </row>
    <row r="270">
      <c r="A270" s="1">
        <v>268.0</v>
      </c>
      <c r="B270" s="1" t="s">
        <v>14</v>
      </c>
      <c r="C270" s="1" t="s">
        <v>288</v>
      </c>
      <c r="D270" s="1" t="s">
        <v>28</v>
      </c>
      <c r="E270" s="1">
        <v>3.0</v>
      </c>
      <c r="F270" s="2">
        <v>6.78389310836792E14</v>
      </c>
    </row>
    <row r="271">
      <c r="A271" s="1">
        <v>269.0</v>
      </c>
      <c r="B271" s="1" t="s">
        <v>16</v>
      </c>
      <c r="C271" s="1" t="s">
        <v>289</v>
      </c>
      <c r="D271" s="1" t="s">
        <v>28</v>
      </c>
      <c r="E271" s="1">
        <v>4.0</v>
      </c>
      <c r="F271" s="2">
        <v>7.45566391944885E16</v>
      </c>
    </row>
    <row r="272">
      <c r="A272" s="1">
        <v>270.0</v>
      </c>
      <c r="B272" s="1" t="s">
        <v>18</v>
      </c>
      <c r="C272" s="1" t="s">
        <v>290</v>
      </c>
      <c r="D272" s="1" t="s">
        <v>28</v>
      </c>
      <c r="E272" s="1">
        <v>2.0</v>
      </c>
      <c r="F272" s="2">
        <v>6.11103677749633E15</v>
      </c>
    </row>
    <row r="273">
      <c r="A273" s="1">
        <v>271.0</v>
      </c>
      <c r="B273" s="1" t="s">
        <v>7</v>
      </c>
      <c r="C273" s="1" t="s">
        <v>291</v>
      </c>
      <c r="D273" s="1" t="s">
        <v>9</v>
      </c>
      <c r="E273" s="1">
        <v>4.0</v>
      </c>
      <c r="F273" s="2">
        <v>6.58981227874755E15</v>
      </c>
    </row>
    <row r="274">
      <c r="A274" s="1">
        <v>272.0</v>
      </c>
      <c r="B274" s="1" t="s">
        <v>14</v>
      </c>
      <c r="C274" s="1" t="s">
        <v>292</v>
      </c>
      <c r="D274" s="1" t="s">
        <v>9</v>
      </c>
      <c r="E274" s="1">
        <v>6.0</v>
      </c>
      <c r="F274" s="2">
        <v>6.55984020233154E15</v>
      </c>
    </row>
    <row r="275">
      <c r="A275" s="1">
        <v>273.0</v>
      </c>
      <c r="B275" s="1" t="s">
        <v>16</v>
      </c>
      <c r="C275" s="1" t="s">
        <v>293</v>
      </c>
      <c r="D275" s="1" t="s">
        <v>28</v>
      </c>
      <c r="E275" s="1">
        <v>3.0</v>
      </c>
      <c r="F275" s="2">
        <v>6.05682039260864E15</v>
      </c>
    </row>
    <row r="276">
      <c r="A276" s="1">
        <v>274.0</v>
      </c>
      <c r="B276" s="1" t="s">
        <v>7</v>
      </c>
      <c r="C276" s="1" t="s">
        <v>294</v>
      </c>
      <c r="D276" s="1" t="s">
        <v>9</v>
      </c>
      <c r="E276" s="1">
        <v>8.0</v>
      </c>
      <c r="F276" s="2">
        <v>6.60184788703918E15</v>
      </c>
    </row>
    <row r="277">
      <c r="A277" s="1">
        <v>275.0</v>
      </c>
      <c r="B277" s="1" t="s">
        <v>14</v>
      </c>
      <c r="C277" s="1" t="s">
        <v>295</v>
      </c>
      <c r="D277" s="1" t="s">
        <v>9</v>
      </c>
      <c r="E277" s="1">
        <v>6.0</v>
      </c>
      <c r="F277" s="2">
        <v>5.89612102508544E15</v>
      </c>
    </row>
    <row r="278">
      <c r="A278" s="1">
        <v>276.0</v>
      </c>
      <c r="B278" s="1" t="s">
        <v>16</v>
      </c>
      <c r="C278" s="1" t="s">
        <v>296</v>
      </c>
      <c r="D278" s="1" t="s">
        <v>9</v>
      </c>
      <c r="E278" s="1">
        <v>5.0</v>
      </c>
      <c r="F278" s="2">
        <v>5.93298316001892E15</v>
      </c>
    </row>
    <row r="279">
      <c r="A279" s="1">
        <v>277.0</v>
      </c>
      <c r="B279" s="1" t="s">
        <v>18</v>
      </c>
      <c r="C279" s="1" t="s">
        <v>297</v>
      </c>
      <c r="D279" s="1" t="s">
        <v>28</v>
      </c>
      <c r="E279" s="1">
        <v>4.0</v>
      </c>
      <c r="F279" s="2">
        <v>6.03861618041992E15</v>
      </c>
    </row>
    <row r="280">
      <c r="A280" s="1">
        <v>278.0</v>
      </c>
      <c r="B280" s="1" t="s">
        <v>7</v>
      </c>
      <c r="C280" s="1" t="s">
        <v>298</v>
      </c>
      <c r="D280" s="1" t="s">
        <v>9</v>
      </c>
      <c r="E280" s="1">
        <v>9.0</v>
      </c>
      <c r="F280" s="2">
        <v>7.44231009483337E15</v>
      </c>
    </row>
    <row r="281">
      <c r="A281" s="1">
        <v>279.0</v>
      </c>
      <c r="B281" s="1" t="s">
        <v>14</v>
      </c>
      <c r="C281" s="1" t="s">
        <v>299</v>
      </c>
      <c r="D281" s="1" t="s">
        <v>9</v>
      </c>
      <c r="E281" s="1">
        <v>7.0</v>
      </c>
      <c r="F281" s="2">
        <v>6.5765266418457E15</v>
      </c>
    </row>
    <row r="282">
      <c r="A282" s="1">
        <v>280.0</v>
      </c>
      <c r="B282" s="1" t="s">
        <v>16</v>
      </c>
      <c r="C282" s="1" t="s">
        <v>300</v>
      </c>
      <c r="D282" s="1" t="s">
        <v>9</v>
      </c>
      <c r="E282" s="1">
        <v>9.0</v>
      </c>
      <c r="F282" s="2">
        <v>6.78312826156616E15</v>
      </c>
    </row>
    <row r="283">
      <c r="A283" s="1">
        <v>281.0</v>
      </c>
      <c r="B283" s="1" t="s">
        <v>18</v>
      </c>
      <c r="C283" s="1" t="s">
        <v>301</v>
      </c>
      <c r="D283" s="1" t="s">
        <v>9</v>
      </c>
      <c r="E283" s="1">
        <v>7.0</v>
      </c>
      <c r="F283" s="2">
        <v>6.68417143821716E15</v>
      </c>
    </row>
    <row r="284">
      <c r="A284" s="1">
        <v>282.0</v>
      </c>
      <c r="B284" s="1" t="s">
        <v>7</v>
      </c>
      <c r="C284" s="1" t="s">
        <v>302</v>
      </c>
      <c r="D284" s="1" t="s">
        <v>9</v>
      </c>
      <c r="E284" s="1">
        <v>8.0</v>
      </c>
      <c r="F284" s="2">
        <v>7.40134596824646E14</v>
      </c>
    </row>
    <row r="285">
      <c r="A285" s="1">
        <v>283.0</v>
      </c>
      <c r="B285" s="1" t="s">
        <v>14</v>
      </c>
      <c r="C285" s="1" t="s">
        <v>303</v>
      </c>
      <c r="D285" s="1" t="s">
        <v>9</v>
      </c>
      <c r="E285" s="1">
        <v>6.0</v>
      </c>
      <c r="F285" s="2">
        <v>6.59617376327514E16</v>
      </c>
    </row>
    <row r="286">
      <c r="A286" s="1">
        <v>284.0</v>
      </c>
      <c r="B286" s="1" t="s">
        <v>16</v>
      </c>
      <c r="C286" s="1" t="s">
        <v>304</v>
      </c>
      <c r="D286" s="1" t="s">
        <v>28</v>
      </c>
      <c r="E286" s="1">
        <v>4.0</v>
      </c>
      <c r="F286" s="2">
        <v>6.77446866035461E15</v>
      </c>
    </row>
    <row r="287">
      <c r="A287" s="1">
        <v>285.0</v>
      </c>
      <c r="B287" s="1" t="s">
        <v>18</v>
      </c>
      <c r="C287" s="1" t="s">
        <v>305</v>
      </c>
      <c r="D287" s="1" t="s">
        <v>9</v>
      </c>
      <c r="E287" s="1">
        <v>6.0</v>
      </c>
      <c r="F287" s="2">
        <v>6.69688272476196E15</v>
      </c>
    </row>
    <row r="288">
      <c r="A288" s="1">
        <v>286.0</v>
      </c>
      <c r="B288" s="1" t="s">
        <v>7</v>
      </c>
      <c r="C288" s="1" t="s">
        <v>306</v>
      </c>
      <c r="D288" s="1" t="s">
        <v>9</v>
      </c>
      <c r="E288" s="1">
        <v>7.0</v>
      </c>
      <c r="F288" s="2">
        <v>7.37579989433288E15</v>
      </c>
    </row>
    <row r="289">
      <c r="A289" s="1">
        <v>287.0</v>
      </c>
      <c r="B289" s="1" t="s">
        <v>14</v>
      </c>
      <c r="C289" s="1" t="s">
        <v>307</v>
      </c>
      <c r="D289" s="1" t="s">
        <v>9</v>
      </c>
      <c r="E289" s="1">
        <v>8.0</v>
      </c>
      <c r="F289" s="2">
        <v>7.36723113059997E15</v>
      </c>
    </row>
    <row r="290">
      <c r="A290" s="1">
        <v>288.0</v>
      </c>
      <c r="B290" s="1" t="s">
        <v>16</v>
      </c>
      <c r="C290" s="1" t="s">
        <v>308</v>
      </c>
      <c r="D290" s="1" t="s">
        <v>9</v>
      </c>
      <c r="E290" s="1">
        <v>6.0</v>
      </c>
      <c r="F290" s="2">
        <v>7.31510996818542E15</v>
      </c>
    </row>
    <row r="291">
      <c r="A291" s="1">
        <v>289.0</v>
      </c>
      <c r="B291" s="1" t="s">
        <v>18</v>
      </c>
      <c r="C291" s="1" t="s">
        <v>309</v>
      </c>
      <c r="D291" s="1" t="s">
        <v>9</v>
      </c>
      <c r="E291" s="1">
        <v>7.0</v>
      </c>
      <c r="F291" s="2">
        <v>7.48867392539978E14</v>
      </c>
    </row>
    <row r="292">
      <c r="A292" s="1">
        <v>290.0</v>
      </c>
      <c r="B292" s="1" t="s">
        <v>7</v>
      </c>
      <c r="C292" s="1" t="s">
        <v>310</v>
      </c>
      <c r="D292" s="1" t="s">
        <v>28</v>
      </c>
      <c r="E292" s="1">
        <v>3.0</v>
      </c>
      <c r="F292" s="2">
        <v>6.03965783119201E15</v>
      </c>
    </row>
    <row r="293">
      <c r="A293" s="1">
        <v>291.0</v>
      </c>
      <c r="B293" s="1" t="s">
        <v>14</v>
      </c>
      <c r="C293" s="1" t="s">
        <v>311</v>
      </c>
      <c r="D293" s="1" t="s">
        <v>9</v>
      </c>
      <c r="E293" s="1">
        <v>7.0</v>
      </c>
      <c r="F293" s="2">
        <v>6.76370286941528E15</v>
      </c>
    </row>
    <row r="294">
      <c r="A294" s="1">
        <v>292.0</v>
      </c>
      <c r="B294" s="1" t="s">
        <v>16</v>
      </c>
      <c r="C294" s="1" t="s">
        <v>312</v>
      </c>
      <c r="D294" s="1" t="s">
        <v>9</v>
      </c>
      <c r="E294" s="1">
        <v>5.0</v>
      </c>
      <c r="F294" s="2">
        <v>6.03185510635376E14</v>
      </c>
    </row>
    <row r="295">
      <c r="A295" s="1">
        <v>293.0</v>
      </c>
      <c r="B295" s="1" t="s">
        <v>18</v>
      </c>
      <c r="C295" s="1" t="s">
        <v>313</v>
      </c>
      <c r="D295" s="1" t="s">
        <v>9</v>
      </c>
      <c r="E295" s="1">
        <v>6.0</v>
      </c>
      <c r="F295" s="2">
        <v>7.45464897155761E15</v>
      </c>
    </row>
    <row r="296">
      <c r="A296" s="1">
        <v>294.0</v>
      </c>
      <c r="B296" s="1" t="s">
        <v>7</v>
      </c>
      <c r="C296" s="1" t="s">
        <v>314</v>
      </c>
      <c r="D296" s="1" t="s">
        <v>9</v>
      </c>
      <c r="E296" s="1">
        <v>7.0</v>
      </c>
      <c r="F296" s="2">
        <v>7.35636305809021E14</v>
      </c>
    </row>
    <row r="297">
      <c r="A297" s="1">
        <v>295.0</v>
      </c>
      <c r="B297" s="1" t="s">
        <v>14</v>
      </c>
      <c r="C297" s="1" t="s">
        <v>315</v>
      </c>
      <c r="D297" s="1" t="s">
        <v>28</v>
      </c>
      <c r="E297" s="1">
        <v>4.0</v>
      </c>
      <c r="F297" s="2">
        <v>6.77424120903015E15</v>
      </c>
    </row>
    <row r="298">
      <c r="A298" s="1">
        <v>296.0</v>
      </c>
      <c r="B298" s="1" t="s">
        <v>16</v>
      </c>
      <c r="C298" s="1" t="s">
        <v>316</v>
      </c>
      <c r="D298" s="1" t="s">
        <v>28</v>
      </c>
      <c r="E298" s="1">
        <v>3.0</v>
      </c>
      <c r="F298" s="2">
        <v>6.82570767402648E15</v>
      </c>
    </row>
    <row r="299">
      <c r="A299" s="1">
        <v>297.0</v>
      </c>
      <c r="B299" s="1" t="s">
        <v>18</v>
      </c>
      <c r="C299" s="1" t="s">
        <v>317</v>
      </c>
      <c r="D299" s="1" t="s">
        <v>286</v>
      </c>
      <c r="E299" s="1">
        <v>0.0</v>
      </c>
      <c r="F299" s="2">
        <v>6.26741123199462E15</v>
      </c>
    </row>
    <row r="300">
      <c r="F300" s="2"/>
    </row>
    <row r="301">
      <c r="F301" s="2"/>
    </row>
    <row r="302">
      <c r="F302" s="2"/>
    </row>
    <row r="303">
      <c r="F303" s="2"/>
    </row>
    <row r="304">
      <c r="F304" s="2"/>
    </row>
  </sheetData>
  <autoFilter ref="$A$1:$F$299"/>
  <drawing r:id="rId1"/>
</worksheet>
</file>