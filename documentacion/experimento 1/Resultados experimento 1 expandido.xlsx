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amenteNota" sheetId="1" r:id="rId4"/>
  </sheets>
  <definedNames/>
  <calcPr/>
  <extLst>
    <ext uri="GoogleSheetsCustomDataVersion2">
      <go:sheetsCustomData xmlns:go="http://customooxmlschemas.google.com/" r:id="rId5" roundtripDataChecksum="NcXzpsf04YPD75k9O/4rWZl80vPMJ01vTP/kYk813EA="/>
    </ext>
  </extLst>
</workbook>
</file>

<file path=xl/sharedStrings.xml><?xml version="1.0" encoding="utf-8"?>
<sst xmlns="http://schemas.openxmlformats.org/spreadsheetml/2006/main" count="604" uniqueCount="309">
  <si>
    <t>step</t>
  </si>
  <si>
    <t>entrada</t>
  </si>
  <si>
    <t>contexto</t>
  </si>
  <si>
    <t>Primera corrida</t>
  </si>
  <si>
    <t>esperado</t>
  </si>
  <si>
    <t>Segunda corrida</t>
  </si>
  <si>
    <t>ERROR MAXIMO</t>
  </si>
  <si>
    <t>ERROR MEDIO ABSOLUTO</t>
  </si>
  <si>
    <t>SESGO DE CALIFICACION</t>
  </si>
  <si>
    <t>COINCIDENCIA EXACTA</t>
  </si>
  <si>
    <t>Exacto +-1 diferencia</t>
  </si>
  <si>
    <t>['Pregunta: Explica el ciclo TDD  y su importancia en el desarrollo de software.', 'Respuesta: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</si>
  <si>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['Eres un profesor experto en evaluación académica. Tu tarea es corregir respuestas de estudiantes, vas a obtener un par [Pregunta, Respuesta] tu funcion es evaluar la respuesta a la pregunta. No retornes nada mas que una nota numerica. Asigna una calificación numérica entre 0 y 10, donde 0 representa una respuesta completamente incorrecta o que no responde la pregunta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t>
  </si>
  <si>
    <t>['Pregunta: Compara TDD con un enfoque tradicional de testing en el desarrollo de software.', 'Respuesta: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</si>
  <si>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['Pregunta: Describe las buenas prácticas en TDD y su impacto en la calidad del software.', 'Respuesta: Las buenas prácticas del TDD son:\xa0\r\n\r\n* El código de cada test tiene que ser independiente de cada uno.\r\n\r\n* La implementación debe de ser clara, con comentarios explicando qué realiza cada método.\r\n\r\n* La implementación de cada test, de cada método para comprobar el test, tiene que ser independiente de los demás.\xa0\r\n\r\n*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desarrollado.\r\n\r\nEl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</si>
  <si>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['Pregunta: Explica la importancia de validar entradas en el contexto de TDD y cómo se relaciona con la robustez del software.', 'Respuesta: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etc.\xa0\r\n\r\nEs importante validar esos datos para realizar un buen proyecto y buen software a comprobar con el TDD ya que va a estar comprobado los test que se implementen en el código.']</t>
  </si>
  <si>
    <t>['Pregunta: Explica el ciclo TDD  y su importancia en el desarrollo de software.', 'Respuesta: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</si>
  <si>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['Pregunta: Compara TDD con un enfoque tradicional de testing en el desarrollo de software.', 'Respuesta: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</si>
  <si>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['Pregunta: Describe las buenas prácticas en TDD y su impacto en la calidad del software.', 'Respuesta: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</si>
  <si>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['Pregunta: Explica la importancia de validar entradas en el contexto de TDD y cómo se relaciona con la robustez del software.', 'Respuesta: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</si>
  <si>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['Pregunta: Explica el ciclo TDD  y su importancia en el desarrollo de software.', 'Respuesta: El ciclo TDD (Test-Driven Development) consiste en 3 pasos cíclicos para desarrollar un codigo por completo de manera fiable y modular. Los 3 pasos son los siguientes:\r\n\r\n1. Rojo: se hacen test que luego comprobarán el codigo del proyecto. Además, se prueban para que el test falle.\r\n\r\n2. Verde: se desarrolla el minimo codigo con el que se pueda pasar el test de esa parte del codigo. Y se prueba para que todos los test pasen.\r\n\r\n3. Refactor: se mejora el codigo manteniendo las pruebas test en verde.']</t>
  </si>
  <si>
    <t>['Pregunta: Compara TDD con un enfoque tradicional de testing en el desarrollo de software.', 'Respuesta: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pasen.\r\n\r\n\xa0\r\n\r\nEl enfoque de desarrollo del TDD hace que el codigo sea mas limpio, fiable y modular. Ya que esta estructura junto con los frameworks de testing pueden confirmar que se ha desarrollado exclusivamente el codigo justo y necesario para cada funcionalidad.']</t>
  </si>
  <si>
    <t>['Pregunta: Describe las buenas prácticas en TDD y su impacto en la calidad del software.', 'Respuesta: Tenemos diferentes buenas prácticas en TDD:\r\n\r\n* Que tengan un nombre descriptivo: es importante que los nombres de los test tengan nombres que describan lo que van a probar, con ello se consigue claridad en cuanto a saber que hace cada test cuando, por ejemplo, otro desarrollador lea los test que tienen que pasar su codigo.\r\n\r\n* Test unitarios: es decir, es necesario que un test no dependa de ningún otro. Así, nos podemos asegurar que cada parte del codigo que se necesite probar se desarrolla modularmente.']</t>
  </si>
  <si>
    <t>['Pregunta: Explica el ciclo TDD  y su importancia en el desarrollo de software.', 'Respuesta: El TDD es una metodologia en la que se crean unos test y posteriormente se programa las funcionalidades, tiene un ciclo iterativo el cual se basa en Rojo-Verde-Refactor:\r\n-Rojo: Se crean test que fallan por no tener implementadas las funcionalidades.\r\n-Verde: Se crean las funcionalidades para los test para que den correctos.\r\n-Refactor: Se mejoran las funcionalidades sin alterar el comportamiento.\r\n\r\nEl objetivo del TDD es el de guiar al diseño de software a traves de pruebas automaticas (test).\r\n\r\nGracias al TDD se pueden crear mejores diseños de software y aun que tenga un mayor tiempo de comienzo, al hacer primero los test y luego la programación consigues anteponerte a posibles errores, siempre y cuando sigas las buenas practicas del TDD.']</t>
  </si>
  <si>
    <t>['Pregunta: Compara TDD con un enfoque tradicional de testing en el desarrollo de software.', 'Respuesta: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</si>
  <si>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['Pregunta: Describe las buenas prácticas en TDD y su impacto en la calidad del software.', 'Respuesta: Entre las buenas practicas destacan sobre todo las siguientes:\r\n- Que tengan un nombre descriptivo, con ello consigues que sea más claro y facil de ver, evitando asi el poner demasiados comentarios para describir un test.\r\n- Que un test no dependa del anterior, es decir, que el resultado de un test sea todalmente independiente, con ello nos aseguramos de que no haya fallas en ambos si uno sale mal.\r\n\r\n-Que las funcionalidades solo vayan a UN solo test, que cada funcionalidad vaya al test que debe ir, sino se podrian agrupar assertions.']</t>
  </si>
  <si>
    <t>['Pregunta: Explica la importancia de validar entradas en el contexto de TDD y cómo se relaciona con la robustez del software.', 'Respuesta: Es muy importante el validar entradas ya que comienzas con una estructura muy robusta y correcta, sino a mitad del proceso se pueden volver los test fragil.']</t>
  </si>
  <si>
    <t>['Pregunta: Explica el ciclo TDD  y su importancia en el desarrollo de software.', 'Respuesta: El ciclo de TDD consiste en un formato de 3 pasos.\r\n\r\nEl primero consiste en el rojo, que se trata de un test que falla. Por ejemplo, has puesto una función sin definir\r\n\r\nEl segundo es el verde, que trata de implementar lo mínimo para que pase dicho test. Por ejemplo, como he dicho en el paso anterior definir esa función era lo mínimo para que pase el test\r\n\r\nY por último, refactor, que consiste en mejorar dicho código que ha pasado el test. Por ejemplo, has renombrado las variables que no tenían nombres muy significativos o has mejorado alguna función que era demasiado compleja\r\n\r\nEs importante en el desarrollo de software para grupos nuevos debido a que dicho software se desarrolla de manera progresiva']</t>
  </si>
  <si>
    <t>['Pregunta: Compara TDD con un enfoque tradicional de testing en el desarrollo de software.', 'Respuesta: En el enfoque tradicional de testing en el desarrollo de software es algo que se centra más en el código que pasar los test, los test se consideran algo secundario.\xa0\r\n\r\nEn el desarrollo del TDD se centra más en el partado de los test que el desarrollo del código en si.']</t>
  </si>
  <si>
    <t>['Pregunta: Describe las buenas prácticas en TDD y su impacto en la calidad del software.', 'Respuesta: Las buenas prácticas del TDD trata de mejorar el desarrollo de software progresivamente durante el desarrollo y que sea más accesible para que otros integrantes del grupo puedan seguir mejorando dicho código.\r\n\r\nHace que la calidad del software incremente de manera exponencial y que sea accesible para todos']</t>
  </si>
  <si>
    <t>['Pregunta: Explica la importancia de validar entradas en el contexto de TDD y cómo se relaciona con la robustez del software.', 'Respuesta: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</si>
  <si>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['Pregunta: Explica el ciclo TDD  y su importancia en el desarrollo de software.', 'Respuesta: El ciclo TDD (Test Driven Development) es una metodología utilizada en la ingeniería del software que permite implementar los requisitos a código mediante el uso de pruebas o tests. Para ello, sigue el siguiente ciclo de tests:\r\n\r\n-Rojo: se escribe un test que no cumple, no pasa, va a fallar (ya que las clases y métodos no están todavía implementados).\r\n\r\n-Verde: se implementa el código mínimo para que el test anterior pase sin ningún problema\r\n\r\n-Refactor: se mejora\xa0 el código o estructura interna sin afectar a la salida o comportamiento del programa.\r\n\r\nEl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</si>
  <si>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['Pregunta: Compara TDD con un enfoque tradicional de testing en el desarrollo de software.', 'Respuesta: En el TDD se escriben primero los tests y luego el código en base a lo que cubren dichas pruebas, pero en el testing tradicional primero va el código y luego los tests en función de dicho código.\r\n\r\nEn el TDD se utiliza una programación proactiva y en el testing tradicional se utiliza una programación reactiva.\r\n\r\nEn el TDD, los tests son obligatorios (ya que el código va a depender de ellos). Sin embargo, en el testing tradicional, los tests son opcionales (pueden estar o no).\r\n\r\nEn el testing tradicional es más probable que existan bugs y código innecesario o sin ejecutar, mientras que en el TDD se minimiza considerablemente la probabilidad de tener bugs y se implementa el código necesario para que el programa funcione correctamente.']</t>
  </si>
  <si>
    <t>['Pregunta: Describe las buenas prácticas en TDD y su impacto en la calidad del software.', 'Respuesta: -El uso del principio FIRST debe utilizarse para crear tests rápidos, independientes, reutilizables e invariables en el tiempo.\r\n\r\n-Se debe escribir el código estrictamente necesario para que sea cubierto por los tests.\r\n\r\n-En cuanto al refactor, se deben incluir mejoras que fomenten la eficiencia de nuestro código, sin afectar al comportamiento del mismo.\r\n\r\n-Se debe implementar una estructura AAA (A..., ACT, ASSERT) en los tests para que queden lo más completos posibles.']</t>
  </si>
  <si>
    <t>['Pregunta: Explica la importancia de validar entradas en el contexto de TDD y cómo se relaciona con la robustez del software.', 'Respuesta: Es importante validar entradas en el contexto de TDD puesto que garantiza que el código no devuelva valores erróneos o sin sentido, permitiendo que el código sea eficiente y robusto.']</t>
  </si>
  <si>
    <t>['Pregunta: Explica el ciclo TDD  y su importancia en el desarrollo de software.', 'Respuesta: El ciclo TDD (Test Driven Development), se basa en desarrollar aplicaciones siguiendo el ciclo Red - Green - Refactor. Este ciclo consta:\r\nEn el primer paso, Red, crear un test que falle. En el segundo paso, Green, escribir lo mínimo necesario para que ese test escrito pase. Y por último en Refactor, optimizar y mejorar el código ya escrito.\r\n\r\nPor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</si>
  <si>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['Pregunta: Compara TDD con un enfoque tradicional de testing en el desarrollo de software.', 'Respuesta: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</si>
  <si>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['Pregunta: Describe las buenas prácticas en TDD y su impacto en la calidad del software.', 'Respuesta: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ejemplo.\r\n\r\n\xa0\r\n\r\nOtra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(Assert).\r\n\r\n\xa0\r\n\r\nEstas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</si>
  <si>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['Pregunta: Explica la importancia de validar entradas en el contexto de TDD y cómo se relaciona con la robustez del software.', 'Respuesta: La validación de entradas en los ciclos TDD es importante ya que te encargas de que las entradas existen y evitas que haya algún tipo de inconsistencia de datos.']</t>
  </si>
  <si>
    <t>['Pregunta: Explica el ciclo TDD  y su importancia en el desarrollo de software.', 'Respuesta: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</si>
  <si>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['Pregunta: Compara TDD con un enfoque tradicional de testing en el desarrollo de software.', 'Respuesta: El mecanismo TDD se ejecutan pruebas y luego se escribe el código, mientras que el enfoque tradicional se realiza el código y luego se ejecutan los test']</t>
  </si>
  <si>
    <t>['Pregunta: Describe las buenas prácticas en TDD y su impacto en la calidad del software.', 'Respuesta: poner nombres simples e intuitivos, seguir el enfoque de las tres AAA y no probar varias funcionalidades en un mismo test, hacer varias que prueben y testeen una por una']</t>
  </si>
  <si>
    <t>['Pregunta: Explica la importancia de validar entradas en el contexto de TDD y cómo se relaciona con la robustez del software.', 'Respuesta: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</si>
  <si>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['Pregunta: Explica el ciclo TDD  y su importancia en el desarrollo de software.', 'Respuesta: El ciclo TDD o desarrollo de pruebas guiado\xa0, es una metodologia, en el que las pruebas se desarrollan antes que el codigo de produccion. Es un ciclo corto y continuo y se divide en tres fases:\r\n\r\nCiclo Rojo, se desarrolla el el test y este no pasara ya que todavia no se ha implementado el codigo.\r\n\r\nCiclo Verde, se implementa el codigo minimo, y los test pasaran.\r\n\r\nCiclo Refactor, se mejora el codigo, manteniendolos test.\r\n\r\nEsto garantiza un codigo limpio, bien modulado, reduciendo la cantidad de codigo y el debugging']</t>
  </si>
  <si>
    <t>['Pregunta: Compara TDD con un enfoque tradicional de testing en el desarrollo de software.', 'Respuesta: Las principales ventajas de TDD respecto a un enfoque tradicional de testing en desarrollo software, son que el codigo se reduce, mayor seguridad al refactorizar, codigo mas limpio y mas modulado, menos errores y tambien disminuye el tiempo de debugging.']</t>
  </si>
  <si>
    <t>['Pregunta: Describe las buenas prácticas en TDD y su impacto en la calidad del software.', 'Respuesta: Desarrollar buenas en TDD es muy importante ya mejora la calidad del software notablemente, en el desarrollo de los tests prima la calidad a la cantidad, tambien es muy importante desarrollar codigo bien estructurado, ya que esto los errores,']</t>
  </si>
  <si>
    <t>['Pregunta: Explica la importancia de validar entradas en el contexto de TDD y cómo se relaciona con la robustez del software.', 'Respuesta: Validar la entradas de contexto es importante ya que evita conflictos en el codigo y esto hace que el codigo sea mas robusto.']</t>
  </si>
  <si>
    <t>['Pregunta: Explica el ciclo TDD  y su importancia en el desarrollo de software.', 'Respuesta: El tdd, signfica test-driven-development, y es una metodologia de desarrollo de software, que se basa principalmente en test.\r\n\r\nSe caracteriza por:\r\n\r\nun test en rojo, donde el codigo proporcionado no pasa el test,\r\n\r\nluego un test en verde el cual pasa el test pero con un codigo minimo.\r\n\r\ny finalmente refactor, donde mientras el test esta en verde, depuramos el codigo, hacemos una limpieza de variables, las duplicadas las eliminamos, etc...\r\n\r\nrojo --&gt; verde --&gt; refactor\r\n\r\nEs importante este ciclo en el desarrollo ya que, trabajamos en base a los test, los cuales pueden ahorrarnos ciertos bugs, aunque es mas tedioso primero hacer el test, seguirlos, puede hacer que hagamos un codigo mas simple']</t>
  </si>
  <si>
    <t>['Pregunta: Compara TDD con un enfoque tradicional de testing en el desarrollo de software.', 'Respuesta: TDD --&gt;\r\n\r\n-Realizamos el test, y luego hacemos en codigo de produccion en base al mismo\r\n\r\n-Usamos los test a modo de especificacion\r\n\r\n-Es un enfoque proactivo\r\n\r\n-Los test son obligatorios\r\n\r\nEnfoque tradicional --&gt;\r\n\r\n-Primero realizamos el codigo y luego el test\r\n\r\n-Usamos los test a modo de verificacion\r\n\r\n-Hacemos los test de manera reactiva, es decir, en base al codigo\r\n\r\n-Los test no son obligatorios, son opcionales']</t>
  </si>
  <si>
    <t>['Pregunta: Describe las buenas prácticas en TDD y su impacto en la calidad del software.', 'Respuesta: Para realizar buenas practicas nos basaremos sobre todo en la practica FIRST, cuyas siglas significan --&gt;\r\n\r\nF\xa0 &lt;fast&gt; Los test deben ser rapidos\r\n\r\nI\xa0 \xa0&lt;independency&gt; los test deben ser aislados, ejecutarse de manera independiente\xa0\r\n\r\nR &lt;repeteable&gt; Los test se pueden ejecutar sin importar el entorno donde se ejecuten\xa0\r\n\r\nS &lt;self-validating&gt; Se debe ver claramente si los test pasan o estan en rojo\r\n\r\nT &lt;timely&gt; Debemos saber en que momentos puntuales hay que añadir codigo o test, no hacerlo a lo loco']</t>
  </si>
  <si>
    <t>['Pregunta: Explica la importancia de validar entradas en el contexto de TDD y cómo se relaciona con la robustez del software.', 'Respuesta: Porque no puedes escribir codigo a lo loco, al final necesitas ajustarte a unos parametros para que el test pueda pasar por esas lineas que va a comprobar, y que este pueda entenderlo']</t>
  </si>
  <si>
    <t>['Pregunta: Explica el ciclo TDD  y su importancia en el desarrollo de software.', 'Respuesta: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</si>
  <si>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['Pregunta: Compara TDD con un enfoque tradicional de testing en el desarrollo de software.', 'Respuesta: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</si>
  <si>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['Pregunta: Describe las buenas prácticas en TDD y su impacto en la calidad del software.', 'Respuesta: 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</si>
  <si>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['Pregunta: Explica la importancia de validar entradas en el contexto de TDD y cómo se relaciona con la robustez del software.', 'Respuesta: 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</si>
  <si>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['Pregunta: Explica el ciclo TDD  y su importancia en el desarrollo de software.', 'Respuesta: El ciclo TDD se trata de un desarrollo basado en los tests, de ahí su nombre: Test-Drive-Development. Consta de las siguientes fases:\r\n\r\n1. Fase RED: se crea un test que va a fallar. Por ejemplo se crea un test llamado comprobarDescuento, pues falla ya que no hay un modelo existente descuento.java o un método existente aplicarDescuento.\r\n\r\n2. Fase GREEN: se implementa el mínimo código necesario para que el test funcione (pase verde). Siguiendo el ejemplo anterior: se implementaría el modelo y el método mencionado para que ya funcione.\r\n\r\n3. Fase REFACTOR: fase donde se mejora el código test anterior, bien sea optimizando el código o desarrollándolo de manera más eficiente con la intención simplemente de mejora. Como ejemplo se modificaría el test comprobarDescuento.\r\n\r\nLa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</si>
  <si>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['Pregunta: Compara TDD con un enfoque tradicional de testing en el desarrollo de software.', 'Respuesta: 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no.\xa0\r\n\r\nPor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</si>
  <si>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['Pregunta: Describe las buenas prácticas en TDD y su impacto en la calidad del software.', 'Respuesta: Las buenas prácticas en el TDD, se conocen con el acrónimo de FIRST. Cada letra define una característica distinta:\r\n\r\nF: Fiable\r\n\r\nI: Independiente\r\n\r\nR: Repetible\r\n\r\nS:\xa0\r\n\r\nT:\r\n\r\nTodas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</si>
  <si>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['Pregunta: Explica la importancia de validar entradas en el contexto de TDD y cómo se relaciona con la robustez del software.', 'Respuesta: 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</si>
  <si>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['Pregunta: Explica el ciclo TDD  y su importancia en el desarrollo de software.', 'Respuesta: 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</si>
  <si>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['Pregunta: Compara TDD con un enfoque tradicional de testing en el desarrollo de software.', 'Respuesta: 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</si>
  <si>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['Pregunta: Describe las buenas prácticas en TDD y su impacto en la calidad del software.', 'Respuesta: 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</si>
  <si>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['Pregunta: Explica la importancia de validar entradas en el contexto de TDD y cómo se relaciona con la robustez del software.', 'Respuesta: Son clave ya que permiten usar un test para distintos casos y asi evitar codigo duplicado. Gracias a esto se tiene una mejor estructuracion del codigo y por tanto sea mas eficaz.']</t>
  </si>
  <si>
    <t>['Pregunta: Explica el ciclo TDD  y su importancia en el desarrollo de software.', 'Respuesta: 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codigo.\r\nLos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pruebas.\r\n\r\nUn ejemplo de test pueden ser los assertion test los cuales en funcion del tipo de test sabremos si este pasa o no, un ejemplo de ellos son los AssertionNull donde comprobamos si el parametro es nulo o no']</t>
  </si>
  <si>
    <t>['Pregunta: Compara TDD con un enfoque tradicional de testing en el desarrollo de software.', 'Respuesta: 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</si>
  <si>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['Pregunta: Describe las buenas prácticas en TDD y su impacto en la calidad del software.', 'Respuesta: Entre las buenas practicas del TDD podemos identificar 2 principalmente:\xa0\r\nEl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obtenidos.\r\n\r\nTambien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Test1\r\n\r\nEstas 2 practicas son un ejemplo de las buenas practicas que se han de tener en cuenta en el desarrollo del TDD y tienen un impacto en el orden del codigo y su legibilidad a la hora de su modificacion o implementacion']</t>
  </si>
  <si>
    <t>['Pregunta: Explica la importancia de validar entradas en el contexto de TDD y cómo se relaciona con la robustez del software.', 'Respuesta: 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</si>
  <si>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['Pregunta: Explica el ciclo TDD  y su importancia en el desarrollo de software.', 'Respuesta: 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</si>
  <si>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['Pregunta: Compara TDD con un enfoque tradicional de testing en el desarrollo de software.', 'Respuesta: 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</si>
  <si>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['Pregunta: Describe las buenas prácticas en TDD y su impacto en la calidad del software.', 'Respuesta: Es importante seguir el ciclo de tdd, (RED, GREEN, REFACTOR)\r\n\r\nPara la escritura de los test es necesario basarse en los test unitarios. Estos test se les caracteriza por lo siguiente:\r\n\r\n-abarcan pequeños fragmentos de código, es decir funciones.\r\n\r\n-son test únicos ( no reutilizables\r\n\r\n-son reutilizables\r\n\r\n-suelen referirse a un solo requisito\r\n\r\n-deben empezar en Rojo\r\n\r\n\xa0\r\n\r\nAdemás de los test unitarios, se deben hacer pruebas de integración.\r\n\r\nCon esto disminulle considerablemente la tasa de bugs, hace que el código sea más profesional, nos da herramientas útiles para la refactorización del código, además de que se evita la escritura del código inutil ya que con los test, se acota el desarrollo.']</t>
  </si>
  <si>
    <t>['Pregunta: Explica la importancia de validar entradas en el contexto de TDD y cómo se relaciona con la robustez del software.', 'Respuesta: 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</si>
  <si>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['Pregunta: Explica el ciclo TDD  y su importancia en el desarrollo de software.', 'Respuesta: El ciclo TDD, es una metodología de desarrollo de software que se basa en la producción de tests para la reducción de bugs y problemas a la hora del desarrollo.\r\nEste consta de 3 fases:\r\n- La primera fase en la que se crean los tests antes que el código (al no haber código para los tests, los resultados salen en rojo y los tests fallan)\r\n-La segunda fase en la que se crea el código en base a los tests previamente creados (ahora los tests salen en verde y pasan)\r\n-La tercera fase donde se refactoriza, se mejora el codigo ya escrito manteniendo los tests en verde.']</t>
  </si>
  <si>
    <t>['Pregunta: Compara TDD con un enfoque tradicional de testing en el desarrollo de software.', 'Respuesta: El TDD comparado a un enfoque tradicional de testing en el desarrollo de software difiere en varias metodologías y procesos de desarrollo:\r\n\r\nEn el TDD el codigo se crea a partir de tests previamente creados (los tests son lo inicial y lo importante)\r\nEn un enfoque tradicional los tests van después del codigo ya creado.\r\n\r\nEn el TDD se prioriza la cobertura general del codigo (que todos los caminos del codigo tomen parte dentro de los tests).\r\nEn un enfoque tradicional esto puede no ser asi, y puede carecer de tests suficientes para cubrir todo el codigo.\r\n\r\nEl TDD pasa por varias fases para garantizar el buen desarrollo del codigo, a partir de los tests (fase inicial de test rojos, fase de codigo con tests verdes y refactorizacion de codigo donde se mejora el codigo y los tests siguen verdes)\r\nEn un enfoque tradicional el codigo es lo primero y se mejora sin tener en cuenta las guias de los tests']</t>
  </si>
  <si>
    <t>['Pregunta: Describe las buenas prácticas en TDD y su impacto en la calidad del software.', 'Respuesta: Algunas buenas practicas en TDD pueden ser:\r\n\r\n* Variacion en los tipos de tests\r\n\r\n* Tests unitarios y end to end\r\n\r\n* Refactorizacion de codigo a partir de tests\r\n\r\n* Cobertura general del codigo por encima del 70%\r\n\r\nEstas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correcta.\r\n\r\nLa cobertura general asegura que al menos el 70% del codigo esta testeado y por ende hay una mayoria libre de errores/bugs aunque los tests en verde no aseguren al 100% que no haya bugs']</t>
  </si>
  <si>
    <t>['Pregunta: Explica la importancia de validar entradas en el contexto de TDD y cómo se relaciona con la robustez del software.', 'Respuesta: La validación de entradas en el contexto de TDD, es realmente importante ya que cualquier zona del código que permita el input/entrada es potencialmente una brecha de seguridad que debe ser testeada de distintas formas para confirmar que es seguro mantener una entrada allí.\r\n\r\nEsto naturalmente conlleva a un software mas robusto y seguro.']</t>
  </si>
  <si>
    <t>['Pregunta: Explica el ciclo TDD  y su importancia en el desarrollo de software.', 'Respuesta: El ciclo TDD (Test Driven Development) es una manera de realizar proyectos de informatica que implican y tienen una parte muy importante de programacion. Su ciclo es:\r\n\r\n-red: En este punto se ha hecho un test el cual no pasa las pruebas correspondientes\r\n\r\n-green: En este punto se ha hecho el minimo codigo necesario como para que se pase el test\xa0\r\n\r\n-refactor: Aquí se implementa de una manera mas profunda y detallada codigo para que pase los diferentes test, ademas de que sea profesional, y este bien organizado y estructurado.\xa0\r\n\r\nEl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</si>
  <si>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['Pregunta: Compara TDD con un enfoque tradicional de testing en el desarrollo de software.', 'Respuesta: TDD nos permite validar y comprobar todas las partes de nuestro codigo, ya que todo lo que vamos haciendo parte de los diferentes tests que se van desarrollando e implementando; y a medida que vamos avanzando se alcanza una mayor cobertura y estabilidad en nuestro codigo.\xa0\r\n\r\nEsto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</si>
  <si>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['Pregunta: Describe las buenas prácticas en TDD y su impacto en la calidad del software.', 'Respuesta: 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produccion.\xa0\r\n\r\nSi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implementado.\xa0\r\nPor ultimo tambien tendriamos la cobertura de los tests, es decir hacer tests verificando que cumplen lo que tienen que hacer y van a ser funcionales; dando la maxima cobertura posible y asegurandonos de que estos esten bien realizados e implementados.']</t>
  </si>
  <si>
    <t>['Pregunta: Explica la importancia de validar entradas en el contexto de TDD y cómo se relaciona con la robustez del software.', 'Respuesta: 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cobertura.\xa0\r\nEsto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</si>
  <si>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['Pregunta: Explica el ciclo TDD  y su importancia en el desarrollo de software.', 'Respuesta: 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tests.\xa0\r\n\r\nEl ciclo que sigue el desarrollo es Rojo-Verde-Refactor:\r\n\r\n* Rojo: Se hace el test y falla (se pone en rojo) ya que no hay código.\r\n\r\n* Verde: Una vez hecho el test, se hace el código para que pase el test correctamente (verde).\r\n\r\n* Refactro: Manteniendo el verde, se edita el código para hacerlo más legible, sencillo, etc.']</t>
  </si>
  <si>
    <t>['Pregunta: Compara TDD con un enfoque tradicional de testing en el desarrollo de software.', 'Respuesta: Si comparamos TDD con un enfoque tradicional (EF) de testing podemos ver que:\r\n\r\n* En TDD se hacen primero los tests y después el código, y en el EF se hace primero el código y después el test.\r\n\r\n* En TDD se usan los test (como prerequisito) para ir desarollando el código y que este los pase, y en el EF se van desarollando los test para lograr que pasen el código.\r\n\r\n* TDD es proactivo y el EF es reactivo.']</t>
  </si>
  <si>
    <t>['Pregunta: Describe las buenas prácticas en TDD y su impacto en la calidad del software.', 'Respuesta: 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</si>
  <si>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['Pregunta: Explica la importancia de validar entradas en el contexto de TDD y cómo se relaciona con la robustez del software.', 'Respuesta: 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</si>
  <si>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['Pregunta: Explica el ciclo TDD  y su importancia en el desarrollo de software.', 'Respuesta: TDD (Test Driven Development) es una metodología de desarrollo de software según la cual antes de empezar a programar se definen unos test o pruebas mínimas que deben superar. El proceso se divide en 3 fases: rojo, verde y refactor.\xa0\xa0\r\n\r\nLa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test.\r\n\r\nLa segunda fase (verde) es la implementación del código. En esta se escriben las funciones necesarias para que dichos test pasen las distintas pruebas. No deben ser perfecto, solo pasar el test (de ahí el nombre, el color que da el test aprobado).\r\n\r\nPor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final.\r\n\r\nEn general, su importancia surge en productos acotados y de carácter empresarial, pues da una estructura robusta y con una especificación clara. Sin embargo, para productos más abiertos, esta metodología podría no tener sentido.']</t>
  </si>
  <si>
    <t>['Pregunta: Compara TDD con un enfoque tradicional de testing en el desarrollo de software.', 'Respuesta: 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iniciales.\r\n\r\nAmbas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</si>
  <si>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['Pregunta: Describe las buenas prácticas en TDD y su impacto en la calidad del software.', 'Respuesta: 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</si>
  <si>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['Pregunta: Explica la importancia de validar entradas en el contexto de TDD y cómo se relaciona con la robustez del software.', 'Respuesta: 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</si>
  <si>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['Pregunta: Explica el ciclo TDD  y su importancia en el desarrollo de software.', 'Respuesta: 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</si>
  <si>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['Pregunta: Compara TDD con un enfoque tradicional de testing en el desarrollo de software.', 'Respuesta: 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</si>
  <si>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['Pregunta: Describe las buenas prácticas en TDD y su impacto en la calidad del software.', 'Respuesta: 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</si>
  <si>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['Pregunta: Explica la importancia de validar entradas en el contexto de TDD y cómo se relaciona con la robustez del software.', 'Respuesta: 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</si>
  <si>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['Pregunta: Explica el ciclo TDD  y su importancia en el desarrollo de software.', 'Respuesta: 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funcionan).\r\n\r\nEs importante ya que nos ayuda a reducir la cantidad de debugs y a la simplificación de código.']</t>
  </si>
  <si>
    <t>['Pregunta: Compara TDD con un enfoque tradicional de testing en el desarrollo de software.', 'Respuesta: Enfoque tradicional:\r\n\r\n* Primero realiza el código y luego los tests.\r\n\r\n* Usa los tests a modo de verificación.\r\n\r\n* Es reactivo.\r\n\r\n* Los tests no son obligatorios, son opcionales.\r\n\r\nTDD:\r\n\r\n* Primero realiza los tests y a continuación el código.\r\n\r\n* Usa los tests a modo de especificación.\r\n\r\n* Es proactivo.\r\n\r\n* Los tests son obligatorios.']</t>
  </si>
  <si>
    <t>['Pregunta: Describe las buenas prácticas en TDD y su impacto en la calidad del software.', 'Respuesta: Para llevar a cabo unas buenas prácticas en el TDD debemos hacer uso de la metodología FIRST la cual consta con cinco puntos clave:\r\n\r\n* Fast (F): Los tests funcionan con rapidez.\r\n\r\n* Independency (I): Los tests deben de ser independientes entre si.\r\n\r\n* Repeteable (R): Los tests deben realizar el mismo funcionamiento y de igual manera en cualquier entorno.\r\n\r\n* Self-Validation (S): Tienen una validación propia para saber si funcionan o no.\r\n\r\n* Timely (T):\xa0\r\n\r\nSu mpacto de calidad en el software es la mejora de código, la reducción de debugging, documentación viva, etc.']</t>
  </si>
  <si>
    <t>['Pregunta: Explica la importancia de validar entradas en el contexto de TDD y cómo se relaciona con la robustez del software.', 'Respuesta: La validación de entradas es clave para tener un código consistente y que no de marguen a errores imprevisto o respuestas no esperadas, de esta manera impedimos que el sistema reciba algo para lo cual no está entrenado dando un mal servicio.']</t>
  </si>
  <si>
    <t>['Pregunta: Explica el ciclo TDD  y su importancia en el desarrollo de software.', 'Respuesta: El ciclo TDD (Test Driven Development) describe el ciclo tomado por la metodología de desarrollo de software conocida como TDD. Este ciclo tiene tres pasos principales: Red, Green, Refactor.\r\n\r\nEl primer paso, Red, consiste en escribir un test que fallé (ya que el código fuente no esta implementado).\r\n\r\nLuego, en el paso Green, se escribe el código mínimo para superar el test.\r\n\r\nPor último, en el paso Refactor, se mejora el código de la fase previa manteniendo los tests verdes.\xa0\r\n\r\nEs decir, el ciclo TDD tiene la siguiente secuencia: Red --&gt; Green --&gt; Refactor.\r\n\r\nSiendo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</si>
  <si>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['Pregunta: Compara TDD con un enfoque tradicional de testing en el desarrollo de software.', 'Respuesta: 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fuente.\r\n\r\nEn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</si>
  <si>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['Pregunta: Describe las buenas prácticas en TDD y su impacto en la calidad del software.', 'Respuesta: Existen varias buenas prácticas en TDD. Entre estas se encuentran:\r\n\r\n* La nomenclatura de los tests que deben ser descriptivos en cuanto a que se esta testeando y que resultado se espera\r\n\r\n* Cada test debe ser independiente. Es decir, se considera buena práctica hacer más tests que verifican funcionalidades individuales y no agrupar varias verificaciones en un mismo test.\r\n\r\n* En el paso Green, escribir el código mínimo que cumpla un test.\r\n\r\n* En el paso Refactor, mejorar el código de la fase previa sin alterar su funcionalidad. Esto podría ser mejorar la estructura del proyecto (separación de carpetas, etc.), optimizar algortimos, añadir validaciones, etc.\r\n\r\nEn relación con la calidad del software, seguir estas y otras buenas prácticas dentro de la metodología TDD garantizan un código mas modular, legible y fiable durante su desarrollo.']</t>
  </si>
  <si>
    <t>['Pregunta: Explica la importancia de validar entradas en el contexto de TDD y cómo se relaciona con la robustez del software.', 'Respuesta: En el contexto de TDD (Test Driven Development), la validación de entradas es crucial para el desarrollo y la robustez del software.\r\n\r\nLa validación de entradas minimiza la aparición de errores, excepciones a base de casos edge y optimiza la seguridad, fiabilidad y robustez del software.']</t>
  </si>
  <si>
    <t>['Pregunta: Explica el ciclo TDD  y su importancia en el desarrollo de software.', 'Respuesta: TDD tiene estas fases:\r\n\r\n-Rojo: hacer un test que falle.\r\n\r\n-Verde: hacer que el test salga verde (que no de errores) con la minima implementacion de codigo.\r\n\r\n-Refactor: mejorar los test manteniendo el verde en los test.\r\n\r\nTiene bastante importancia en el desarrollo de software ya que de esta forma nos vamos enterando al instante de los errores en los test.']</t>
  </si>
  <si>
    <t>['Pregunta: Compara TDD con un enfoque tradicional de testing en el desarrollo de software.', 'Respuesta: Diferencias:\r\n\r\n-TDD empieza haciendo los test y después el código y el tradicional empieza por el código y después hace los test.\r\n\r\n-TDD tiene un código preventivo y el tradicional proactivo.\r\n\r\n-TDD utiliza menos código.']</t>
  </si>
  <si>
    <t>['Pregunta: Describe las buenas prácticas en TDD y su impacto en la calidad del software.', 'Respuesta: -Empezar haciendo un test que salga rojo(error).\r\n\r\n-Modificar el test rojo con la menor implementación de codigo para que salga verde(funciona).\r\n\r\n-Refactor: mejorar la calidad del test verde.\r\n\r\nEsto tiene bastante impacto en la calidad del software ya que todo el código está de manera eficiente y nos permite darnos cuenta de los errores al momento.']</t>
  </si>
  <si>
    <t>['Pregunta: Explica la importancia de validar entradas en el contexto de TDD y cómo se relaciona con la robustez del software.', 'Respuesta: La validación de entradas sirve para comprobar duplicaciones o errores, manteniendo la robustez del software.\r\n\r\nPor ejemplo si hay un error de entrada o una duplicación eso dará error, perjudicando la robustez del software.']</t>
  </si>
  <si>
    <t>['Pregunta: Explica el ciclo TDD  y su importancia en el desarrollo de software.', 'Respuesta: El ciclo TDD es una manejar de probar el código a base de tests, primero se ejecutan los tests y luego el código, para ello se hace uso de 3 fases:\r\n\r\n-Test rojo: Se ejecutan los test para que falle\r\n\r\n-Test verde: Se añade el código mínimo para que los test pasen\r\n\r\n-Refactor: Mejoras el código del test, este debe seguir pasando.\r\n\r\nEs importante para el desarrollo ya que al corregir primero los test cuando\xa0 han fallado con lo mínimo, cuando haces el refactor mejoras esto y minimizas riesgos de error.']</t>
  </si>
  <si>
    <t>['Pregunta: Compara TDD con un enfoque tradicional de testing en el desarrollo de software.', 'Respuesta: * TDD primero reliza los test y luego el código, mientras que el tradicional, lo realiza al reves, primero el código y luego los tests.\r\n\r\n* TDD contiene menor código']</t>
  </si>
  <si>
    <t>['Pregunta: Describe las buenas prácticas en TDD y su impacto en la calidad del software.', 'Respuesta: * En la fase de test verde, escribir la menor cantidad de código posible\r\n\r\n* En la fase de test rojo no pasar los tests\r\n\r\n* En la fase de refactor, mejorar el código del verde para mejorar su rendimiento\r\n\r\nEstas buenas prácticas, son las que suponen el correcto funcionamiento de este método, y si se realizan correctamente esto supone un código más eficiente y claro ya que al ir mejorando poco a poco vas a saber posibles errores.\r\n\r\nUn ejemplo que demuestra esto es, al pasar de la fase verde a refactor, si un test te da error al mejorarlo, sabes que el problema es en el test, no en el código']</t>
  </si>
  <si>
    <t>['Pregunta: Explica la importancia de validar entradas en el contexto de TDD y cómo se relaciona con la robustez del software.', 'Respuesta: 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</si>
  <si>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['Pregunta: Explica el ciclo TDD  y su importancia en el desarrollo de software.', 'Respuesta: 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(Refactor).\r\n\r\n\xa0\r\n\r\nSu importancia se basa en que reducir el codigo de produccion, solo se escribe lo necesario.']</t>
  </si>
  <si>
    <t>['Pregunta: Compara TDD con un enfoque tradicional de testing en el desarrollo de software.', 'Respuesta: Tradicional: Las Clases test son creadas despues de produccion, test reactivos, tests basados en el código de producción.\r\n\r\nTDD: Las clases test son creadas antes que código de procuccion, tests proactivos, código de producción guiado por tests.']</t>
  </si>
  <si>
    <t>['Pregunta: Describe las buenas prácticas en TDD y su impacto en la calidad del software.', 'Respuesta: FIRST\r\n\r\nFast: Tests rápidos.\r\n\r\nIndependency: Los tests deben ser independientes.\r\n\r\nRepeteable: Los tests deben funcionar en cualquier entorno.\r\nSelf-verified: Los tests muestran claramente si pasan o no.\r\nTimely: Tests escritos en el momento preciso.\r\n\r\nLa calidad del software se ve afectada debido a que esto es lo necesario para que las pruebas sean eficientes(Fast), que los tests no impacten unos con otros (independency), poder trasladar las pruebas a otros entornos(Repeteable), evitar confusiones (Self-verified)']</t>
  </si>
  <si>
    <t>['Pregunta: Explica la importancia de validar entradas en el contexto de TDD y cómo se relaciona con la robustez del software.', 'Respuesta: 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</si>
  <si>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['Pregunta: Explica el ciclo TDD  y su importancia en el desarrollo de software.', 'Respuesta: El ciclo TDD consiste en la elaboración de los tests antes del código en sí. Para ello, se pasa por 3 fases distintas:\r\n1. Rojo: Elaboración inicial del test. En este paso salen errores, ya que el método aún no ha sido creado.\r\n\r\n2. Verde: Se escribe el código que comprobarán los tests, de manera que estos ya funcionan.\r\n\r\n3. Refactor: En esta fase se mejoran detalles de los tests, haciendo así que estos estén más completos, como dar nombres más precisos a las variables.\r\n\r\nGracias al método TDD, se obtienen códigos más completos y con un funcionamiento garantizado, ya que se deben contemplar la mayor cantidad de posibilidades a la hora de realizar los tests, asegurándose el programador de que no queden casos sin cubrir.']</t>
  </si>
  <si>
    <t>['Pregunta: Compara TDD con un enfoque tradicional de testing en el desarrollo de software.', 'Respuesta: 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</si>
  <si>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['Pregunta: Describe las buenas prácticas en TDD y su impacto en la calidad del software.', 'Respuesta: El TDD tiene un gran impacto en la calidad el software, puesto que cuanto más se cubra con los test, menos posibilidad de error habrá. En cuanto a sus buenas prácticas,']</t>
  </si>
  <si>
    <t>['Pregunta: Explica la importancia de validar entradas en el contexto de TDD y cómo se relaciona con la robustez del software.', 'Respuesta: 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</si>
  <si>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['Pregunta: Explica el ciclo TDD  y su importancia en el desarrollo de software.', 'Respuesta: El Test Driven Development es un ciclo de desarrollo de software donde se realizan las pruebas antes que el código, es decir, se utiliza un enfoque proactivo y preventivo, en vez del reactivo de los test normales. Estos test tienen tres tipos de resultados:\xa0\r\n\r\n* Rojo: El test da error ya que no está la parte del código sobre la que se realiza el test desarrollada\r\n\r\n* Verde: Se ha realizado el mínimo de código para que pase el test\r\n\r\n* Refactorización: Se mejora el código.']</t>
  </si>
  <si>
    <t>['Pregunta: Compara TDD con un enfoque tradicional de testing en el desarrollo de software.', 'Respuesta: El TDD es proactivo y preventivo, es decir, el código se basa en el test, al contrario que el enfoque tradicional donde tenemos reactivdad y el test basándose en el código.']</t>
  </si>
  <si>
    <t>['Pregunta: Describe las buenas prácticas en TDD y su impacto en la calidad del software.', 'Respuesta: Estructura dividida en tres pasos: preparacción, desarrollo y comparación.\r\n\r\nNomenclatura:\xa0 ()_parte afectado_resultado esperado']</t>
  </si>
  <si>
    <t>['Pregunta: Explica el ciclo TDD  y su importancia en el desarrollo de software.', 'Respuesta: 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método.\r\n\r\nSu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</si>
  <si>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['Pregunta: Compara TDD con un enfoque tradicional de testing en el desarrollo de software.', 'Respuesta: En el TDD lo primero que se hacen son los tests de los métodos que se van a desarrollar y más adelante estos son desarrollados para eliminar el error que nos indique el test para finalmente perfeccionar el código.\r\n\r\nEn el enfoque tradicional lo normal es desarrollar primero el código para una vez terminado hacer los tests.']</t>
  </si>
  <si>
    <t>['Pregunta: Describe las buenas prácticas en TDD y su impacto en la calidad del software.', 'Respuesta: Las buenas prácticas más importantes son:\r\n\r\n* El desarrollo primero de los tests.\r\n\r\n* La independencia de los módulos entre sí.\r\n\r\n* El determinismo de los tests (siempre se sepa que salida se espera).']</t>
  </si>
  <si>
    <t>['Pregunta: Explica la importancia de validar entradas en el contexto de TDD y cómo se relaciona con la robustez del software.', 'Respuesta: 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</si>
  <si>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['Pregunta: Explica el ciclo TDD  y su importancia en el desarrollo de software.', 'Respuesta: El ciclo TDD (test-driven-developmen) es una metodología de software consiste en una secuencia de tres fases que se utliliza para hacer pruebas unitarias.\r\nLa primera fase se llama la fase roja, donde el se escribe la prueba unitaria, pero no la clase que la ejecuta. Ejemplo: Queremos probar si 2+2 = 4 utlilizando la funcion sumar. En el test se escribirá la prueba, pero la función sumar no existirá.\xa0\r\nLa segunda fase, es la fase verde, donde se implementa esa función o clase necesaria para que el test salga en verde. Continuando el ejemplo anterior, se implementaría la función sumar con dos argumentos.\r\n\r\nLa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</si>
  <si>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['Pregunta: Compara TDD con un enfoque tradicional de testing en el desarrollo de software.', 'Respuesta: TDD:\r\n\r\n* Primero se realiza el test y luego la clase o función\r\n\r\n* Test obligatorios\r\n\r\n* Se basa en tres fases\r\n\r\n* Test unitarios\r\n\r\nEnfoque tracicional:\r\n\r\n* Se realiza primero la clase y luego se ejecuta el test\r\n\r\n* Test opcionales\r\n\r\n* \xa0Una sola fase\r\n\r\n* Test unitarios o de componentes']</t>
  </si>
  <si>
    <t>['Pregunta: Describe las buenas prácticas en TDD y su impacto en la calidad del software.', 'Respuesta: 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</si>
  <si>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['Pregunta: Explica la importancia de validar entradas en el contexto de TDD y cómo se relaciona con la robustez del software.', 'Respuesta: Validar entradas es un aspecto muy importante del TDD ya que la robsutez del software depende mayoritariamente de estas']</t>
  </si>
  <si>
    <t>['Pregunta: Explica el ciclo TDD  y su importancia en el desarrollo de software.', 'Respuesta: El ciclo TDD (test-driven development) se basa en:\xa0\r\n\r\n* Rojo: un codigo que falle (queremos que falle)\r\n\r\n* Verde: codigo minimo que pase\r\n\r\n* Refactor: mejorar el codigo manteniendo el codigo verde para que pase. Esa mejora puede ser: mejora de nombres de variables y métodos, eliminar duplicación, reorganizar estructura...\r\n\r\nEl TDD es valioso ya que es mucho más especifico que el testing tradicional. En el TDD primero va el test y luego el codigo, es proactivo, especifico.']</t>
  </si>
  <si>
    <t>['Pregunta: Compara TDD con un enfoque tradicional de testing en el desarrollo de software.', 'Respuesta: Tradiconal\r\n\r\nTDD\r\n\r\nPrimero codigo, luego test\r\n\r\nPrimero test, luego codigo\r\n\r\nActivo\r\n\r\nproactivo\r\n\r\nSe basa en la referencia\r\n\r\nSe basa en la especificacion\r\n\r\nPuede ser opcional\r\n\r\nEs obligatorio']</t>
  </si>
  <si>
    <t>['Pregunta: Describe las buenas prácticas en TDD y su impacto en la calidad del software.', 'Respuesta: * Seguir el ciclo: rojo, verde, refactor\r\n\r\n* Definir primero el text y luego el código\r\n\r\n* Tener una estructura organizada']</t>
  </si>
  <si>
    <t>['Pregunta: Explica la importancia de validar entradas en el contexto de TDD y cómo se relaciona con la robustez del software.', 'Respuesta: 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</si>
  <si>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['Pregunta: Explica el ciclo TDD  y su importancia en el desarrollo de software.', 'Respuesta: 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</si>
  <si>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['Pregunta: Compara TDD con un enfoque tradicional de testing en el desarrollo de software.', 'Respuesta: El TDD enfoca a diseñar el codigo en torno a los tests en vez de hacer el codigo y luego testearlo. Permite asi un desarrollo con unos objetivos claros y evitar codigo inutil. Permite un codigo mas claro, al final evitando testeos internos.']</t>
  </si>
  <si>
    <t>['Pregunta: Describe las buenas prácticas en TDD y su impacto en la calidad del software.', 'Respuesta: Es importante en el TDD:\r\n\r\n- No hacer tests repetidos\r\n\r\n* Comprobar la mayor parte del codigo con los tests para comprobar todos los posibles errores(evitando el over testing)\r\n\r\n* Que los tests sean coherentes con respecto a los requisitos del codigo y el entorno\r\n\r\n* Tener una buena estructura en los tests, poniendoles nombres y mensajes de error claros, personalizados y evitando las variables magicas(variables con nombres no descriptivos\r\n\r\n* Hacer tests independientes unos de otros de manera que se puedan validar las funciones de manera independientes']</t>
  </si>
  <si>
    <t>['Pregunta: Explica la importancia de validar entradas en el contexto de TDD y cómo se relaciona con la robustez del software.', 'Respuesta: 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</si>
  <si>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['Pregunta: Explica el ciclo TDD  y su importancia en el desarrollo de software.', 'Respuesta: 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</si>
  <si>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['Pregunta: Compara TDD con un enfoque tradicional de testing en el desarrollo de software.', 'Respuesta: TDD primero te dice que tests quiere que tu programa pase y luego seguir desarrollando pasando esos mismos tests. Mientras que en el testing tradicional se realizan los tests una vez desarrollado el codigo que se va a someter a los tests.']</t>
  </si>
  <si>
    <t>['Pregunta: Describe las buenas prácticas en TDD y su impacto en la calidad del software.', 'Respuesta: 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</si>
  <si>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['Pregunta: Explica la importancia de validar entradas en el contexto de TDD y cómo se relaciona con la robustez del software.', 'Respuesta: Al validar entradas te aseguras que la fluidez del sistema sea correcta y puedes evitar fallos con mas facilidad. Esto genera un software mas robusto ya que tienes mas cuidado y tienes mas en cuenta ciertas cosas a la hora de desarrollarlo.']</t>
  </si>
  <si>
    <t>['Pregunta: Explica el ciclo TDD  y su importancia en el desarrollo de software.', 'Respuesta: El ciclo TDD se descompone en tres fases, la fase roja, la fase verde y la fase refactor.\r\n\r\nLa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verdes.\r\n\r\nEste ciclo es importante a la hora del desarrollo de software porque haces el código necesario y paso a paso.']</t>
  </si>
  <si>
    <t>['Pregunta: Compara TDD con un enfoque tradicional de testing en el desarrollo de software.', 'Respuesta: 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</si>
  <si>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['Pregunta: Describe las buenas prácticas en TDD y su impacto en la calidad del software.', 'Respuesta: Las buenas prácticas en el TDD son empezar por los tests, luego por un código muy simple, para luego mejorarlo en la última fase. El TDD tiene un impacto notable en la calidad del software ya que proporciona un código mucho más completo.']</t>
  </si>
  <si>
    <t>['Pregunta: Explica la importancia de validar entradas en el contexto de TDD y cómo se relaciona con la robustez del software.', 'Respuesta: Es importante comprobar las variables de entrada para no perder tiempo de ejecución ya que si son incompatibles o erróneas, el programa no debe funcionar. Por lo que la validación de datos hace que el software sea más robusto.']</t>
  </si>
  <si>
    <t>['Pregunta: Explica el ciclo TDD  y su importancia en el desarrollo de software.', 'Respuesta: El ciclo TDD es una metodología que se utiliza en el desarrollo de software que consiste en tres fases: rojo, verde y refactor.\r\n\r\nLa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</si>
  <si>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['Pregunta: Compara TDD con un enfoque tradicional de testing en el desarrollo de software.', 'Respuesta: 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</si>
  <si>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['Pregunta: Describe las buenas prácticas en TDD y su impacto en la calidad del software.', 'Respuesta: 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</si>
  <si>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['Pregunta: Explica la importancia de validar entradas en el contexto de TDD y cómo se relaciona con la robustez del software.', 'Respuesta: Las entradas se pueden validar de diferentes formas ya sea con test unitarios normales o con test parametrizados que sería lo óptimo ya que esto le daría mas versatilidad y robustez al test al estar amparando el mismo código con diferentes entradas.']</t>
  </si>
  <si>
    <t>['Pregunta: Explica el ciclo TDD  y su importancia en el desarrollo de software.', 'Respuesta: 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</si>
  <si>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['Pregunta: Compara TDD con un enfoque tradicional de testing en el desarrollo de software.', 'Respuesta: 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</si>
  <si>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['Pregunta: Describe las buenas prácticas en TDD y su impacto en la calidad del software.', 'Respuesta: 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</si>
  <si>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['Pregunta: Explica la importancia de validar entradas en el contexto de TDD y cómo se relaciona con la robustez del software.', 'Respuesta: 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</si>
  <si>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['Pregunta: Explica el ciclo TDD  y su importancia en el desarrollo de software.', 'Respuesta: El ciclo TDD (Test Driven Development) es una forma de desarrollar software, es un planteamiento alternativo en el que se sigue un proceso muy concreto, y se itera en ciclos TDD para desarrollar el código del programa.\r\n\r\nEl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estructurado.\r\n\r\nFases del ciclo TDD:\r\n\r\n* Red: se escribe un test con lo qué debe de hacer el código que se desarrollará más tarde. Este test debe pasar en rojo (devolviendo un error o test no realizado con éxito)\r\n\r\n* Green: se escribe en el programa el código mínimo necesario para que el test anteriormente creado pase en verde.\r\n\r\n* Refactor: en esta fase se mejora el código anterior (código mínimo necesario) manteniendo el test en verde.\r\n\r\nSe itera sobre este ciclo para el desarrollo de nuevas funcionalidades del programa.']</t>
  </si>
  <si>
    <t>['Pregunta: Compara TDD con un enfoque tradicional de testing en el desarrollo de software.', 'Respuesta: 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desarrollado.\r\n\r\nEn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</si>
  <si>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['Pregunta: Describe las buenas prácticas en TDD y su impacto en la calidad del software.', 'Respuesta: Buenas prácticas TDD son :\r\n\r\n1. Escribir tests con nombres que sigan una misma estructura y que nos permita seguir un patrón que pueda indicar fácilmente leyendo el nombre qué hace el test o a dónde pertenece, por ejemplo: método_entorno -&gt; addDiscount_validOriginalPrice()\r\n\r\n2. Realizar pequeños tests que comprueben características específicas del código. Evitar a toda costa agrupar muchos casos en un solo test.\r\n\r\n3. Cumplir a raja tabla con el orden de las fases del ciclo TDD y mantener una buena estrcutura de commits con palabras clave como: test, red, green, refactor. Para indicar en qué punto del ciclo TDD te encuentras. Ej. test(red) nuevo test addDiscount_validOriginalPrice()\r\n\r\nEstas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</si>
  <si>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['Pregunta: Explica la importancia de validar entradas en el contexto de TDD y cómo se relaciona con la robustez del software.', 'Respuesta: 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</si>
  <si>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['Pregunta: Explica el ciclo TDD  y su importancia en el desarrollo de software.', 'Respuesta: 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sí.\r\n\r\nLuego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vienen.\r\n\r\nAl segmentar claramente los tests y las funcionalidades es más fácil trabajar colaborativamente.']</t>
  </si>
  <si>
    <t>['Pregunta: Compara TDD con un enfoque tradicional de testing en el desarrollo de software.', 'Respuesta: 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general.\r\n\r\nEntonces es más difícil luego ver de donde vienen los errores al realizar los tests. Con TDD es mucho más fácil segmentar cada funcionalidad porque se crean tests para cada funcionalidad y se va probando el test a medida que se van implementando funcionalidades.\r\n\r\nTambién en TDD normalmente se implementa cada feature en una rama diferente lo que permite leer el código mejor y entender mejor dónde está cada funcionalidad implementada en el código.']</t>
  </si>
  <si>
    <t>['Pregunta: Describe las buenas prácticas en TDD y su impacto en la calidad del software.', 'Respuesta: Las buenas prácticas del TDD son las siguientes:\r\n\r\n-Define claramente los requisitos del proyecto de software y los criterios con los que se puede verificar objetivamente que se ha cumplido con el requisito.\r\n\r\n-Crea el test con los criterios que debe cumplir el requisito. Se hace para todos los requisitos que son las funcionalidades.\r\n\r\n-Verifica que los tests compilan correctamente sin haber implementando las funcionalidades.\r\n\r\n-Implementa una funcionalidad o pocas funcionalidades relacionadas entre sí y luego verifica con los tests que el programa compila correctamente.\r\n\r\n-Separa las funcionalidades relacionadas entre sí en features diferentes.\r\n\r\n-Repite el proceso con todas las funcionalidades.']</t>
  </si>
  <si>
    <t>['Pregunta: Explica el ciclo TDD  y su importancia en el desarrollo de software.', 'Respuesta: TDD signifca test driven development, es una forma de desarrollar software en la que antes de escribir el codigo se escriben los test para probar si funciona el desarrollo.\r\n\r\nde manera que se puede pobrar en cualquier momento si el codigo funciona y no se cae en el engaño de escribir test que sabes que se van a pasar a pesar de que tu codigo tenga bugs']</t>
  </si>
  <si>
    <t>['Pregunta: Compara TDD con un enfoque tradicional de testing en el desarrollo de software.', 'Respuesta: en el tdd los tests se escriben antes de escribir el codigo. en el enfoque tradicional los test se escriben el acabar de desarrollar el codigo y se usan para validar que se cumplen las funciones.\xa0\r\n\r\nen cambio en el tdd, se escriben los tests que deberia de pasar el codigo cuando esté implementado y despues de desarrolla el codigo pensando en pasar los tests .\xa0\r\n\r\nen un enfoque los tests son un mero tramite mientras que en el otro son el centro sobre el que gira todo.']</t>
  </si>
  <si>
    <t>['Pregunta: Describe las buenas prácticas en TDD y su impacto en la calidad del software.', 'Respuesta: escribir test para probar los escenarios tradicionales y los escenarios más extremos.\r\n\r\ncambiar la concepcion de ver el desarrollo frente a la metodologia tradicional.\r\n\r\nescribir los tests, desarrollar el codigo para que los pasen. una vez que los pasen, refactorizar, optimizar el codigo . verificar que se pasan los tests, refactorizar si es necesario , etc']</t>
  </si>
  <si>
    <t>['Pregunta: Explica la importancia de validar entradas en el contexto de TDD y cómo se relaciona con la robustez del software.', 'Respuesta: hay que validar las entradas en nuestro software ya que sino podria generar errores que no espamos ni tenemos contemplado en nuestros tests. un software robusto soporta fallos y tipo de ataques maliciosos']</t>
  </si>
  <si>
    <t>['Pregunta: Explica el ciclo TDD  y su importancia en el desarrollo de software.', 'Respuesta: El clico TDD (Test-driven development) se basa en red-green-refactor.\r\n\r\nEn la primera parte red, se tiene que escribir un test que falle.\r\n\r\nEn la segunda parte green, se tiene que escribir el códgigo mínimo necesario para que pase el test.\r\n\r\nY en la tercera parte refactor, se refactoriza el código manteniendo los test en verde.\r\n\r\nEsta metodología de desarrollo es muy importante porque ayuda a la mantenibilidad del código y a encontrar bugs, ya que nunca se escribe código de producción sin antes tener un test que falle.']</t>
  </si>
  <si>
    <t>['Pregunta: Compara TDD con un enfoque tradicional de testing en el desarrollo de software.', 'Respuesta: 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</si>
  <si>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['Pregunta: Describe las buenas prácticas en TDD y su impacto en la calidad del software.', 'Respuesta: Las buenas prácticas del TDD son:\r\n\r\nNo escribir código de producción sin antes tener un tests que falle.\r\n\r\nEscribir tests que fallen en el apartado red, luego el código mínimo necesario para que pasen en la fase green y por último refactorizar, es decir, mejorar el código, en la fase refactor.\r\n\r\nAl emplear buenas prácticas, se consigue un código consistente, con menor probabilidades de bug. Además el buen uso de estas práctica hace que el ciclo de trabajo este mejor estructurado, dividiendo el trabajo en fases.']</t>
  </si>
  <si>
    <t>['Pregunta: Explica la importancia de validar entradas en el contexto de TDD y cómo se relaciona con la robustez del software.', 'Respuesta: 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</si>
  <si>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['Pregunta: Explica el ciclo TDD  y su importancia en el desarrollo de software.', 'Respuesta: TDD (Test Driven Development) tiene un ciclo de 3 pasos: Rojo, Verde y Refactor.\r\n\r\nPaso 1, Rojo: Se empieza desarrollando el test, este va a fallar ya que sus clases y métodos aún no estarán desarrollados.\r\n\r\nPaso 2, Verde: Se desarrolla la clases y los métodos mínimos para que el test pase en verde.\r\n\r\nPaso 3, Refactor: Ahora se mejora el test para que sea más eficiente y óptimo(debe seguir en verde).\r\n\r\nEl ciclo TDD es importante en el desarrollo de software ya que provoca una constante revisión y permite que se testee la mayor parte del codigo de producción.']</t>
  </si>
  <si>
    <t>['Pregunta: Compara TDD con un enfoque tradicional de testing en el desarrollo de software.', 'Respuesta: TDD: primero tests y luego código de producción, mayor planificación de clases/métodos antes del desarrollo\r\n\r\nEnfoque tradicional testing: primero código de producción y después tests, menos planificación de clases/métodos antes del desarrollo']</t>
  </si>
  <si>
    <t>['Pregunta: Describe las buenas prácticas en TDD y su impacto en la calidad del software.', 'Respuesta: Buenas prácticas:\r\n\r\n* Nomenclatura: should[acción]when[condición] , shouldDeletewhenIsNull()\r\n\r\n* Solo un assertion por cada test\r\n\r\n* Que al menos más de un 70% del código sea comprobado por tests']</t>
  </si>
  <si>
    <t>['Pregunta: Explica la importancia de validar entradas en el contexto de TDD y cómo se relaciona con la robustez del software.', 'Respuesta: Validar entradas en TDD es importante ya que debemos saber en todo momento que dato corresponde a que variable. Si por cualquier mótivo existe un fallo en una variable en el testing, será más fácil localizarlo si esta variable está validada correctamente.']</t>
  </si>
  <si>
    <t>['Pregunta: Explica el ciclo TDD  y su importancia en el desarrollo de software.', 'Respuesta: TDD es TesT Driven Developement\r\n\r\nEl ciclo consiste en crear pruebas para que el códgio las falle en primera instancia y despúes refactorizar el código para superarlas.\r\n\r\nLas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poco.\r\n\r\nPodemos tener pruebas antes de tener el codigo, y construir para superarlas despues, podemos tener pruebas que hagan un control de errores una vez tengamos ya codigo funcional, o pruebas para implementar nuevas funcionalidades, test de casos limite, etc.\r\n\r\nAhi reside su importancia, la versatilidad y utilidad de cara a un desarrollo software que necesite respaldar unos requisitos de un proyecto y no esperar a la buena fe de un desarrollador']</t>
  </si>
  <si>
    <t>['Pregunta: Compara TDD con un enfoque tradicional de testing en el desarrollo de software.', 'Respuesta: TDD estandariza y esto es siempre mejor en proyectos de varios desarrolladores o proyectos donde haya unos requisitos que implementar o a quien rendir cuentas.\r\n\r\nEl desarrollo tradicional no es malo per se, pero depende de las buenas practicas de desarrollo en lugar de estandarizar la codificacion de estas pruebas a superar sin esperar a ver que tan responsable es el equipo de desarrollo.\r\n\r\nAdemás, los ciclos iterativos hacen que la implementacion de nuevas funcionalidades sigan garantizando el buen estado de nuestro codigo al seguir añadiendo requisitos o ramificando el desarrollo.']</t>
  </si>
  <si>
    <t>['Pregunta: Describe las buenas prácticas en TDD y su impacto en la calidad del software.', 'Respuesta: Ciclos iterativos donde se verifique el exito al superar las pruebas antes de añadir nuevas implementaciones.\r\n\r\nTener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etc.\r\n\r\n\xa0\r\n\r\nReiterar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</si>
  <si>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['Pregunta: Explica la importancia de validar entradas en el contexto de TDD y cómo se relaciona con la robustez del software.', 'Respuesta: Es muy importante validar las entradas en el contexto de TDD para asi evitar la entrada de datos no deseados o datos que no cumplan con el formato esperado y, a los que podemos aplicar un formateo hasta que sea el deseado.\r\n\r\nEs como un estudio de dataset en una buena practica de datamining o inteligencia artificial, el contemplar como van a venir los datos ayuda a defnir como vamos a tratarlos y como vamos a codificar la solucion sobre ellos.']</t>
  </si>
  <si>
    <t>['Pregunta: Explica el ciclo TDD  y su importancia en el desarrollo de software.', 'Respuesta: 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</si>
  <si>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['Pregunta: Compara TDD con un enfoque tradicional de testing en el desarrollo de software.', 'Respuesta: 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</si>
  <si>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['Pregunta: Describe las buenas prácticas en TDD y su impacto en la calidad del software.', 'Respuesta: 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</si>
  <si>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['Pregunta: Explica el ciclo TDD  y su importancia en el desarrollo de software.', 'Respuesta: 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</si>
  <si>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['Pregunta: Compara TDD con un enfoque tradicional de testing en el desarrollo de software.', 'Respuesta: EL enfoque tradicional de testing en el desarrollo del software es una forma de realizar test distinta a la de TDD ya que se puede realizar de forma más rapida y que se entienda mejor. Pero el TDD es una forma mas compleja y mas difícil.']</t>
  </si>
  <si>
    <t>['Pregunta: Describe las buenas prácticas en TDD y su impacto en la calidad del software.', 'Respuesta: En el TDD se utiliza la palabra FIRST, fast, implementable, repetitible, self-vis, timely. Timely, realida cada paso en el tiempo adecuado. Fast lo realiza rápido. Self-vis, quiere decir que posee un autoservicio,']</t>
  </si>
  <si>
    <t>['Pregunta: Explica la importancia de validar entradas en el contexto de TDD y cómo se relaciona con la robustez del software.', 'Respuesta: si no validas las entradas de TDD no sabras el porccentaje por lo que no sabes si te darán error los tests']</t>
  </si>
  <si>
    <t>['Pregunta: Explica el ciclo TDD  y su importancia en el desarrollo de software.', 'Respuesta: 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</si>
  <si>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['Pregunta: Compara TDD con un enfoque tradicional de testing en el desarrollo de software.', 'Respuesta: 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</si>
  <si>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['Pregunta: Describe las buenas prácticas en TDD y su impacto en la calidad del software.', 'Respuesta: 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</si>
  <si>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['Pregunta: Explica la importancia de validar entradas en el contexto de TDD y cómo se relaciona con la robustez del software.', 'Respuesta: Validar las entradas en el contexto del TDD viene relaccionado con los datos que mete\xa0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</si>
  <si>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['Pregunta: Explica el ciclo TDD  y su importancia en el desarrollo de software.', 'Respuesta: El ciclo TDD consta de 3 apartados:\r\n\r\nRed: este hace que se vea un error\r\n\r\nGreen: con este hay que poner lo mínimo para que no de error\r\n\r\nReport: y este es una mejora del anterior para que esté bien\r\n\r\nEs importante para saber el grado de código que hay en estos apartados y el porcentaje, aunque tampoco te garantizas que aunque haya un 100% no de bugs']</t>
  </si>
  <si>
    <t>['Pregunta: Compara TDD con un enfoque tradicional de testing en el desarrollo de software.', 'Respuesta: 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</si>
  <si>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['Pregunta: Describe las buenas prácticas en TDD y su impacto en la calidad del software.', 'Respuesta: Las buenas prácticas de TDD son las siguientes:\r\n\r\n* Fast: hace que sea más rápido\r\n\r\n* I\r\n\r\n* R\r\n\r\n* Self-service: posee un autoservicio\r\n\r\n* Timely: hace que esté todo a tiempo\r\n\r\nTDD hace que todo esté de manera mas clara y tengo un mejor diseño.']</t>
  </si>
  <si>
    <t>['Pregunta: Explica la importancia de validar entradas en el contexto de TDD y cómo se relaciona con la robustez del software.', 'Respuesta: Es importante la validacion de entradas ya que te pueden dar distintos errores']</t>
  </si>
  <si>
    <t>['Pregunta: Explica el ciclo TDD  y su importancia en el desarrollo de software.', 'Respuesta: El ciclo tdd conocido como test drive development sigue un ciclo compuesto por tres tareas críticas:\r\n\r\nLa primera es realizar un test que falle (RED):\xa0 Esto se realiza para ver que elementos devemos incluir en nuestro api y ver que nos esta fallando. Con esto nos podemos hacer una idea de como debemos estructurar nuestro programa.\r\n\r\nLa segunda fase es realizar un test GREEN. El objetivo principal de este ciclo es hacer que todos los test pasen, con la ayuda del test rojo donde se nos indica que nos esta fallando. Completamos los fallos y los campos que están incompletos y realizaremos el test.\r\n\r\nPor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</si>
  <si>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['Pregunta: Compara TDD con un enfoque tradicional de testing en el desarrollo de software.', 'Respuesta: 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y\xa0 su proceso es largo. Tampoco nos garantiza el cubrir todos los errores y elementos. Pero consigue que el programa quede limpio y ordenado.']</t>
  </si>
  <si>
    <t>['Pregunta: Describe las buenas prácticas en TDD y su impacto en la calidad del software.', 'Respuesta: Organización: Los tdd nos permiten organizar mejor los servicios\xa0\r\n\r\nPruebas: A diferencia de otras erramientas de testing los tdd te ofrecen más pruebas para evitar menos fallos\r\n\r\nLos TDD utilizan microservicios para realizar las pruebas y incluir los elementos de los datos que van a ser tratados\r\n\r\nRealizar un refactor para organizar nuestro código\r\n\r\nEmpezar con errores para luego evitar que aparezcan con nuestra aplicación avanzada']</t>
  </si>
  <si>
    <t>['Pregunta: Explica la importancia de validar entradas en el contexto de TDD y cómo se relaciona con la robustez del software.', 'Respuesta: Es importante validar las entradas para que nuestro test no de falsos positivos ya que es muy facil que suceda en el desarrollo de software. Validando las entradas evitamos estos falsos positivos.\xa0\r\n\r\nUn ejemplo sería que un dato de tipo int el programa lo tome como un string.']</t>
  </si>
  <si>
    <t>['Pregunta: Explica el ciclo TDD  y su importancia en el desarrollo de software.', 'Respuesta: El TDD o test-driven-development es un ciclo de test que consta en implementar antes los test que el codigo, este ciclo consta de 3 fases\r\n\r\n1. red: haces el test antes de codigo por lo que dará fallo\r\n\r\n2. green: pones el codigo minimo para que los test pasen\r\n\r\n3. refactor: vuelves a mirar el codigo para cambiar alguna cosa como la estructura para que qeude mejor, pero siempre que pasen los test otra vez\r\n\r\nLa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</si>
  <si>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['Pregunta: Compara TDD con un enfoque tradicional de testing en el desarrollo de software.', 'Respuesta: 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</si>
  <si>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['Pregunta: Describe las buenas prácticas en TDD y su impacto en la calidad del software.', 'Respuesta: 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</si>
  <si>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['Pregunta: Explica la importancia de validar entradas en el contexto de TDD y cómo se relaciona con la robustez del software.', 'Respuesta: 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</si>
  <si>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['Pregunta: Explica el ciclo TDD  y su importancia en el desarrollo de software.', 'Respuesta: 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</si>
  <si>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['Pregunta: Compara TDD con un enfoque tradicional de testing en el desarrollo de software.', 'Respuesta: 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</si>
  <si>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['Pregunta: Describe las buenas prácticas en TDD y su impacto en la calidad del software.', 'Respuesta: 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</si>
  <si>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['Pregunta: Explica la importancia de validar entradas en el contexto de TDD y cómo se relaciona con la robustez del software.', 'Respuesta: Es vital validar las entradas en el contexto del TDD, ya que un código que no valida las entradas puede hacer que un test sea pasado, cuando luego en la aplicación real no funcione y así que el código no sea robusto y presente errores']</t>
  </si>
  <si>
    <t>['Pregunta: Explica el ciclo TDD  y su importancia en el desarrollo de software.', 'Respuesta: 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</si>
  <si>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['Pregunta: Compara TDD con un enfoque tradicional de testing en el desarrollo de software.', 'Respuesta: 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</si>
  <si>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['Pregunta: Describe las buenas prácticas en TDD y su impacto en la calidad del software.', 'Respuesta: 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</si>
  <si>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['Pregunta: Explica la importancia de validar entradas en el contexto de TDD y cómo se relaciona con la robustez del software.', 'Respuesta: 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</si>
  <si>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['Pregunta: Explica el ciclo TDD  y su importancia en el desarrollo de software.', 'Respuesta: Es una metodología desarrollo software que permite realizar test a un cóidgo\r\n\r\nel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</si>
  <si>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['Pregunta: Compara TDD con un enfoque tradicional de testing en el desarrollo de software.', 'Respuesta: 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</si>
  <si>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['Pregunta: Describe las buenas prácticas en TDD y su impacto en la calidad del software.', 'Respuesta: Un código bien estructurado, permite que sean mas legibles los tests pudiéndose comprobar la amplitud de su manejo de excepciones y el desarrollo de estos tests.\r\n\r\nTests estructurados, es decir, cumpliendo con el TDD, primero los tests que tienen una implementación mínima para corregir la fase roja y, más abajo, los tests refactorizados o los que pertenecen a dicha etapa, que cubren más funcionalidades y manejan más excepciones.']</t>
  </si>
  <si>
    <t>['Pregunta: Explica la importancia de validar entradas en el contexto de TDD y cómo se relaciona con la robustez del software.', 'Respuesta: 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</si>
  <si>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['Pregunta: Explica el ciclo TDD  y su importancia en el desarrollo de software.', 'Respuesta: 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</si>
  <si>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['Pregunta: Compara TDD con un enfoque tradicional de testing en el desarrollo de software.', 'Respuesta: 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</si>
  <si>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['Pregunta: Describe las buenas prácticas en TDD y su impacto en la calidad del software.', 'Respuesta: 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</si>
  <si>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['Pregunta: Explica la importancia de validar entradas en el contexto de TDD y cómo se relaciona con la robustez del software.', 'Respuesta: 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</si>
  <si>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['Pregunta: Explica el ciclo TDD  y su importancia en el desarrollo de software.', 'Respuesta: 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</si>
  <si>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['Pregunta: Compara TDD con un enfoque tradicional de testing en el desarrollo de software.', 'Respuesta: 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</si>
  <si>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['Pregunta: Describe las buenas prácticas en TDD y su impacto en la calidad del software.', 'Respuesta: 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</si>
  <si>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['Pregunta: Explica la importancia de validar entradas en el contexto de TDD y cómo se relaciona con la robustez del software.', 'Respuesta: Es importante validar las entradas en el contexto de TDD ya que evitamos que no entren datos que no son. Por ejemplo si se está pidiendo un número, que no entre una palabra. Se relaciona, ya que se evitan problemas, y se guarda o se recibe la información pedida.']</t>
  </si>
  <si>
    <t>['Pregunta: Explica el ciclo TDD  y su importancia en el desarrollo de software.', 'Respuesta: 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etc.\r\n\r\nEs muy importante en el desarrollo del software ya que nos permite realizar tests antes de desarrollar todo el código']</t>
  </si>
  <si>
    <t>['Pregunta: Compara TDD con un enfoque tradicional de testing en el desarrollo de software.', 'Respuesta: 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</si>
  <si>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['Pregunta: Describe las buenas prácticas en TDD y su impacto en la calidad del software.', 'Respuesta: 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ordenada.\xa0 Por último, refactorizar el código, hacerlo más completo, añadir validaciones extra y manejo de errores... También es fundamental separar bien el código y los tests, con una estructura clara y organizada.\r\nEsto tiene un gran impacto en la calidad del software.']</t>
  </si>
  <si>
    <t>['Pregunta: Explica la importancia de validar entradas en el contexto de TDD y cómo se relaciona con la robustez del software.', 'Respuesta: 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negativa.\r\nTambién está muy relacionado con la robustez del software ya que evita errores por parte del usuario y no permite entradas inválidas o imposibles']</t>
  </si>
  <si>
    <t>['Pregunta: Explica el ciclo TDD  y su importancia en el desarrollo de software.', 'Respuesta: 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</si>
  <si>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['Pregunta: Compara TDD con un enfoque tradicional de testing en el desarrollo de software.', 'Respuesta: 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</si>
  <si>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['Pregunta: Describe las buenas prácticas en TDD y su impacto en la calidad del software.', 'Respuesta: 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</si>
  <si>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['Pregunta: Explica la importancia de validar entradas en el contexto de TDD y cómo se relaciona con la robustez del software.', 'Respuesta: La validacion de entradas en TDD tiene mucha importancia debido a que de esta manera estariamos llevando a cabo un mayor control de codigo, esto a sus vez tambien tiene relacion con la robustez del software ya que estariamos incrementando la calidad de este.']</t>
  </si>
  <si>
    <t>['Pregunta: Explica el ciclo TDD  y su importancia en el desarrollo de software.', 'Respuesta: Primero se desarrollan los test los cuales fallarán al no haber un código que los pueda pasar.\r\n\r\nSeguido se escribe el código correspondiente a dichos test hasta que sea capaz de pasarlos todos.\r\n\r\nFinalmente se limpia el código para que sea más fácil de comprender y esté optimizado.\r\n\r\n\xa0\r\n\r\nEste ciclo es bastante importante ya que obliga al desarrollador a cumplir con todos los requerimientos de la aplicación y le facilita la escritura del codigo de una manera ordenada.']</t>
  </si>
  <si>
    <t>['Pregunta: Compara TDD con un enfoque tradicional de testing en el desarrollo de software.', 'Respuesta: 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profundos.\r\n\r\n\xa0\r\n\r\nEstos problemas no suceden tan frecuentemente en TDD con su planteamiento de crear los test primero para luego realizar un código que sea capaz de pasarlos omitiendo cualquier bias que pueda tener el programador']</t>
  </si>
  <si>
    <t>['Pregunta: Describe las buenas prácticas en TDD y su impacto en la calidad del software.', 'Respuesta: 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test.\r\n\r\nTodo esto mejora considerablemente el entorno de pruebas y la limpieza del software']</t>
  </si>
  <si>
    <t>['Pregunta: Explica la importancia de validar entradas en el contexto de TDD y cómo se relaciona con la robustez del software.', 'Respuesta: 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</si>
  <si>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['Pregunta: Explica el ciclo TDD  y su importancia en el desarrollo de software.', 'Respuesta: El ciclo TDD es una forma de desarrollar software y para comprobar el funcionmiento de un codigo en la se basa en 3 partes, las cuales son red, green y refactor.\r\n\r\nRed: hacer un test que falle\xa0\r\n\r\nGreen: arreglar ese mismo test con lo minimo necesario para que salga verde y por tanto este bien hecho\r\n\r\nRefactor: como su propio nombre indica, refactorizar el codigo del test anterior para que sea mas sencillo y simple pero que el resultado sea el mismo, verde.']</t>
  </si>
  <si>
    <t>['Pregunta: Compara TDD con un enfoque tradicional de testing en el desarrollo de software.', 'Respuesta: El enfoque tradicional se basa en escribir el codigo completo e ir comprobando si sale en verde o en rojo y ahi corregir si es necesario.\r\n\r\nPor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entender.\r\n\r\nDe esta forma, haces que quede mas ordenado a la hora de revisar el codigo y mas entendible y legible para una tercera persona que quiera comprobar el codigo.']</t>
  </si>
  <si>
    <t>['Pregunta: Describe las buenas prácticas en TDD y su impacto en la calidad del software.', 'Respuesta: Las buenas practicas desarrollando codigo mediante TDD hace que tu codigo y los test que vayas a desarrollar esten bien estructurados y faciles de modificar una vez terminados.\r\n\r\nAlguna de estas buenas practicas son el buen uso del cicle TDD, es decir, que siempre que lo utilices sigas siempre el orden establecido, ademas de que una vez comenzado este ciclo, no debes cambiar a otros metodos tradicionales.']</t>
  </si>
  <si>
    <t>['Pregunta: Explica la importancia de validar entradas en el contexto de TDD y cómo se relaciona con la robustez del software.', 'Respuesta: 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</si>
  <si>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['Pregunta: Explica el ciclo TDD  y su importancia en el desarrollo de software.', 'Respuesta: El ciclo de TDD consta de 3 partes del ciclo:\xa0\r\nRojo: el cual el test que has realizado no se puede realizar ya que no hay código que lo verifique.\r\nVerde: que con el mínimo código el test pase a verde.\r\nRefactor: que es pulir el código, ya sea poniendo nombre de variables que explique que hace, que los nombres de las funciones tengan sentido, etc\r\nEsta metodología se utiliza para evitar futuros bugs, son muy buenos si quieres hacer tests unitarios, que significa que cada test verifica solo una cosa.']</t>
  </si>
  <si>
    <t>['Pregunta: Compara TDD con un enfoque tradicional de testing en el desarrollo de software.', 'Respuesta: 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</si>
  <si>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['Pregunta: Describe las buenas prácticas en TDD y su impacto en la calidad del software.', 'Respuesta: Primero crear el test que quieres ahcer sobre una función, y luego el código que vaya a hacer esa función.\r\nTiene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</si>
  <si>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['Pregunta: Explica la importancia de validar entradas en el contexto de TDD y cómo se relaciona con la robustez del software.', 'Respuesta: 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</si>
  <si>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['Pregunta: Explica el ciclo TDD  y su importancia en el desarrollo de software.', 'Respuesta: El TDD tiene mucha relevancia en el desarrollo de software ya qu lo que se esta realizando es principalmente la creacion de TESTS previos al codigo, una vez ya realizado el TEST se realizaría el código con el cual se verificaría la prueba se divide en tres partes:\r\n\r\nRED: se realiza el test pero sin el codigo\r\nGREEN: se realiza el codigo para que este funcione\xa0\r\nREFACTOR: el cual principalmente lo que hace es realizar el codigo de una forma mas optima.']</t>
  </si>
  <si>
    <t>['Pregunta: Compara TDD con un enfoque tradicional de testing en el desarrollo de software.', 'Respuesta: 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</si>
  <si>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['Pregunta: Describe las buenas prácticas en TDD y su impacto en la calidad del software.', 'Respuesta: 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</si>
  <si>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['Pregunta: Explica la importancia de validar entradas en el contexto de TDD y cómo se relaciona con la robustez del software.', 'Respuesta: 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</si>
  <si>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['Pregunta: Explica el ciclo TDD  y su importancia en el desarrollo de software.', 'Respuesta: Es un ciclo que sirve para el desarrollar el codigo que tienes en tu programa y ver que funviona correctamente.\r\nCon esto me refiero a que una vez que escribes el codigo haces una serie de test que validan si esta bien hecho o esta mal hecho.\r\nConsta de tres etapas:\xa0\r\n- La etapa roja (primera): sirve para ver que tienes mal al principio los test.\r\n- La etapa verde(segunda): con el codigo mas simple posible ver que estan bien hechos los test\xa0\r\n-La\xa0 etapa de refactorizacion (tercera): para hacerlo todo mejor y tener la version final.\r\n\r\nEn conclusion este ciclo te ayuda a entender y simplifica el desarrollo de software']</t>
  </si>
  <si>
    <t>['Pregunta: Compara TDD con un enfoque tradicional de testing en el desarrollo de software.', 'Respuesta: El enfoque tradicional consiste en escribir el codigo y luego ejecuta los test, en cambio de otro modo se escriben primero los test y luego ya ejecutas el codigo para ver si lo tenias bien.\r\nDe la\xa0 forma TDD queda mucho mas claro tu codigo ,ademas es mas ordenado y sobre todo mas practico que en el modelo tradicional.']</t>
  </si>
  <si>
    <t>['Pregunta: Describe las buenas prácticas en TDD y su impacto en la calidad del software.', 'Respuesta: Una buena practica utilizando TDD hace que tu codigo y tus test esten mucho mejor estructurados que de otra forma.\r\n\r\nAdemas al seguir un orden es mas facil de detectar un error si lo tuvieses\xa0 y el codigo es mucho mas legible.\r\nPor otro parte es mas sencillo entender lo que estas haciendo ya que consta de hacer tres test para que todo funcione en orden y correctamente y si te confundieses en una fase podrias arreglarlo facilmente']</t>
  </si>
  <si>
    <t>['Pregunta: Explica la importancia de validar entradas en el contexto de TDD y cómo se relaciona con la robustez del software.', 'Respuesta: El validar las entradas en el contexto tienen mucha importancia pues necesitas saber si son correctas o no y si no las validases podrian ser erroneas y podrian perjudicar tu proyecto.\r\n\r\nAdemas le da una mayor rigidez a tu programa (como ya he dicho anteriormente) haciendo que sea todo mas legible y mucho mas ordenado']</t>
  </si>
  <si>
    <t>['Pregunta: Explica el ciclo TDD  y su importancia en el desarrollo de software.', 'Respuesta: El ciclo TDD, es una metodologia de desarollo de sofware que contsa de tres partes\r\nred - crear un test para un metodo que falle, puesto que todavia no esta implementado\r\n\r\ngreen - Crear el codigo minimo necesario para que dicha prueba pase\r\n\r\nrefactor - Refactorizamos el codigo creado, pero manteniendo el test en verde es decir, prueba pasada\r\n\r\n\xa0\r\n\r\nLa importancia del TDD, es debido que favorece la documentacion en vivo , favorece un mejor diseño de codigo, hay menos dubbin y obtenemos cobertura casi total del codigo']</t>
  </si>
  <si>
    <t>['Pregunta: Compara TDD con un enfoque tradicional de testing en el desarrollo de software.', 'Respuesta: En otros enfoques por lo general, primero se realiza el codigo y luego las pruebas , esto provocara que haya partes del codigo que no se prueben debido a fallos en el equipo de testing, sin embargo TDD garantiza que cada funcion al menos tiene un test aprobado es decir funciona.\r\n\r\n\xa0\r\n\r\nPor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pruebas.\r\n\r\n\xa0\r\n\r\nPor otro lado la regresion es mas sencilla en TDD ya que si se agrega una nueva funcion y el programa falla sabemos con seguridad que ha sido la nueva funcionalidad, en otros enfoques habria que probar todas las funciones hasta dar con la que falla']</t>
  </si>
  <si>
    <t>['Pregunta: Describe las buenas prácticas en TDD y su impacto en la calidad del software.', 'Respuesta: * Usar sintaxis estandar para metodos test when[condicion]should[accion]\r\n\r\n* Usar sintaxis estandar para las clases test libros.java - aplicacion librosTest.java seran las pruebas\r\n\r\n* Usar AAA para las pruebas (arrange,act,assert)\r\n\r\n* Las pruebas deben ser independientes de los datos\r\n\r\n* Los datos de pruebas tienen que estar bien definidos y descritos ej data=[1,3,7] estaria mal seria algo tipo numeros_primos=[1,2,7]\r\n\r\n* Hacer una sola comprobacion por test\r\n\r\n\xa0\r\n\r\nDe esta manera nos aseguramos que el software sea modular, mas desacoplado, no haya codigo muerto y aplicamos el patron YAGNI (You arent gonna need it)']</t>
  </si>
  <si>
    <t>['Pregunta: Explica la importancia de validar entradas en el contexto de TDD y cómo se relaciona con la robustez del software.', 'Respuesta: Es fundamental, ya que entradas errornas (vacias, null, valores inesperados), hacen que el codigo o bien falle o bien no se comporte como deberia, es fudanmental validarlas para evitar fallos ya sean logicos o directamente errores.\r\n\r\nUn codigo con las entradas validadas y cubiertas permitira que el programa funcione bajo cualquier condicion sin romperse, ni dar problemas haciendolo mas robusto']</t>
  </si>
  <si>
    <t>['Pregunta: Explica el ciclo TDD  y su importancia en el desarrollo de software.', 'Respuesta: 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</si>
  <si>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['Pregunta: Compara TDD con un enfoque tradicional de testing en el desarrollo de software.', 'Respuesta: 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</si>
  <si>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['Pregunta: Describe las buenas prácticas en TDD y su impacto en la calidad del software.', 'Respuesta: Las buenas prácticas en TDD son:\xa0\r\n\r\n\xa0\r\n\r\nEscribir los test antes que el código: La calidad del software aumenta inherentemente dado a que tu código una vez programado solventa los fallos que no puede cometer.\r\n\r\n\xa0\r\n\r\nRefactorizar: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</si>
  <si>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['Pregunta: Explica la importancia de validar entradas en el contexto de TDD y cómo se relaciona con la robustez del software.', 'Respuesta: Validar entradas en TDD es crucial para que este pueda ser ejecutado de una manera precisa y con los parámetros que deseamos probar, permitiendo así la asertividad del test y asegurando que es el código el que falla y no el propio test escrito.']</t>
  </si>
  <si>
    <t>['Pregunta: Explica el ciclo TDD  y su importancia en el desarrollo de software.', 'Respuesta: 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</si>
  <si>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['Pregunta: Compara TDD con un enfoque tradicional de testing en el desarrollo de software.', 'Respuesta: 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</si>
  <si>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['Pregunta: Describe las buenas prácticas en TDD y su impacto en la calidad del software.', 'Respuesta: 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</si>
  <si>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['Pregunta: Explica la importancia de validar entradas en el contexto de TDD y cómo se relaciona con la robustez del software.', 'Respuesta: 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</si>
  <si>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['Pregunta: Explica el ciclo TDD  y su importancia en el desarrollo de software.', 'Respuesta: 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</si>
  <si>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['Pregunta: Compara TDD con un enfoque tradicional de testing en el desarrollo de software.', 'Respuesta: 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</si>
  <si>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['Pregunta: Describe las buenas prácticas en TDD y su impacto en la calidad del software.', 'Respuesta: 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</si>
  <si>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['Pregunta: Explica la importancia de validar entradas en el contexto de TDD y cómo se relaciona con la robustez del software.', 'Respuesta: 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</si>
  <si>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['Pregunta: Explica el ciclo TDD  y su importancia en el desarrollo de software.', 'Respuesta: 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entender.\r\n\r\nSu importancia es bastante alta, debido a la verificación de los programas que se van actualizando a lo largo de las distintas versiones. Todo esto se comprueba gracias al test principal.']</t>
  </si>
  <si>
    <t>['Pregunta: Compara TDD con un enfoque tradicional de testing en el desarrollo de software.', 'Respuesta: En el TDD normalmente se hace primero el test y después el programa, y en el caso del enfoque tradicional se hace primero el programa y después el test.']</t>
  </si>
  <si>
    <t>['Pregunta: Describe las buenas prácticas en TDD y su impacto en la calidad del software.', 'Respuesta: Hacer unas buenas practicas de TDD, consiste en hacer buenas funcionalidad de la aplicación, para que no se pueda hacer trampas y cubrir cualquier tipo de huecos.\r\n\r\nRefactorizar el programa sirve para que mejorar el codigo y que no tenga problemas a la hora de ejecutar el test. Sobre todo el objetivo principal de la refactorización es quitar lineas de codigo haciendo el programa se vea mas claro y mas limpio.']</t>
  </si>
  <si>
    <t>['Pregunta: Explica el ciclo TDD  y su importancia en el desarrollo de software.', 'Respuesta: El TDD\xa0 consisite en ir haciendo pruebas para el funcionamiento de la aplicacion. Se divide en 3 partes:\r\n\r\n1.RED donde se realiza las pruebas(los test) que utilizaremos para comprobar si el codigo funciona. En este apartado al intentar ejecutarlo saldra que todas las pruebas estan mal ya que lo desarrollamos antes del codigo para poder asi saber que queremos que devuelva el propio codigo.\r\n\r\n2.GREEN donde ya realizamos las funcionalidades de nuestro codigo para que pasen las pruebas creadas anteriormente. A la hora de desarrollar estas funcionalidades\xa0 se hara lo minimo necesario para que pase la prueba que hicimos antes y pase sin errores.\r\n\r\n3.REFACTORY (refactorizacion)donde aqui refactorizamos/mejoramos/optimizamos el codigo realizado anteriormente para hacerlo mejor. Esto se hace cuando vemos redundancia en el codigo creado en el GREEN o se puede optimizar los recursos.']</t>
  </si>
  <si>
    <t>['Pregunta: Compara TDD con un enfoque tradicional de testing en el desarrollo de software.', 'Respuesta: La comparacion de TDD con el enfoque tradicional testing se puede observar ventajas y desventajas en ambos lados.\r\n\r\nTDD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realiza\r\n\r\nEn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</si>
  <si>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['Pregunta: Describe las buenas prácticas en TDD y su impacto en la calidad del software.', 'Respuesta: Las buenas practicas del TDD serian que se documenta todas las funcionalidades y se documenta que test tiene que pasar cada una de ellas para que se de por correcta haciendo asi que la calidad del software cumpla casi siempre el resultado esperado y descrito en la documentacion.\r\n\r\nOtra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</si>
  <si>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['Pregunta: Explica la importancia de validar entradas en el contexto de TDD y cómo se relaciona con la robustez del software.', 'Respuesta: 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</si>
  <si>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['Pregunta: Explica el ciclo TDD  y su importancia en el desarrollo de software.', 'Respuesta: 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</si>
  <si>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['Pregunta: Compara TDD con un enfoque tradicional de testing en el desarrollo de software.', 'Respuesta: 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</si>
  <si>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['Pregunta: Describe las buenas prácticas en TDD y su impacto en la calidad del software.', 'Respuesta: 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</si>
  <si>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['Pregunta: Explica la importancia de validar entradas en el contexto de TDD y cómo se relaciona con la robustez del software.', 'Respuesta: 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</si>
  <si>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['Pregunta: Explica el ciclo TDD  y su importancia en el desarrollo de software.', 'Respuesta: 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</si>
  <si>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['Pregunta: Compara TDD con un enfoque tradicional de testing en el desarrollo de software.', 'Respuesta: 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</si>
  <si>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['Pregunta: Describe las buenas prácticas en TDD y su impacto en la calidad del software.', 'Respuesta: 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</si>
  <si>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['Pregunta: Explica la importancia de validar entradas en el contexto de TDD y cómo se relaciona con la robustez del software.', 'Respuesta: 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</si>
  <si>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['Pregunta: Explica el ciclo TDD  y su importancia en el desarrollo de software.', 'Respuesta: 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</si>
  <si>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['Pregunta: Compara TDD con un enfoque tradicional de testing en el desarrollo de software.', 'Respuesta: 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</si>
  <si>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['Pregunta: Describe las buenas prácticas en TDD y su impacto en la calidad del software.', 'Respuesta: 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</si>
  <si>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['Pregunta: Explica la importancia de validar entradas en el contexto de TDD y cómo se relaciona con la robustez del software.', 'Respuesta: No lo se']</t>
  </si>
  <si>
    <t>['Pregunta: Explica el ciclo TDD  y su importancia en el desarrollo de software.', 'Respuesta: 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</si>
  <si>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['Pregunta: Compara TDD con un enfoque tradicional de testing en el desarrollo de software.', 'Respuesta: El TDD al estar estructura en tres fases, que son RED,GREEN,REFACTOR,permite un mayor control de versiones a la hora de hacer los diferentes test de funcionalidad,lo que permite una mayor facilidad de documentanción,en testing,en control de fechas de entrega.\r\n\r\nCon un enfoque más tradicional hacer las tres fases del tdd seria muy complicado por el tiempo que llevaria,más todo el tema de recursos que tendria que usar el usuario.']</t>
  </si>
  <si>
    <t>['Pregunta: Describe las buenas prácticas en TDD y su impacto en la calidad del software.', 'Respuesta: 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pidiesen.\r\n\r\nY tambien las buenas practicas de TDD vendrian con su correspodiente documentación mostrando las diferentes fase en las que se encuentra el codigo y dicendo los nuevos parametros que se han seguido para que el codigo pueda funcionar correctamente.']</t>
  </si>
  <si>
    <t>['Pregunta: Explica la importancia de validar entradas en el contexto de TDD y cómo se relaciona con la robustez del software.', 'Respuesta: Las entradas de contexto son importantes para evitar que haya problemas o errores en este mismo codigo,como pueden llegar ha ser las herratas o problemas a la hora de definir alguna que otra variable.']</t>
  </si>
  <si>
    <t>['Pregunta: Explica el ciclo TDD  y su importancia en el desarrollo de software.', 'Respuesta: 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</si>
  <si>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['Pregunta: Compara TDD con un enfoque tradicional de testing en el desarrollo de software.', 'Respuesta: 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</si>
  <si>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['Pregunta: Describe las buenas prácticas en TDD y su impacto en la calidad del software.', 'Respuesta: La realización de pruebas continuamente es una de las buenas prácticas ya mediante el desarrollo y las pruebas estas verificando la funcionalidad del código y de esta manera se desarrolla un código con mams calidad.']</t>
  </si>
  <si>
    <t>['Pregunta: Explica el ciclo TDD  y su importancia en el desarrollo de software.', 'Respuesta: El ciclo TDD (Test Driven Development) es un método de desarrollo en el cual primero se desarrolla un test. Este fallara ya que no existe el codigo para que pase, despues se realizara el código para que este test pase y una vez lo tengamos refactorizamos para cubrir el máximo.\r\nEs importante ya que sirve para mantener un desarrollo guiado.']</t>
  </si>
  <si>
    <t>['Pregunta: Compara TDD con un enfoque tradicional de testing en el desarrollo de software.', 'Respuesta: La diferencia es que en el TDD primero se desarrollan los test y posteriormente la funcionalidad, en el enfoque tradicional los test se hacen una vez tienes la funcionalidad desarrollada.']</t>
  </si>
  <si>
    <t>['Pregunta: Describe las buenas prácticas en TDD y su impacto en la calidad del software.', 'Respuesta: Las buenas prácticas son desarrollar primero el test sin tener ninguna funcionalidad (red), una vez tengamos esto realizamos el código correspondiente para que el test pase (green) y terminamos refactorizando con los test unitarios para cubrir el codigo completo.']</t>
  </si>
  <si>
    <t>['Pregunta: Explica la importancia de validar entradas en el contexto de TDD y cómo se relaciona con la robustez del software.', 'Respuesta: Es importante validar las entradas porque asi los test pueden comprobar que tipo de entrada estas poniendo y en caso de poner algo prohibido estaria controlado']</t>
  </si>
  <si>
    <t>['Pregunta: Explica el ciclo TDD  y su importancia en el desarrollo de software.', 'Respuesta: 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</si>
  <si>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['Pregunta: Compara TDD con un enfoque tradicional de testing en el desarrollo de software.', 'Respuesta: 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</si>
  <si>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['Pregunta: Describe las buenas prácticas en TDD y su impacto en la calidad del software.', 'Respuesta: Las buenas practicas en TDD serian, primero desarrollar un test claro que pruebe lo que quieres implementar y sus diferentes casuisticas a contemplar, despues implementar un codigo claro, sencillo y sin cosas extra en la fase verde, para darte paso a mejorar en la fase de refractor\r\n\r\nSu impacto es que quedan codigos mas robustos, con menos margen de error y con l gran mayoria de casuisticas extrañas cubiertas.']</t>
  </si>
  <si>
    <t>['Pregunta: Explica la importancia de validar entradas en el contexto de TDD y cómo se relaciona con la robustez del software.', 'Respuesta: 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</si>
  <si>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['Pregunta: Explica el ciclo TDD  y su importancia en el desarrollo de software.', 'Respuesta: 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</si>
  <si>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['Pregunta: Compara TDD con un enfoque tradicional de testing en el desarrollo de software.', 'Respuesta: 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</si>
  <si>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['Pregunta: Describe las buenas prácticas en TDD y su impacto en la calidad del software.', 'Respuesta: 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</si>
  <si>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['Pregunta: Explica la importancia de validar entradas en el contexto de TDD y cómo se relaciona con la robustez del software.', 'Respuesta: 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</si>
  <si>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['Pregunta: Explica el ciclo TDD  y su importancia en el desarrollo de software.', 'Respuesta: El ciclo TDD es un tipo de desarrollo en donde primero se crean los tests que debe pasar el código que vamos a escribir y luego se desarrolla el código que pasará esos tests.\xa0\r\n\r\nTDD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</si>
  <si>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['Pregunta: Compara TDD con un enfoque tradicional de testing en el desarrollo de software.', 'Respuesta: 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desarrollo\r\n\r\nCon TDD se generan todas esas situaciones y casuísticas antes de empezar el desarrollo, esto lleva a un código más sólido desde la primera iteración con TDD y en un producto final más completo y seguro.']</t>
  </si>
  <si>
    <t>['Pregunta: Describe las buenas prácticas en TDD y su impacto en la calidad del software.', 'Respuesta: 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</si>
  <si>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['Pregunta: Explica la importancia de validar entradas en el contexto de TDD y cómo se relaciona con la robustez del software.', 'Respuesta: 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correctos.\r\n\r\nEn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</si>
  <si>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['Pregunta: Explica el ciclo TDD  y su importancia en el desarrollo de software.', 'Respuesta: La importancia de Test-Driven Development es escribir la menor cantidad de líneas de código para que sea capaz de pasar los test, es decir, para cumplir los objetivos exactos del código']</t>
  </si>
  <si>
    <t>['Pregunta: Compara TDD con un enfoque tradicional de testing en el desarrollo de software.', 'Respuesta: 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</si>
  <si>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['Pregunta: Describe las buenas prácticas en TDD y su impacto en la calidad del software.', 'Respuesta: Creación de test antes del desarrollo. Permite que el código sea más eficiente debido a que el desarrollo se ajusta a los test que definen los objetivos que debe alcanzar la aplicación. Te permite ser más consciente del código que uno está desarrollando']</t>
  </si>
  <si>
    <t>['Pregunta: Explica la importancia de validar entradas en el contexto de TDD y cómo se relaciona con la robustez del software.', 'Respuesta: 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</si>
  <si>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['Pregunta: Explica el ciclo TDD  y su importancia en el desarrollo de software.', 'Respuesta: 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</si>
  <si>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['Pregunta: Compara TDD con un enfoque tradicional de testing en el desarrollo de software.', 'Respuesta: 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lo\xa0 que falla.']</t>
  </si>
  <si>
    <t>['Pregunta: Describe las buenas prácticas en TDD y su impacto en la calidad del software.', 'Respuesta: Para que una práctica sea buena en TDD, se debe ir poco a poco con los cambios y siguiendo cada uno de los pasos, porque si haces primero la fase de refactor, aunque pase en verde ya vas a perder el enfoque de haberlo hecho de manera progresiva.']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</si>
</sst>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
    <font>
      <sz val="10.0"/>
      <color rgb="FF000000"/>
      <name val="Arial"/>
      <scheme val="minor"/>
    </font>
    <font>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vertical="bottom"/>
    </xf>
    <xf borderId="0" fillId="2" fontId="1" numFmtId="0" xfId="0" applyAlignment="1" applyFill="1" applyFont="1">
      <alignment horizontal="right" vertical="bottom"/>
    </xf>
    <xf borderId="0" fillId="0" fontId="1" numFmtId="3" xfId="0" applyAlignment="1" applyFont="1" applyNumberFormat="1">
      <alignment horizontal="right" vertical="bottom"/>
    </xf>
    <xf borderId="0" fillId="0" fontId="1" numFmtId="0" xfId="0" applyAlignment="1" applyFont="1">
      <alignment horizontal="right" vertical="bottom"/>
    </xf>
    <xf borderId="0" fillId="2" fontId="1" numFmtId="2" xfId="0" applyAlignment="1" applyFill="1" applyFont="1" applyNumberFormat="1">
      <alignment horizontal="right" vertical="bottom"/>
    </xf>
    <xf borderId="0" fillId="2" fontId="1" numFmtId="9" xfId="0" applyAlignment="1" applyFill="1" applyFont="1" applyNumberFormat="1">
      <alignment horizontal="right" vertical="bottom"/>
    </xf>
    <xf borderId="0" fillId="2" fontId="1" numFmtId="164" xfId="0" applyAlignment="1" applyFill="1" applyFont="1" applyNumberFormat="1">
      <alignment horizontal="right" vertical="bottom"/>
    </xf>
    <xf borderId="0" fillId="2" fontId="1" numFmtId="10" xfId="0" applyAlignment="1" applyFill="1" applyFont="1" applyNumberFormat="1">
      <alignment horizontal="right" vertical="bottom"/>
    </xf>
    <xf borderId="0" fillId="0" fontId="1" numFmtId="0" xfId="0" applyAlignment="1" applyFont="1">
      <alignment vertical="bottom"/>
    </xf>
    <xf borderId="0" fillId="0" fontId="1" numFmtId="10" xfId="0" applyFont="1" applyNumberFormat="1"/>
    <xf borderId="0" fillId="0" fontId="1"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solamenteNota!$D$1</c:f>
            </c:strRef>
          </c:tx>
          <c:spPr>
            <a:ln cmpd="sng">
              <a:solidFill>
                <a:srgbClr val="4285F4"/>
              </a:solidFill>
            </a:ln>
          </c:spPr>
          <c:marker>
            <c:symbol val="none"/>
          </c:marker>
          <c:cat>
            <c:strRef>
              <c:f>solamenteNota!$A$2:$A$298</c:f>
            </c:strRef>
          </c:cat>
          <c:val>
            <c:numRef>
              <c:f>solamenteNota!$D$2:$D$298</c:f>
              <c:numCache/>
            </c:numRef>
          </c:val>
          <c:smooth val="0"/>
        </c:ser>
        <c:ser>
          <c:idx val="1"/>
          <c:order val="1"/>
          <c:tx>
            <c:strRef>
              <c:f>solamenteNota!$E$1</c:f>
            </c:strRef>
          </c:tx>
          <c:spPr>
            <a:ln cmpd="sng">
              <a:solidFill>
                <a:srgbClr val="EA4335"/>
              </a:solidFill>
            </a:ln>
          </c:spPr>
          <c:marker>
            <c:symbol val="none"/>
          </c:marker>
          <c:cat>
            <c:strRef>
              <c:f>solamenteNota!$A$2:$A$298</c:f>
            </c:strRef>
          </c:cat>
          <c:val>
            <c:numRef>
              <c:f>solamenteNota!$E$2:$E$298</c:f>
              <c:numCache/>
            </c:numRef>
          </c:val>
          <c:smooth val="0"/>
        </c:ser>
        <c:axId val="1380090911"/>
        <c:axId val="223133048"/>
      </c:lineChart>
      <c:catAx>
        <c:axId val="1380090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23133048"/>
      </c:catAx>
      <c:valAx>
        <c:axId val="2231330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380090911"/>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solamenteNota!$D$1</c:f>
            </c:strRef>
          </c:tx>
          <c:spPr>
            <a:ln cmpd="sng">
              <a:solidFill>
                <a:srgbClr val="4285F4"/>
              </a:solidFill>
            </a:ln>
          </c:spPr>
          <c:marker>
            <c:symbol val="none"/>
          </c:marker>
          <c:cat>
            <c:strRef>
              <c:f>solamenteNota!$A$2:$A$298</c:f>
            </c:strRef>
          </c:cat>
          <c:val>
            <c:numRef>
              <c:f>solamenteNota!$D$2:$D$298</c:f>
              <c:numCache/>
            </c:numRef>
          </c:val>
          <c:smooth val="0"/>
        </c:ser>
        <c:ser>
          <c:idx val="1"/>
          <c:order val="1"/>
          <c:tx>
            <c:strRef>
              <c:f>solamenteNota!$H$1</c:f>
            </c:strRef>
          </c:tx>
          <c:spPr>
            <a:ln cmpd="sng">
              <a:solidFill>
                <a:srgbClr val="EA4335"/>
              </a:solidFill>
            </a:ln>
          </c:spPr>
          <c:marker>
            <c:symbol val="none"/>
          </c:marker>
          <c:cat>
            <c:strRef>
              <c:f>solamenteNota!$A$2:$A$298</c:f>
            </c:strRef>
          </c:cat>
          <c:val>
            <c:numRef>
              <c:f>solamenteNota!$H$2:$H$298</c:f>
              <c:numCache/>
            </c:numRef>
          </c:val>
          <c:smooth val="0"/>
        </c:ser>
        <c:axId val="1278937426"/>
        <c:axId val="147252331"/>
      </c:lineChart>
      <c:catAx>
        <c:axId val="127893742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esperado</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47252331"/>
      </c:catAx>
      <c:valAx>
        <c:axId val="1472523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78937426"/>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657225</xdr:colOff>
      <xdr:row>19</xdr:row>
      <xdr:rowOff>152400</xdr:rowOff>
    </xdr:from>
    <xdr:ext cx="20431125" cy="3533775"/>
    <xdr:graphicFrame>
      <xdr:nvGraphicFramePr>
        <xdr:cNvPr id="1513165505"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657225</xdr:colOff>
      <xdr:row>39</xdr:row>
      <xdr:rowOff>133350</xdr:rowOff>
    </xdr:from>
    <xdr:ext cx="20431125" cy="3533775"/>
    <xdr:graphicFrame>
      <xdr:nvGraphicFramePr>
        <xdr:cNvPr id="946654239"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1.0"/>
    <col customWidth="1" min="3" max="6" width="12.63"/>
  </cols>
  <sheetData>
    <row r="1" ht="15.75" customHeight="1">
      <c r="A1" s="1" t="s">
        <v>0</v>
      </c>
      <c r="B1" s="1" t="s">
        <v>1</v>
      </c>
      <c r="C1" s="1" t="s">
        <v>2</v>
      </c>
      <c r="D1" s="1" t="s">
        <v>3</v>
      </c>
      <c r="E1" s="1" t="s">
        <v>4</v>
      </c>
      <c r="H1" s="1" t="s">
        <v>5</v>
      </c>
      <c r="I1" s="2" t="s">
        <v>6</v>
      </c>
      <c r="J1" s="2" t="s">
        <v>7</v>
      </c>
      <c r="K1" s="2" t="s">
        <v>8</v>
      </c>
      <c r="L1" s="2" t="s">
        <v>9</v>
      </c>
      <c r="M1" s="3">
        <v>1.0</v>
      </c>
      <c r="N1" s="3">
        <v>2.0</v>
      </c>
      <c r="O1" s="3">
        <v>3.0</v>
      </c>
      <c r="P1" s="3">
        <v>4.0</v>
      </c>
      <c r="Q1" s="3">
        <v>5.0</v>
      </c>
      <c r="R1" s="3">
        <v>-1.0</v>
      </c>
      <c r="S1" s="3">
        <v>-2.0</v>
      </c>
      <c r="T1" s="3">
        <v>-3.0</v>
      </c>
      <c r="U1" s="3">
        <v>-4.0</v>
      </c>
      <c r="V1" s="3">
        <v>-5.0</v>
      </c>
      <c r="W1" s="2" t="s">
        <v>10</v>
      </c>
    </row>
    <row r="2" ht="15.75" customHeight="1">
      <c r="A2" s="1">
        <v>0.0</v>
      </c>
      <c r="B2" s="1" t="s">
        <v>11</v>
      </c>
      <c r="C2" s="1" t="s">
        <v>12</v>
      </c>
      <c r="D2" s="1">
        <v>8.0</v>
      </c>
      <c r="E2" s="1">
        <v>9.0</v>
      </c>
      <c r="F2" s="4">
        <f t="shared" ref="F2:F298" si="1">D2-E2</f>
        <v>-1</v>
      </c>
      <c r="G2" s="5">
        <f t="shared" ref="G2:G298" si="2">ABS(F2)</f>
        <v>1</v>
      </c>
      <c r="H2" s="5">
        <v>8.0</v>
      </c>
      <c r="I2" s="3">
        <f>MAX(D2:D304)</f>
        <v>9.5</v>
      </c>
      <c r="J2" s="6">
        <f>AVERAGE(G2:G304)</f>
        <v>1.255892256</v>
      </c>
      <c r="K2" s="6">
        <f>AVERAGE(F1:F304)</f>
        <v>0.3333333333</v>
      </c>
      <c r="L2" s="7">
        <f>COUNTIF(E2:E304, 0) / COUNT(E2:E304)
</f>
        <v>0.003367003367</v>
      </c>
      <c r="M2" s="8">
        <f>COUNTIF(E2:E304, 1) / COUNT(E2:E304)</f>
        <v>0.0101010101</v>
      </c>
      <c r="N2" s="9">
        <f>COUNTIF(E2:E304, 2) / COUNT(E2:E304)</f>
        <v>0.03367003367</v>
      </c>
      <c r="O2" s="9">
        <f>COUNTIF(E2:E304, 3) / COUNT(E2:E304)</f>
        <v>0.07744107744</v>
      </c>
      <c r="P2" s="9">
        <f>COUNTIF(E2:E304, 4) / COUNT(E2:E304)</f>
        <v>0.1043771044</v>
      </c>
      <c r="Q2" s="9">
        <f>COUNTIF(E1:E304, 5) / COUNT(E2:E72)</f>
        <v>0.4788732394</v>
      </c>
      <c r="R2" s="9">
        <f>COUNTIF(E2:E304, -1) / COUNT(E2:E304)</f>
        <v>0</v>
      </c>
      <c r="S2" s="9">
        <f>COUNTIF(E2:E304, -2) / COUNT(E2:E304)</f>
        <v>0</v>
      </c>
      <c r="T2" s="9">
        <f>COUNTIF(E2:E304, -3) / COUNT(E2:E304)</f>
        <v>0</v>
      </c>
      <c r="U2" s="9">
        <f>COUNTIF(E2:E304, -4) / COUNT(E2:E304)</f>
        <v>0</v>
      </c>
      <c r="V2" s="9">
        <f>COUNTIF(E2:E304, -5) / COUNT(E2:E304)</f>
        <v>0</v>
      </c>
      <c r="W2" s="9">
        <f>COUNTIF(D2:D304, "&lt;=1") / COUNT(D2:D304)</f>
        <v>0.003367003367</v>
      </c>
    </row>
    <row r="3" ht="15.75" customHeight="1">
      <c r="A3" s="1">
        <v>1.0</v>
      </c>
      <c r="B3" s="1" t="s">
        <v>13</v>
      </c>
      <c r="C3" s="1" t="s">
        <v>12</v>
      </c>
      <c r="D3" s="1">
        <v>6.0</v>
      </c>
      <c r="E3" s="1">
        <v>7.0</v>
      </c>
      <c r="F3" s="4">
        <f t="shared" si="1"/>
        <v>-1</v>
      </c>
      <c r="G3" s="5">
        <f t="shared" si="2"/>
        <v>1</v>
      </c>
      <c r="H3" s="5">
        <v>6.0</v>
      </c>
      <c r="I3" s="5">
        <f>COUNTIFS(E:E,"&gt;6", D:D,"&gt;=7")</f>
        <v>131</v>
      </c>
      <c r="J3" s="5">
        <f>COUNTIFS(E:E,"&lt;6", D:D,"&gt;=7")</f>
        <v>27</v>
      </c>
      <c r="P3" s="5">
        <f>COUNTIFS(L:L,"&gt;6", K:K,"&lt;6")</f>
        <v>0</v>
      </c>
      <c r="Q3" s="5">
        <f>COUNTIFS(L:L,"&lt;6", K:K,"&lt;6")</f>
        <v>1</v>
      </c>
    </row>
    <row r="4" ht="15.75" customHeight="1">
      <c r="A4" s="1">
        <v>2.0</v>
      </c>
      <c r="B4" s="1" t="s">
        <v>14</v>
      </c>
      <c r="C4" s="1" t="s">
        <v>12</v>
      </c>
      <c r="D4" s="1">
        <v>7.0</v>
      </c>
      <c r="E4" s="1">
        <v>6.0</v>
      </c>
      <c r="F4" s="4">
        <f t="shared" si="1"/>
        <v>1</v>
      </c>
      <c r="G4" s="5">
        <f t="shared" si="2"/>
        <v>1</v>
      </c>
      <c r="H4" s="5">
        <v>7.0</v>
      </c>
      <c r="I4" s="5">
        <f>COUNTIFS(E:E,"&gt;6", D:D,"&lt;6")</f>
        <v>1</v>
      </c>
      <c r="J4" s="5">
        <f>COUNTIFS(E:E,"&lt;6", D:D,"&lt;6")</f>
        <v>50</v>
      </c>
      <c r="L4" s="1">
        <f>SUM(I3:J4)</f>
        <v>209</v>
      </c>
    </row>
    <row r="5" ht="15.75" customHeight="1">
      <c r="A5" s="1">
        <v>3.0</v>
      </c>
      <c r="B5" s="1" t="s">
        <v>15</v>
      </c>
      <c r="C5" s="1" t="s">
        <v>12</v>
      </c>
      <c r="D5" s="1">
        <v>7.0</v>
      </c>
      <c r="E5" s="1">
        <v>7.0</v>
      </c>
      <c r="F5" s="4">
        <f t="shared" si="1"/>
        <v>0</v>
      </c>
      <c r="G5" s="5">
        <f t="shared" si="2"/>
        <v>0</v>
      </c>
      <c r="H5" s="5">
        <v>7.0</v>
      </c>
      <c r="I5" s="10"/>
      <c r="J5" s="10"/>
      <c r="L5" s="1">
        <f>L4/298</f>
        <v>0.7013422819</v>
      </c>
      <c r="N5" s="1">
        <f>COUNTIF(G:G,"&gt;=3")</f>
        <v>26</v>
      </c>
      <c r="O5" s="11">
        <f>N5/309</f>
        <v>0.08414239482</v>
      </c>
    </row>
    <row r="6" ht="15.75" customHeight="1">
      <c r="A6" s="1">
        <v>4.0</v>
      </c>
      <c r="B6" s="1" t="s">
        <v>16</v>
      </c>
      <c r="C6" s="1" t="s">
        <v>12</v>
      </c>
      <c r="D6" s="1">
        <v>8.0</v>
      </c>
      <c r="E6" s="1">
        <v>8.0</v>
      </c>
      <c r="F6" s="4">
        <f t="shared" si="1"/>
        <v>0</v>
      </c>
      <c r="G6" s="5">
        <f t="shared" si="2"/>
        <v>0</v>
      </c>
      <c r="H6" s="5">
        <v>8.0</v>
      </c>
      <c r="I6" s="10"/>
      <c r="J6" s="5">
        <f>(I3+J4)/(I4+I3+J3+J4)</f>
        <v>0.8660287081</v>
      </c>
      <c r="L6" s="1">
        <f>L5*J6</f>
        <v>0.6073825503</v>
      </c>
    </row>
    <row r="7" ht="15.75" customHeight="1">
      <c r="A7" s="1">
        <v>5.0</v>
      </c>
      <c r="B7" s="1" t="s">
        <v>17</v>
      </c>
      <c r="C7" s="1" t="s">
        <v>12</v>
      </c>
      <c r="D7" s="1">
        <v>7.0</v>
      </c>
      <c r="E7" s="1">
        <v>6.0</v>
      </c>
      <c r="F7" s="4">
        <f t="shared" si="1"/>
        <v>1</v>
      </c>
      <c r="G7" s="5">
        <f t="shared" si="2"/>
        <v>1</v>
      </c>
      <c r="H7" s="5">
        <v>7.0</v>
      </c>
      <c r="I7" s="5">
        <f>COUNTIF(E:E,"=6")</f>
        <v>55</v>
      </c>
    </row>
    <row r="8" ht="15.75" customHeight="1">
      <c r="A8" s="1">
        <v>6.0</v>
      </c>
      <c r="B8" s="1" t="s">
        <v>18</v>
      </c>
      <c r="C8" s="1" t="s">
        <v>12</v>
      </c>
      <c r="D8" s="1">
        <v>8.0</v>
      </c>
      <c r="E8" s="1">
        <v>8.0</v>
      </c>
      <c r="F8" s="4">
        <f t="shared" si="1"/>
        <v>0</v>
      </c>
      <c r="G8" s="5">
        <f t="shared" si="2"/>
        <v>0</v>
      </c>
      <c r="H8" s="5">
        <v>7.0</v>
      </c>
      <c r="I8" s="5">
        <f>COUNTIF(D:D,"=6")</f>
        <v>45</v>
      </c>
    </row>
    <row r="9" ht="15.75" customHeight="1">
      <c r="A9" s="1">
        <v>7.0</v>
      </c>
      <c r="B9" s="1" t="s">
        <v>19</v>
      </c>
      <c r="C9" s="1" t="s">
        <v>12</v>
      </c>
      <c r="D9" s="1">
        <v>8.0</v>
      </c>
      <c r="E9" s="1">
        <v>7.0</v>
      </c>
      <c r="F9" s="4">
        <f t="shared" si="1"/>
        <v>1</v>
      </c>
      <c r="G9" s="5">
        <f t="shared" si="2"/>
        <v>1</v>
      </c>
      <c r="H9" s="5">
        <v>7.0</v>
      </c>
    </row>
    <row r="10" ht="15.75" customHeight="1">
      <c r="A10" s="1">
        <v>8.0</v>
      </c>
      <c r="B10" s="1" t="s">
        <v>20</v>
      </c>
      <c r="C10" s="1" t="s">
        <v>12</v>
      </c>
      <c r="D10" s="1">
        <v>8.0</v>
      </c>
      <c r="E10" s="1">
        <v>10.0</v>
      </c>
      <c r="F10" s="4">
        <f t="shared" si="1"/>
        <v>-2</v>
      </c>
      <c r="G10" s="5">
        <f t="shared" si="2"/>
        <v>2</v>
      </c>
      <c r="H10" s="5">
        <v>8.0</v>
      </c>
    </row>
    <row r="11" ht="15.75" customHeight="1">
      <c r="A11" s="1">
        <v>9.0</v>
      </c>
      <c r="B11" s="1" t="s">
        <v>21</v>
      </c>
      <c r="C11" s="1" t="s">
        <v>12</v>
      </c>
      <c r="D11" s="1">
        <v>8.0</v>
      </c>
      <c r="E11" s="1">
        <v>9.0</v>
      </c>
      <c r="F11" s="4">
        <f t="shared" si="1"/>
        <v>-1</v>
      </c>
      <c r="G11" s="5">
        <f t="shared" si="2"/>
        <v>1</v>
      </c>
      <c r="H11" s="5">
        <v>8.0</v>
      </c>
    </row>
    <row r="12" ht="15.75" customHeight="1">
      <c r="A12" s="1">
        <v>10.0</v>
      </c>
      <c r="B12" s="1" t="s">
        <v>22</v>
      </c>
      <c r="C12" s="1" t="s">
        <v>12</v>
      </c>
      <c r="D12" s="1">
        <v>5.0</v>
      </c>
      <c r="E12" s="1">
        <v>6.0</v>
      </c>
      <c r="F12" s="4">
        <f t="shared" si="1"/>
        <v>-1</v>
      </c>
      <c r="G12" s="5">
        <f t="shared" si="2"/>
        <v>1</v>
      </c>
      <c r="H12" s="5">
        <v>5.0</v>
      </c>
    </row>
    <row r="13" ht="15.75" customHeight="1">
      <c r="A13" s="1">
        <v>11.0</v>
      </c>
      <c r="B13" s="1" t="s">
        <v>23</v>
      </c>
      <c r="C13" s="1" t="s">
        <v>12</v>
      </c>
      <c r="D13" s="1">
        <v>9.5</v>
      </c>
      <c r="E13" s="1">
        <v>10.0</v>
      </c>
      <c r="F13" s="4">
        <f t="shared" si="1"/>
        <v>-0.5</v>
      </c>
      <c r="G13" s="5">
        <f t="shared" si="2"/>
        <v>0.5</v>
      </c>
      <c r="H13" s="5">
        <v>9.5</v>
      </c>
    </row>
    <row r="14" ht="15.75" customHeight="1">
      <c r="A14" s="1">
        <v>12.0</v>
      </c>
      <c r="B14" s="1" t="s">
        <v>24</v>
      </c>
      <c r="C14" s="1" t="s">
        <v>12</v>
      </c>
      <c r="D14" s="1">
        <v>8.0</v>
      </c>
      <c r="E14" s="1">
        <v>8.0</v>
      </c>
      <c r="F14" s="4">
        <f t="shared" si="1"/>
        <v>0</v>
      </c>
      <c r="G14" s="5">
        <f t="shared" si="2"/>
        <v>0</v>
      </c>
      <c r="H14" s="5">
        <v>8.0</v>
      </c>
    </row>
    <row r="15" ht="15.75" customHeight="1">
      <c r="A15" s="1">
        <v>13.0</v>
      </c>
      <c r="B15" s="1" t="s">
        <v>25</v>
      </c>
      <c r="C15" s="1" t="s">
        <v>12</v>
      </c>
      <c r="D15" s="1">
        <v>5.0</v>
      </c>
      <c r="E15" s="1">
        <v>6.0</v>
      </c>
      <c r="F15" s="4">
        <f t="shared" si="1"/>
        <v>-1</v>
      </c>
      <c r="G15" s="5">
        <f t="shared" si="2"/>
        <v>1</v>
      </c>
      <c r="H15" s="5">
        <v>5.0</v>
      </c>
    </row>
    <row r="16" ht="15.75" customHeight="1">
      <c r="A16" s="1">
        <v>14.0</v>
      </c>
      <c r="B16" s="1" t="s">
        <v>26</v>
      </c>
      <c r="C16" s="1" t="s">
        <v>12</v>
      </c>
      <c r="D16" s="1">
        <v>4.0</v>
      </c>
      <c r="E16" s="1">
        <v>3.0</v>
      </c>
      <c r="F16" s="4">
        <f t="shared" si="1"/>
        <v>1</v>
      </c>
      <c r="G16" s="5">
        <f t="shared" si="2"/>
        <v>1</v>
      </c>
      <c r="H16" s="5">
        <v>3.0</v>
      </c>
    </row>
    <row r="17" ht="15.75" customHeight="1">
      <c r="A17" s="1">
        <v>15.0</v>
      </c>
      <c r="B17" s="1" t="s">
        <v>27</v>
      </c>
      <c r="C17" s="1" t="s">
        <v>12</v>
      </c>
      <c r="D17" s="1">
        <v>8.0</v>
      </c>
      <c r="E17" s="1">
        <v>9.0</v>
      </c>
      <c r="F17" s="4">
        <f t="shared" si="1"/>
        <v>-1</v>
      </c>
      <c r="G17" s="5">
        <f t="shared" si="2"/>
        <v>1</v>
      </c>
      <c r="H17" s="5">
        <v>8.0</v>
      </c>
    </row>
    <row r="18" ht="15.75" customHeight="1">
      <c r="A18" s="1">
        <v>16.0</v>
      </c>
      <c r="B18" s="1" t="s">
        <v>28</v>
      </c>
      <c r="C18" s="1" t="s">
        <v>12</v>
      </c>
      <c r="D18" s="1">
        <v>3.0</v>
      </c>
      <c r="E18" s="1">
        <v>6.0</v>
      </c>
      <c r="F18" s="4">
        <f t="shared" si="1"/>
        <v>-3</v>
      </c>
      <c r="G18" s="5">
        <f t="shared" si="2"/>
        <v>3</v>
      </c>
      <c r="H18" s="5">
        <v>3.0</v>
      </c>
    </row>
    <row r="19" ht="15.75" customHeight="1">
      <c r="A19" s="1">
        <v>17.0</v>
      </c>
      <c r="B19" s="1" t="s">
        <v>29</v>
      </c>
      <c r="C19" s="1" t="s">
        <v>12</v>
      </c>
      <c r="D19" s="1">
        <v>5.0</v>
      </c>
      <c r="E19" s="1">
        <v>3.0</v>
      </c>
      <c r="F19" s="4">
        <f t="shared" si="1"/>
        <v>2</v>
      </c>
      <c r="G19" s="5">
        <f t="shared" si="2"/>
        <v>2</v>
      </c>
      <c r="H19" s="5">
        <v>5.0</v>
      </c>
    </row>
    <row r="20" ht="15.75" customHeight="1">
      <c r="A20" s="1">
        <v>18.0</v>
      </c>
      <c r="B20" s="1" t="s">
        <v>30</v>
      </c>
      <c r="C20" s="1" t="s">
        <v>12</v>
      </c>
      <c r="D20" s="1">
        <v>6.0</v>
      </c>
      <c r="E20" s="1">
        <v>6.0</v>
      </c>
      <c r="F20" s="4">
        <f t="shared" si="1"/>
        <v>0</v>
      </c>
      <c r="G20" s="5">
        <f t="shared" si="2"/>
        <v>0</v>
      </c>
      <c r="H20" s="5">
        <v>6.0</v>
      </c>
    </row>
    <row r="21" ht="15.75" customHeight="1">
      <c r="A21" s="1">
        <v>19.0</v>
      </c>
      <c r="B21" s="1" t="s">
        <v>31</v>
      </c>
      <c r="C21" s="1" t="s">
        <v>12</v>
      </c>
      <c r="D21" s="1">
        <v>8.0</v>
      </c>
      <c r="E21" s="1">
        <v>10.0</v>
      </c>
      <c r="F21" s="4">
        <f t="shared" si="1"/>
        <v>-2</v>
      </c>
      <c r="G21" s="5">
        <f t="shared" si="2"/>
        <v>2</v>
      </c>
      <c r="H21" s="5">
        <v>8.0</v>
      </c>
    </row>
    <row r="22" ht="15.75" customHeight="1">
      <c r="A22" s="1">
        <v>20.0</v>
      </c>
      <c r="B22" s="1" t="s">
        <v>32</v>
      </c>
      <c r="C22" s="1" t="s">
        <v>12</v>
      </c>
      <c r="D22" s="1">
        <v>8.0</v>
      </c>
      <c r="E22" s="1">
        <v>10.0</v>
      </c>
      <c r="F22" s="4">
        <f t="shared" si="1"/>
        <v>-2</v>
      </c>
      <c r="G22" s="5">
        <f t="shared" si="2"/>
        <v>2</v>
      </c>
      <c r="H22" s="5">
        <v>8.0</v>
      </c>
    </row>
    <row r="23" ht="15.75" customHeight="1">
      <c r="A23" s="1">
        <v>21.0</v>
      </c>
      <c r="B23" s="1" t="s">
        <v>33</v>
      </c>
      <c r="C23" s="1" t="s">
        <v>12</v>
      </c>
      <c r="D23" s="1">
        <v>8.0</v>
      </c>
      <c r="E23" s="1">
        <v>9.0</v>
      </c>
      <c r="F23" s="4">
        <f t="shared" si="1"/>
        <v>-1</v>
      </c>
      <c r="G23" s="5">
        <f t="shared" si="2"/>
        <v>1</v>
      </c>
      <c r="H23" s="5">
        <v>8.0</v>
      </c>
    </row>
    <row r="24" ht="15.75" customHeight="1">
      <c r="A24" s="1">
        <v>22.0</v>
      </c>
      <c r="B24" s="1" t="s">
        <v>34</v>
      </c>
      <c r="D24" s="1">
        <v>7.0</v>
      </c>
      <c r="E24" s="1">
        <v>5.0</v>
      </c>
      <c r="F24" s="4">
        <f t="shared" si="1"/>
        <v>2</v>
      </c>
      <c r="G24" s="5">
        <f t="shared" si="2"/>
        <v>2</v>
      </c>
      <c r="H24" s="5">
        <v>7.0</v>
      </c>
    </row>
    <row r="25" ht="15.75" customHeight="1">
      <c r="A25" s="1">
        <v>23.0</v>
      </c>
      <c r="B25" s="1" t="s">
        <v>35</v>
      </c>
      <c r="C25" s="1" t="s">
        <v>12</v>
      </c>
      <c r="D25" s="1">
        <v>8.0</v>
      </c>
      <c r="E25" s="1">
        <v>5.0</v>
      </c>
      <c r="F25" s="4">
        <f t="shared" si="1"/>
        <v>3</v>
      </c>
      <c r="G25" s="5">
        <f t="shared" si="2"/>
        <v>3</v>
      </c>
      <c r="H25" s="5">
        <v>9.0</v>
      </c>
    </row>
    <row r="26" ht="15.75" customHeight="1">
      <c r="A26" s="1">
        <v>24.0</v>
      </c>
      <c r="B26" s="1" t="s">
        <v>36</v>
      </c>
      <c r="C26" s="1" t="s">
        <v>12</v>
      </c>
      <c r="D26" s="1">
        <v>7.0</v>
      </c>
      <c r="E26" s="1">
        <v>7.0</v>
      </c>
      <c r="F26" s="4">
        <f t="shared" si="1"/>
        <v>0</v>
      </c>
      <c r="G26" s="5">
        <f t="shared" si="2"/>
        <v>0</v>
      </c>
      <c r="H26" s="5">
        <v>7.0</v>
      </c>
    </row>
    <row r="27" ht="15.75" customHeight="1">
      <c r="A27" s="1">
        <v>25.0</v>
      </c>
      <c r="B27" s="1" t="s">
        <v>37</v>
      </c>
      <c r="C27" s="1" t="s">
        <v>12</v>
      </c>
      <c r="D27" s="1">
        <v>8.0</v>
      </c>
      <c r="E27" s="1">
        <v>6.0</v>
      </c>
      <c r="F27" s="4">
        <f t="shared" si="1"/>
        <v>2</v>
      </c>
      <c r="G27" s="5">
        <f t="shared" si="2"/>
        <v>2</v>
      </c>
      <c r="H27" s="5">
        <v>8.0</v>
      </c>
    </row>
    <row r="28" ht="15.75" customHeight="1">
      <c r="A28" s="1">
        <v>26.0</v>
      </c>
      <c r="B28" s="1" t="s">
        <v>38</v>
      </c>
      <c r="C28" s="1" t="s">
        <v>12</v>
      </c>
      <c r="D28" s="1">
        <v>5.0</v>
      </c>
      <c r="E28" s="1">
        <v>4.0</v>
      </c>
      <c r="F28" s="4">
        <f t="shared" si="1"/>
        <v>1</v>
      </c>
      <c r="G28" s="5">
        <f t="shared" si="2"/>
        <v>1</v>
      </c>
      <c r="H28" s="5">
        <v>5.0</v>
      </c>
    </row>
    <row r="29" ht="15.75" customHeight="1">
      <c r="A29" s="1">
        <v>27.0</v>
      </c>
      <c r="B29" s="1" t="s">
        <v>39</v>
      </c>
      <c r="C29" s="1" t="s">
        <v>12</v>
      </c>
      <c r="D29" s="1">
        <v>7.0</v>
      </c>
      <c r="E29" s="1">
        <v>8.0</v>
      </c>
      <c r="F29" s="4">
        <f t="shared" si="1"/>
        <v>-1</v>
      </c>
      <c r="G29" s="5">
        <f t="shared" si="2"/>
        <v>1</v>
      </c>
      <c r="H29" s="5">
        <v>7.0</v>
      </c>
    </row>
    <row r="30" ht="15.75" customHeight="1">
      <c r="A30" s="1">
        <v>28.0</v>
      </c>
      <c r="B30" s="1" t="s">
        <v>40</v>
      </c>
      <c r="C30" s="1" t="s">
        <v>12</v>
      </c>
      <c r="D30" s="1">
        <v>4.0</v>
      </c>
      <c r="E30" s="1">
        <v>6.0</v>
      </c>
      <c r="F30" s="4">
        <f t="shared" si="1"/>
        <v>-2</v>
      </c>
      <c r="G30" s="5">
        <f t="shared" si="2"/>
        <v>2</v>
      </c>
      <c r="H30" s="5">
        <v>5.0</v>
      </c>
    </row>
    <row r="31" ht="15.75" customHeight="1">
      <c r="A31" s="1">
        <v>29.0</v>
      </c>
      <c r="B31" s="1" t="s">
        <v>41</v>
      </c>
      <c r="C31" s="1" t="s">
        <v>12</v>
      </c>
      <c r="D31" s="1">
        <v>7.0</v>
      </c>
      <c r="E31" s="1">
        <v>6.0</v>
      </c>
      <c r="F31" s="4">
        <f t="shared" si="1"/>
        <v>1</v>
      </c>
      <c r="G31" s="5">
        <f t="shared" si="2"/>
        <v>1</v>
      </c>
      <c r="H31" s="5">
        <v>6.0</v>
      </c>
    </row>
    <row r="32" ht="15.75" customHeight="1">
      <c r="A32" s="1">
        <v>30.0</v>
      </c>
      <c r="B32" s="1" t="s">
        <v>42</v>
      </c>
      <c r="C32" s="1" t="s">
        <v>12</v>
      </c>
      <c r="D32" s="1">
        <v>7.0</v>
      </c>
      <c r="E32" s="1">
        <v>5.0</v>
      </c>
      <c r="F32" s="4">
        <f t="shared" si="1"/>
        <v>2</v>
      </c>
      <c r="G32" s="5">
        <f t="shared" si="2"/>
        <v>2</v>
      </c>
      <c r="H32" s="5">
        <v>7.0</v>
      </c>
    </row>
    <row r="33" ht="15.75" customHeight="1">
      <c r="A33" s="1">
        <v>31.0</v>
      </c>
      <c r="B33" s="1" t="s">
        <v>43</v>
      </c>
      <c r="C33" s="1" t="s">
        <v>12</v>
      </c>
      <c r="D33" s="1">
        <v>8.0</v>
      </c>
      <c r="E33" s="1">
        <v>10.0</v>
      </c>
      <c r="F33" s="4">
        <f t="shared" si="1"/>
        <v>-2</v>
      </c>
      <c r="G33" s="5">
        <f t="shared" si="2"/>
        <v>2</v>
      </c>
      <c r="H33" s="5">
        <v>8.0</v>
      </c>
    </row>
    <row r="34" ht="15.75" customHeight="1">
      <c r="A34" s="1">
        <v>32.0</v>
      </c>
      <c r="B34" s="1" t="s">
        <v>44</v>
      </c>
      <c r="C34" s="1" t="s">
        <v>12</v>
      </c>
      <c r="D34" s="1">
        <v>6.0</v>
      </c>
      <c r="E34" s="1">
        <v>4.0</v>
      </c>
      <c r="F34" s="4">
        <f t="shared" si="1"/>
        <v>2</v>
      </c>
      <c r="G34" s="5">
        <f t="shared" si="2"/>
        <v>2</v>
      </c>
      <c r="H34" s="5">
        <v>7.0</v>
      </c>
    </row>
    <row r="35" ht="15.75" customHeight="1">
      <c r="A35" s="1">
        <v>33.0</v>
      </c>
      <c r="B35" s="1" t="s">
        <v>45</v>
      </c>
      <c r="C35" s="1" t="s">
        <v>12</v>
      </c>
      <c r="D35" s="1">
        <v>6.0</v>
      </c>
      <c r="E35" s="1">
        <v>3.0</v>
      </c>
      <c r="F35" s="4">
        <f t="shared" si="1"/>
        <v>3</v>
      </c>
      <c r="G35" s="5">
        <f t="shared" si="2"/>
        <v>3</v>
      </c>
      <c r="H35" s="5">
        <v>5.0</v>
      </c>
    </row>
    <row r="36" ht="15.75" customHeight="1">
      <c r="A36" s="1">
        <v>34.0</v>
      </c>
      <c r="B36" s="1" t="s">
        <v>46</v>
      </c>
      <c r="C36" s="1" t="s">
        <v>12</v>
      </c>
      <c r="D36" s="1">
        <v>6.0</v>
      </c>
      <c r="E36" s="1">
        <v>4.0</v>
      </c>
      <c r="F36" s="4">
        <f t="shared" si="1"/>
        <v>2</v>
      </c>
      <c r="G36" s="5">
        <f t="shared" si="2"/>
        <v>2</v>
      </c>
      <c r="H36" s="5">
        <v>6.0</v>
      </c>
    </row>
    <row r="37" ht="15.75" customHeight="1">
      <c r="A37" s="1">
        <v>35.0</v>
      </c>
      <c r="B37" s="1" t="s">
        <v>47</v>
      </c>
      <c r="C37" s="1" t="s">
        <v>12</v>
      </c>
      <c r="D37" s="1">
        <v>7.0</v>
      </c>
      <c r="E37" s="1">
        <v>9.0</v>
      </c>
      <c r="F37" s="4">
        <f t="shared" si="1"/>
        <v>-2</v>
      </c>
      <c r="G37" s="5">
        <f t="shared" si="2"/>
        <v>2</v>
      </c>
      <c r="H37" s="5">
        <v>8.0</v>
      </c>
    </row>
    <row r="38" ht="15.75" customHeight="1">
      <c r="A38" s="1">
        <v>36.0</v>
      </c>
      <c r="B38" s="1" t="s">
        <v>48</v>
      </c>
      <c r="C38" s="1" t="s">
        <v>12</v>
      </c>
      <c r="D38" s="1">
        <v>8.0</v>
      </c>
      <c r="E38" s="1">
        <v>10.0</v>
      </c>
      <c r="F38" s="4">
        <f t="shared" si="1"/>
        <v>-2</v>
      </c>
      <c r="G38" s="5">
        <f t="shared" si="2"/>
        <v>2</v>
      </c>
      <c r="H38" s="5">
        <v>8.0</v>
      </c>
    </row>
    <row r="39" ht="15.75" customHeight="1">
      <c r="A39" s="1">
        <v>37.0</v>
      </c>
      <c r="B39" s="1" t="s">
        <v>49</v>
      </c>
      <c r="C39" s="1" t="s">
        <v>12</v>
      </c>
      <c r="D39" s="1">
        <v>7.0</v>
      </c>
      <c r="E39" s="1">
        <v>8.0</v>
      </c>
      <c r="F39" s="4">
        <f t="shared" si="1"/>
        <v>-1</v>
      </c>
      <c r="G39" s="5">
        <f t="shared" si="2"/>
        <v>1</v>
      </c>
      <c r="H39" s="5">
        <v>7.0</v>
      </c>
    </row>
    <row r="40" ht="15.75" customHeight="1">
      <c r="A40" s="1">
        <v>38.0</v>
      </c>
      <c r="B40" s="1" t="s">
        <v>50</v>
      </c>
      <c r="C40" s="1" t="s">
        <v>12</v>
      </c>
      <c r="D40" s="1">
        <v>3.0</v>
      </c>
      <c r="E40" s="1">
        <v>3.0</v>
      </c>
      <c r="F40" s="4">
        <f t="shared" si="1"/>
        <v>0</v>
      </c>
      <c r="G40" s="5">
        <f t="shared" si="2"/>
        <v>0</v>
      </c>
      <c r="H40" s="5">
        <v>3.0</v>
      </c>
    </row>
    <row r="41" ht="15.75" customHeight="1">
      <c r="A41" s="1">
        <v>39.0</v>
      </c>
      <c r="B41" s="1" t="s">
        <v>51</v>
      </c>
      <c r="C41" s="1" t="s">
        <v>12</v>
      </c>
      <c r="D41" s="1">
        <v>8.0</v>
      </c>
      <c r="E41" s="1">
        <v>7.0</v>
      </c>
      <c r="F41" s="4">
        <f t="shared" si="1"/>
        <v>1</v>
      </c>
      <c r="G41" s="5">
        <f t="shared" si="2"/>
        <v>1</v>
      </c>
      <c r="H41" s="5">
        <v>8.0</v>
      </c>
    </row>
    <row r="42" ht="15.75" customHeight="1">
      <c r="A42" s="1">
        <v>40.0</v>
      </c>
      <c r="B42" s="1" t="s">
        <v>52</v>
      </c>
      <c r="C42" s="1" t="s">
        <v>12</v>
      </c>
      <c r="D42" s="1">
        <v>7.0</v>
      </c>
      <c r="E42" s="1">
        <v>6.0</v>
      </c>
      <c r="F42" s="4">
        <f t="shared" si="1"/>
        <v>1</v>
      </c>
      <c r="G42" s="5">
        <f t="shared" si="2"/>
        <v>1</v>
      </c>
      <c r="H42" s="5">
        <v>7.0</v>
      </c>
    </row>
    <row r="43" ht="15.75" customHeight="1">
      <c r="A43" s="1">
        <v>41.0</v>
      </c>
      <c r="B43" s="1" t="s">
        <v>53</v>
      </c>
      <c r="C43" s="1" t="s">
        <v>12</v>
      </c>
      <c r="D43" s="1">
        <v>7.0</v>
      </c>
      <c r="E43" s="1">
        <v>6.0</v>
      </c>
      <c r="F43" s="4">
        <f t="shared" si="1"/>
        <v>1</v>
      </c>
      <c r="G43" s="5">
        <f t="shared" si="2"/>
        <v>1</v>
      </c>
      <c r="H43" s="5">
        <v>7.0</v>
      </c>
    </row>
    <row r="44" ht="15.75" customHeight="1">
      <c r="A44" s="1">
        <v>42.0</v>
      </c>
      <c r="B44" s="1" t="s">
        <v>54</v>
      </c>
      <c r="C44" s="1" t="s">
        <v>12</v>
      </c>
      <c r="D44" s="1">
        <v>7.0</v>
      </c>
      <c r="E44" s="1">
        <v>5.0</v>
      </c>
      <c r="F44" s="4">
        <f t="shared" si="1"/>
        <v>2</v>
      </c>
      <c r="G44" s="5">
        <f t="shared" si="2"/>
        <v>2</v>
      </c>
      <c r="H44" s="5">
        <v>7.0</v>
      </c>
    </row>
    <row r="45" ht="15.75" customHeight="1">
      <c r="A45" s="1">
        <v>43.0</v>
      </c>
      <c r="B45" s="1" t="s">
        <v>55</v>
      </c>
      <c r="C45" s="1" t="s">
        <v>12</v>
      </c>
      <c r="D45" s="1">
        <v>8.0</v>
      </c>
      <c r="E45" s="1">
        <v>6.0</v>
      </c>
      <c r="F45" s="4">
        <f t="shared" si="1"/>
        <v>2</v>
      </c>
      <c r="G45" s="5">
        <f t="shared" si="2"/>
        <v>2</v>
      </c>
      <c r="H45" s="5">
        <v>8.0</v>
      </c>
    </row>
    <row r="46" ht="15.75" customHeight="1">
      <c r="A46" s="1">
        <v>44.0</v>
      </c>
      <c r="B46" s="1" t="s">
        <v>56</v>
      </c>
      <c r="C46" s="1" t="s">
        <v>12</v>
      </c>
      <c r="D46" s="1">
        <v>7.0</v>
      </c>
      <c r="E46" s="1">
        <v>7.0</v>
      </c>
      <c r="F46" s="4">
        <f t="shared" si="1"/>
        <v>0</v>
      </c>
      <c r="G46" s="5">
        <f t="shared" si="2"/>
        <v>0</v>
      </c>
      <c r="H46" s="5">
        <v>8.0</v>
      </c>
    </row>
    <row r="47" ht="15.75" customHeight="1">
      <c r="A47" s="1">
        <v>45.0</v>
      </c>
      <c r="B47" s="1" t="s">
        <v>57</v>
      </c>
      <c r="C47" s="1" t="s">
        <v>12</v>
      </c>
      <c r="D47" s="1">
        <v>5.0</v>
      </c>
      <c r="E47" s="1">
        <v>4.0</v>
      </c>
      <c r="F47" s="4">
        <f t="shared" si="1"/>
        <v>1</v>
      </c>
      <c r="G47" s="5">
        <f t="shared" si="2"/>
        <v>1</v>
      </c>
      <c r="H47" s="5">
        <v>5.0</v>
      </c>
    </row>
    <row r="48" ht="15.75" customHeight="1">
      <c r="A48" s="1">
        <v>46.0</v>
      </c>
      <c r="B48" s="1" t="s">
        <v>58</v>
      </c>
      <c r="C48" s="1" t="s">
        <v>12</v>
      </c>
      <c r="D48" s="1">
        <v>6.0</v>
      </c>
      <c r="E48" s="1">
        <v>3.0</v>
      </c>
      <c r="F48" s="4">
        <f t="shared" si="1"/>
        <v>3</v>
      </c>
      <c r="G48" s="5">
        <f t="shared" si="2"/>
        <v>3</v>
      </c>
      <c r="H48" s="5">
        <v>6.0</v>
      </c>
    </row>
    <row r="49" ht="15.75" customHeight="1">
      <c r="A49" s="1">
        <v>47.0</v>
      </c>
      <c r="B49" s="1" t="s">
        <v>59</v>
      </c>
      <c r="C49" s="1" t="s">
        <v>12</v>
      </c>
      <c r="D49" s="1">
        <v>8.0</v>
      </c>
      <c r="E49" s="1">
        <v>10.0</v>
      </c>
      <c r="F49" s="4">
        <f t="shared" si="1"/>
        <v>-2</v>
      </c>
      <c r="G49" s="5">
        <f t="shared" si="2"/>
        <v>2</v>
      </c>
      <c r="H49" s="5">
        <v>8.0</v>
      </c>
    </row>
    <row r="50" ht="15.75" customHeight="1">
      <c r="A50" s="1">
        <v>48.0</v>
      </c>
      <c r="B50" s="1" t="s">
        <v>60</v>
      </c>
      <c r="C50" s="1" t="s">
        <v>12</v>
      </c>
      <c r="D50" s="1">
        <v>7.0</v>
      </c>
      <c r="E50" s="1">
        <v>8.0</v>
      </c>
      <c r="F50" s="4">
        <f t="shared" si="1"/>
        <v>-1</v>
      </c>
      <c r="G50" s="5">
        <f t="shared" si="2"/>
        <v>1</v>
      </c>
      <c r="H50" s="5">
        <v>7.0</v>
      </c>
    </row>
    <row r="51" ht="15.75" customHeight="1">
      <c r="A51" s="1">
        <v>49.0</v>
      </c>
      <c r="B51" s="1" t="s">
        <v>61</v>
      </c>
      <c r="C51" s="1" t="s">
        <v>12</v>
      </c>
      <c r="D51" s="1">
        <v>8.0</v>
      </c>
      <c r="E51" s="1">
        <v>6.0</v>
      </c>
      <c r="F51" s="4">
        <f t="shared" si="1"/>
        <v>2</v>
      </c>
      <c r="G51" s="5">
        <f t="shared" si="2"/>
        <v>2</v>
      </c>
      <c r="H51" s="5">
        <v>8.0</v>
      </c>
    </row>
    <row r="52" ht="15.75" customHeight="1">
      <c r="A52" s="1">
        <v>50.0</v>
      </c>
      <c r="B52" s="1" t="s">
        <v>62</v>
      </c>
      <c r="C52" s="1" t="s">
        <v>12</v>
      </c>
      <c r="D52" s="1">
        <v>5.0</v>
      </c>
      <c r="E52" s="1">
        <v>3.0</v>
      </c>
      <c r="F52" s="4">
        <f t="shared" si="1"/>
        <v>2</v>
      </c>
      <c r="G52" s="5">
        <f t="shared" si="2"/>
        <v>2</v>
      </c>
      <c r="H52" s="5">
        <v>5.0</v>
      </c>
    </row>
    <row r="53" ht="15.75" customHeight="1">
      <c r="A53" s="1">
        <v>51.0</v>
      </c>
      <c r="B53" s="1" t="s">
        <v>63</v>
      </c>
      <c r="C53" s="1" t="s">
        <v>12</v>
      </c>
      <c r="D53" s="1">
        <v>7.0</v>
      </c>
      <c r="E53" s="1">
        <v>6.0</v>
      </c>
      <c r="F53" s="4">
        <f t="shared" si="1"/>
        <v>1</v>
      </c>
      <c r="G53" s="5">
        <f t="shared" si="2"/>
        <v>1</v>
      </c>
      <c r="H53" s="5">
        <v>6.0</v>
      </c>
    </row>
    <row r="54" ht="15.75" customHeight="1">
      <c r="A54" s="1">
        <v>52.0</v>
      </c>
      <c r="B54" s="1" t="s">
        <v>64</v>
      </c>
      <c r="C54" s="1" t="s">
        <v>12</v>
      </c>
      <c r="D54" s="1">
        <v>8.0</v>
      </c>
      <c r="E54" s="1">
        <v>6.0</v>
      </c>
      <c r="F54" s="4">
        <f t="shared" si="1"/>
        <v>2</v>
      </c>
      <c r="G54" s="5">
        <f t="shared" si="2"/>
        <v>2</v>
      </c>
      <c r="H54" s="5">
        <v>8.0</v>
      </c>
    </row>
    <row r="55" ht="15.75" customHeight="1">
      <c r="A55" s="1">
        <v>53.0</v>
      </c>
      <c r="B55" s="1" t="s">
        <v>65</v>
      </c>
      <c r="C55" s="1" t="s">
        <v>12</v>
      </c>
      <c r="D55" s="1">
        <v>5.0</v>
      </c>
      <c r="E55" s="1">
        <v>6.0</v>
      </c>
      <c r="F55" s="4">
        <f t="shared" si="1"/>
        <v>-1</v>
      </c>
      <c r="G55" s="5">
        <f t="shared" si="2"/>
        <v>1</v>
      </c>
      <c r="H55" s="5">
        <v>6.0</v>
      </c>
    </row>
    <row r="56" ht="15.75" customHeight="1">
      <c r="A56" s="1">
        <v>54.0</v>
      </c>
      <c r="B56" s="1" t="s">
        <v>66</v>
      </c>
      <c r="C56" s="1" t="s">
        <v>12</v>
      </c>
      <c r="D56" s="1">
        <v>8.0</v>
      </c>
      <c r="E56" s="1">
        <v>6.0</v>
      </c>
      <c r="F56" s="4">
        <f t="shared" si="1"/>
        <v>2</v>
      </c>
      <c r="G56" s="5">
        <f t="shared" si="2"/>
        <v>2</v>
      </c>
      <c r="H56" s="5">
        <v>8.0</v>
      </c>
    </row>
    <row r="57" ht="15.75" customHeight="1">
      <c r="A57" s="1">
        <v>55.0</v>
      </c>
      <c r="B57" s="1" t="s">
        <v>67</v>
      </c>
      <c r="C57" s="1" t="s">
        <v>12</v>
      </c>
      <c r="D57" s="1">
        <v>6.0</v>
      </c>
      <c r="E57" s="1">
        <v>5.0</v>
      </c>
      <c r="F57" s="4">
        <f t="shared" si="1"/>
        <v>1</v>
      </c>
      <c r="G57" s="5">
        <f t="shared" si="2"/>
        <v>1</v>
      </c>
      <c r="H57" s="5">
        <v>6.0</v>
      </c>
    </row>
    <row r="58" ht="15.75" customHeight="1">
      <c r="A58" s="1">
        <v>56.0</v>
      </c>
      <c r="B58" s="1" t="s">
        <v>68</v>
      </c>
      <c r="C58" s="1" t="s">
        <v>12</v>
      </c>
      <c r="D58" s="1">
        <v>7.0</v>
      </c>
      <c r="E58" s="1">
        <v>7.0</v>
      </c>
      <c r="F58" s="4">
        <f t="shared" si="1"/>
        <v>0</v>
      </c>
      <c r="G58" s="5">
        <f t="shared" si="2"/>
        <v>0</v>
      </c>
      <c r="H58" s="5">
        <v>7.0</v>
      </c>
    </row>
    <row r="59" ht="15.75" customHeight="1">
      <c r="A59" s="1">
        <v>57.0</v>
      </c>
      <c r="B59" s="1" t="s">
        <v>69</v>
      </c>
      <c r="C59" s="1" t="s">
        <v>12</v>
      </c>
      <c r="D59" s="1">
        <v>7.0</v>
      </c>
      <c r="E59" s="1">
        <v>7.0</v>
      </c>
      <c r="F59" s="4">
        <f t="shared" si="1"/>
        <v>0</v>
      </c>
      <c r="G59" s="5">
        <f t="shared" si="2"/>
        <v>0</v>
      </c>
      <c r="H59" s="5">
        <v>7.0</v>
      </c>
    </row>
    <row r="60" ht="15.75" customHeight="1">
      <c r="A60" s="1">
        <v>58.0</v>
      </c>
      <c r="B60" s="1" t="s">
        <v>70</v>
      </c>
      <c r="C60" s="1" t="s">
        <v>12</v>
      </c>
      <c r="D60" s="1">
        <v>7.0</v>
      </c>
      <c r="E60" s="1">
        <v>7.0</v>
      </c>
      <c r="F60" s="4">
        <f t="shared" si="1"/>
        <v>0</v>
      </c>
      <c r="G60" s="5">
        <f t="shared" si="2"/>
        <v>0</v>
      </c>
      <c r="H60" s="5">
        <v>7.0</v>
      </c>
    </row>
    <row r="61" ht="15.75" customHeight="1">
      <c r="A61" s="1">
        <v>59.0</v>
      </c>
      <c r="B61" s="1" t="s">
        <v>71</v>
      </c>
      <c r="C61" s="1" t="s">
        <v>12</v>
      </c>
      <c r="D61" s="1">
        <v>8.0</v>
      </c>
      <c r="E61" s="1">
        <v>9.0</v>
      </c>
      <c r="F61" s="4">
        <f t="shared" si="1"/>
        <v>-1</v>
      </c>
      <c r="G61" s="5">
        <f t="shared" si="2"/>
        <v>1</v>
      </c>
      <c r="H61" s="5">
        <v>8.0</v>
      </c>
    </row>
    <row r="62" ht="15.75" customHeight="1">
      <c r="A62" s="1">
        <v>60.0</v>
      </c>
      <c r="B62" s="1" t="s">
        <v>72</v>
      </c>
      <c r="C62" s="1" t="s">
        <v>12</v>
      </c>
      <c r="D62" s="1">
        <v>8.0</v>
      </c>
      <c r="E62" s="1">
        <v>10.0</v>
      </c>
      <c r="F62" s="4">
        <f t="shared" si="1"/>
        <v>-2</v>
      </c>
      <c r="G62" s="5">
        <f t="shared" si="2"/>
        <v>2</v>
      </c>
      <c r="H62" s="5">
        <v>8.0</v>
      </c>
    </row>
    <row r="63" ht="15.75" customHeight="1">
      <c r="A63" s="1">
        <v>61.0</v>
      </c>
      <c r="B63" s="1" t="s">
        <v>73</v>
      </c>
      <c r="C63" s="1" t="s">
        <v>12</v>
      </c>
      <c r="D63" s="1">
        <v>7.0</v>
      </c>
      <c r="E63" s="1">
        <v>6.0</v>
      </c>
      <c r="F63" s="4">
        <f t="shared" si="1"/>
        <v>1</v>
      </c>
      <c r="G63" s="5">
        <f t="shared" si="2"/>
        <v>1</v>
      </c>
      <c r="H63" s="5">
        <v>7.0</v>
      </c>
    </row>
    <row r="64" ht="15.75" customHeight="1">
      <c r="A64" s="1">
        <v>62.0</v>
      </c>
      <c r="B64" s="1" t="s">
        <v>74</v>
      </c>
      <c r="C64" s="1" t="s">
        <v>12</v>
      </c>
      <c r="D64" s="1">
        <v>7.0</v>
      </c>
      <c r="E64" s="1">
        <v>7.0</v>
      </c>
      <c r="F64" s="4">
        <f t="shared" si="1"/>
        <v>0</v>
      </c>
      <c r="G64" s="5">
        <f t="shared" si="2"/>
        <v>0</v>
      </c>
      <c r="H64" s="5">
        <v>8.0</v>
      </c>
    </row>
    <row r="65" ht="15.75" customHeight="1">
      <c r="A65" s="1">
        <v>63.0</v>
      </c>
      <c r="B65" s="1" t="s">
        <v>75</v>
      </c>
      <c r="C65" s="1" t="s">
        <v>12</v>
      </c>
      <c r="D65" s="1">
        <v>8.0</v>
      </c>
      <c r="E65" s="1">
        <v>7.0</v>
      </c>
      <c r="F65" s="4">
        <f t="shared" si="1"/>
        <v>1</v>
      </c>
      <c r="G65" s="5">
        <f t="shared" si="2"/>
        <v>1</v>
      </c>
      <c r="H65" s="5">
        <v>8.0</v>
      </c>
    </row>
    <row r="66" ht="15.75" customHeight="1">
      <c r="A66" s="1">
        <v>64.0</v>
      </c>
      <c r="B66" s="1" t="s">
        <v>76</v>
      </c>
      <c r="C66" s="1" t="s">
        <v>12</v>
      </c>
      <c r="D66" s="1">
        <v>7.0</v>
      </c>
      <c r="E66" s="1">
        <v>9.0</v>
      </c>
      <c r="F66" s="4">
        <f t="shared" si="1"/>
        <v>-2</v>
      </c>
      <c r="G66" s="5">
        <f t="shared" si="2"/>
        <v>2</v>
      </c>
      <c r="H66" s="5">
        <v>7.0</v>
      </c>
    </row>
    <row r="67" ht="15.75" customHeight="1">
      <c r="A67" s="1">
        <v>65.0</v>
      </c>
      <c r="B67" s="1" t="s">
        <v>77</v>
      </c>
      <c r="C67" s="1" t="s">
        <v>12</v>
      </c>
      <c r="D67" s="1">
        <v>7.0</v>
      </c>
      <c r="E67" s="1">
        <v>5.0</v>
      </c>
      <c r="F67" s="4">
        <f t="shared" si="1"/>
        <v>2</v>
      </c>
      <c r="G67" s="5">
        <f t="shared" si="2"/>
        <v>2</v>
      </c>
      <c r="H67" s="5">
        <v>7.0</v>
      </c>
    </row>
    <row r="68" ht="15.75" customHeight="1">
      <c r="A68" s="1">
        <v>66.0</v>
      </c>
      <c r="B68" s="1" t="s">
        <v>78</v>
      </c>
      <c r="C68" s="1" t="s">
        <v>12</v>
      </c>
      <c r="D68" s="1">
        <v>8.0</v>
      </c>
      <c r="E68" s="1">
        <v>6.0</v>
      </c>
      <c r="F68" s="4">
        <f t="shared" si="1"/>
        <v>2</v>
      </c>
      <c r="G68" s="5">
        <f t="shared" si="2"/>
        <v>2</v>
      </c>
      <c r="H68" s="5">
        <v>8.0</v>
      </c>
    </row>
    <row r="69" ht="15.75" customHeight="1">
      <c r="A69" s="1">
        <v>67.0</v>
      </c>
      <c r="B69" s="1" t="s">
        <v>79</v>
      </c>
      <c r="C69" s="1" t="s">
        <v>12</v>
      </c>
      <c r="D69" s="1">
        <v>8.0</v>
      </c>
      <c r="E69" s="1">
        <v>10.0</v>
      </c>
      <c r="F69" s="4">
        <f t="shared" si="1"/>
        <v>-2</v>
      </c>
      <c r="G69" s="5">
        <f t="shared" si="2"/>
        <v>2</v>
      </c>
      <c r="H69" s="5">
        <v>8.0</v>
      </c>
    </row>
    <row r="70" ht="15.75" customHeight="1">
      <c r="A70" s="1">
        <v>68.0</v>
      </c>
      <c r="B70" s="1" t="s">
        <v>80</v>
      </c>
      <c r="C70" s="1" t="s">
        <v>12</v>
      </c>
      <c r="D70" s="1">
        <v>8.0</v>
      </c>
      <c r="E70" s="1">
        <v>10.0</v>
      </c>
      <c r="F70" s="4">
        <f t="shared" si="1"/>
        <v>-2</v>
      </c>
      <c r="G70" s="5">
        <f t="shared" si="2"/>
        <v>2</v>
      </c>
      <c r="H70" s="5">
        <v>8.0</v>
      </c>
    </row>
    <row r="71" ht="15.75" customHeight="1">
      <c r="A71" s="1">
        <v>69.0</v>
      </c>
      <c r="B71" s="1" t="s">
        <v>81</v>
      </c>
      <c r="C71" s="1" t="s">
        <v>12</v>
      </c>
      <c r="D71" s="1">
        <v>7.0</v>
      </c>
      <c r="E71" s="1">
        <v>9.0</v>
      </c>
      <c r="F71" s="4">
        <f t="shared" si="1"/>
        <v>-2</v>
      </c>
      <c r="G71" s="5">
        <f t="shared" si="2"/>
        <v>2</v>
      </c>
      <c r="H71" s="5">
        <v>7.0</v>
      </c>
    </row>
    <row r="72" ht="15.75" customHeight="1">
      <c r="A72" s="1">
        <v>70.0</v>
      </c>
      <c r="B72" s="1" t="s">
        <v>82</v>
      </c>
      <c r="C72" s="1" t="s">
        <v>12</v>
      </c>
      <c r="D72" s="1">
        <v>5.0</v>
      </c>
      <c r="E72" s="1">
        <v>2.0</v>
      </c>
      <c r="F72" s="4">
        <f t="shared" si="1"/>
        <v>3</v>
      </c>
      <c r="G72" s="5">
        <f t="shared" si="2"/>
        <v>3</v>
      </c>
      <c r="H72" s="5">
        <v>5.0</v>
      </c>
    </row>
    <row r="73" ht="15.75" customHeight="1">
      <c r="A73" s="1">
        <v>71.0</v>
      </c>
      <c r="B73" s="1" t="s">
        <v>83</v>
      </c>
      <c r="C73" s="1" t="s">
        <v>12</v>
      </c>
      <c r="D73" s="1">
        <v>8.0</v>
      </c>
      <c r="E73" s="1">
        <v>10.0</v>
      </c>
      <c r="F73" s="4">
        <f t="shared" si="1"/>
        <v>-2</v>
      </c>
      <c r="G73" s="5">
        <f t="shared" si="2"/>
        <v>2</v>
      </c>
      <c r="H73" s="5">
        <v>9.0</v>
      </c>
    </row>
    <row r="74" ht="15.75" customHeight="1">
      <c r="A74" s="1">
        <v>72.0</v>
      </c>
      <c r="B74" s="1" t="s">
        <v>84</v>
      </c>
      <c r="C74" s="1" t="s">
        <v>12</v>
      </c>
      <c r="D74" s="1">
        <v>8.0</v>
      </c>
      <c r="E74" s="1">
        <v>9.0</v>
      </c>
      <c r="F74" s="4">
        <f t="shared" si="1"/>
        <v>-1</v>
      </c>
      <c r="G74" s="5">
        <f t="shared" si="2"/>
        <v>1</v>
      </c>
      <c r="H74" s="5">
        <v>8.0</v>
      </c>
    </row>
    <row r="75" ht="15.75" customHeight="1">
      <c r="A75" s="1">
        <v>73.0</v>
      </c>
      <c r="B75" s="1" t="s">
        <v>85</v>
      </c>
      <c r="C75" s="1" t="s">
        <v>12</v>
      </c>
      <c r="D75" s="1">
        <v>6.0</v>
      </c>
      <c r="E75" s="1">
        <v>5.0</v>
      </c>
      <c r="F75" s="4">
        <f t="shared" si="1"/>
        <v>1</v>
      </c>
      <c r="G75" s="5">
        <f t="shared" si="2"/>
        <v>1</v>
      </c>
      <c r="H75" s="5">
        <v>6.0</v>
      </c>
    </row>
    <row r="76" ht="15.75" customHeight="1">
      <c r="A76" s="1">
        <v>74.0</v>
      </c>
      <c r="B76" s="1" t="s">
        <v>86</v>
      </c>
      <c r="C76" s="1" t="s">
        <v>12</v>
      </c>
      <c r="D76" s="1">
        <v>7.0</v>
      </c>
      <c r="E76" s="1">
        <v>6.0</v>
      </c>
      <c r="F76" s="4">
        <f t="shared" si="1"/>
        <v>1</v>
      </c>
      <c r="G76" s="5">
        <f t="shared" si="2"/>
        <v>1</v>
      </c>
      <c r="H76" s="5">
        <v>7.0</v>
      </c>
    </row>
    <row r="77" ht="15.75" customHeight="1">
      <c r="A77" s="1">
        <v>75.0</v>
      </c>
      <c r="B77" s="1" t="s">
        <v>87</v>
      </c>
      <c r="C77" s="1" t="s">
        <v>12</v>
      </c>
      <c r="D77" s="1">
        <v>8.0</v>
      </c>
      <c r="E77" s="1">
        <v>7.0</v>
      </c>
      <c r="F77" s="4">
        <f t="shared" si="1"/>
        <v>1</v>
      </c>
      <c r="G77" s="5">
        <f t="shared" si="2"/>
        <v>1</v>
      </c>
      <c r="H77" s="5">
        <v>8.0</v>
      </c>
    </row>
    <row r="78" ht="15.75" customHeight="1">
      <c r="A78" s="1">
        <v>76.0</v>
      </c>
      <c r="B78" s="1" t="s">
        <v>88</v>
      </c>
      <c r="C78" s="1" t="s">
        <v>12</v>
      </c>
      <c r="D78" s="1">
        <v>7.0</v>
      </c>
      <c r="E78" s="1">
        <v>9.0</v>
      </c>
      <c r="F78" s="4">
        <f t="shared" si="1"/>
        <v>-2</v>
      </c>
      <c r="G78" s="5">
        <f t="shared" si="2"/>
        <v>2</v>
      </c>
      <c r="H78" s="5">
        <v>7.0</v>
      </c>
    </row>
    <row r="79" ht="15.75" customHeight="1">
      <c r="A79" s="1">
        <v>77.0</v>
      </c>
      <c r="B79" s="1" t="s">
        <v>89</v>
      </c>
      <c r="C79" s="1" t="s">
        <v>12</v>
      </c>
      <c r="D79" s="1">
        <v>6.0</v>
      </c>
      <c r="E79" s="1">
        <v>5.0</v>
      </c>
      <c r="F79" s="4">
        <f t="shared" si="1"/>
        <v>1</v>
      </c>
      <c r="G79" s="5">
        <f t="shared" si="2"/>
        <v>1</v>
      </c>
      <c r="H79" s="5">
        <v>7.0</v>
      </c>
    </row>
    <row r="80" ht="15.75" customHeight="1">
      <c r="A80" s="1">
        <v>78.0</v>
      </c>
      <c r="B80" s="1" t="s">
        <v>90</v>
      </c>
      <c r="C80" s="1" t="s">
        <v>12</v>
      </c>
      <c r="D80" s="1">
        <v>7.0</v>
      </c>
      <c r="E80" s="1">
        <v>7.0</v>
      </c>
      <c r="F80" s="4">
        <f t="shared" si="1"/>
        <v>0</v>
      </c>
      <c r="G80" s="5">
        <f t="shared" si="2"/>
        <v>0</v>
      </c>
      <c r="H80" s="5">
        <v>7.0</v>
      </c>
    </row>
    <row r="81" ht="15.75" customHeight="1">
      <c r="A81" s="1">
        <v>79.0</v>
      </c>
      <c r="B81" s="1" t="s">
        <v>91</v>
      </c>
      <c r="C81" s="1" t="s">
        <v>12</v>
      </c>
      <c r="D81" s="1">
        <v>8.0</v>
      </c>
      <c r="E81" s="1">
        <v>7.0</v>
      </c>
      <c r="F81" s="4">
        <f t="shared" si="1"/>
        <v>1</v>
      </c>
      <c r="G81" s="5">
        <f t="shared" si="2"/>
        <v>1</v>
      </c>
      <c r="H81" s="5">
        <v>7.0</v>
      </c>
    </row>
    <row r="82" ht="15.75" customHeight="1">
      <c r="A82" s="1">
        <v>80.0</v>
      </c>
      <c r="B82" s="1" t="s">
        <v>92</v>
      </c>
      <c r="C82" s="1" t="s">
        <v>12</v>
      </c>
      <c r="D82" s="1">
        <v>8.0</v>
      </c>
      <c r="E82" s="1">
        <v>10.0</v>
      </c>
      <c r="F82" s="4">
        <f t="shared" si="1"/>
        <v>-2</v>
      </c>
      <c r="G82" s="5">
        <f t="shared" si="2"/>
        <v>2</v>
      </c>
      <c r="H82" s="5">
        <v>9.0</v>
      </c>
    </row>
    <row r="83" ht="15.75" customHeight="1">
      <c r="A83" s="1">
        <v>81.0</v>
      </c>
      <c r="B83" s="1" t="s">
        <v>93</v>
      </c>
      <c r="C83" s="1" t="s">
        <v>12</v>
      </c>
      <c r="D83" s="1">
        <v>6.0</v>
      </c>
      <c r="E83" s="1">
        <v>6.0</v>
      </c>
      <c r="F83" s="4">
        <f t="shared" si="1"/>
        <v>0</v>
      </c>
      <c r="G83" s="5">
        <f t="shared" si="2"/>
        <v>0</v>
      </c>
      <c r="H83" s="5">
        <v>6.0</v>
      </c>
    </row>
    <row r="84" ht="15.75" customHeight="1">
      <c r="A84" s="1">
        <v>82.0</v>
      </c>
      <c r="B84" s="1" t="s">
        <v>94</v>
      </c>
      <c r="C84" s="1" t="s">
        <v>12</v>
      </c>
      <c r="D84" s="1">
        <v>7.0</v>
      </c>
      <c r="E84" s="1">
        <v>5.0</v>
      </c>
      <c r="F84" s="4">
        <f t="shared" si="1"/>
        <v>2</v>
      </c>
      <c r="G84" s="5">
        <f t="shared" si="2"/>
        <v>2</v>
      </c>
      <c r="H84" s="5">
        <v>7.0</v>
      </c>
    </row>
    <row r="85" ht="15.75" customHeight="1">
      <c r="A85" s="1">
        <v>83.0</v>
      </c>
      <c r="B85" s="1" t="s">
        <v>95</v>
      </c>
      <c r="C85" s="1" t="s">
        <v>12</v>
      </c>
      <c r="D85" s="1">
        <v>9.5</v>
      </c>
      <c r="E85" s="1">
        <v>10.0</v>
      </c>
      <c r="F85" s="4">
        <f t="shared" si="1"/>
        <v>-0.5</v>
      </c>
      <c r="G85" s="5">
        <f t="shared" si="2"/>
        <v>0.5</v>
      </c>
      <c r="H85" s="5">
        <v>9.0</v>
      </c>
    </row>
    <row r="86" ht="15.75" customHeight="1">
      <c r="A86" s="1">
        <v>84.0</v>
      </c>
      <c r="B86" s="1" t="s">
        <v>96</v>
      </c>
      <c r="C86" s="1" t="s">
        <v>12</v>
      </c>
      <c r="D86" s="1">
        <v>8.0</v>
      </c>
      <c r="E86" s="1">
        <v>10.0</v>
      </c>
      <c r="F86" s="4">
        <f t="shared" si="1"/>
        <v>-2</v>
      </c>
      <c r="G86" s="5">
        <f t="shared" si="2"/>
        <v>2</v>
      </c>
      <c r="H86" s="5">
        <v>8.0</v>
      </c>
    </row>
    <row r="87" ht="15.75" customHeight="1">
      <c r="A87" s="1">
        <v>85.0</v>
      </c>
      <c r="B87" s="1" t="s">
        <v>97</v>
      </c>
      <c r="C87" s="1" t="s">
        <v>12</v>
      </c>
      <c r="D87" s="1">
        <v>8.0</v>
      </c>
      <c r="E87" s="1">
        <v>8.0</v>
      </c>
      <c r="F87" s="4">
        <f t="shared" si="1"/>
        <v>0</v>
      </c>
      <c r="G87" s="5">
        <f t="shared" si="2"/>
        <v>0</v>
      </c>
      <c r="H87" s="5">
        <v>8.0</v>
      </c>
    </row>
    <row r="88" ht="15.75" customHeight="1">
      <c r="A88" s="1">
        <v>86.0</v>
      </c>
      <c r="B88" s="1" t="s">
        <v>98</v>
      </c>
      <c r="C88" s="1" t="s">
        <v>12</v>
      </c>
      <c r="D88" s="1">
        <v>8.0</v>
      </c>
      <c r="E88" s="1">
        <v>6.0</v>
      </c>
      <c r="F88" s="4">
        <f t="shared" si="1"/>
        <v>2</v>
      </c>
      <c r="G88" s="5">
        <f t="shared" si="2"/>
        <v>2</v>
      </c>
      <c r="H88" s="5">
        <v>8.0</v>
      </c>
    </row>
    <row r="89" ht="15.75" customHeight="1">
      <c r="A89" s="1">
        <v>87.0</v>
      </c>
      <c r="B89" s="1" t="s">
        <v>99</v>
      </c>
      <c r="C89" s="1" t="s">
        <v>12</v>
      </c>
      <c r="D89" s="1">
        <v>7.0</v>
      </c>
      <c r="E89" s="1">
        <v>6.0</v>
      </c>
      <c r="F89" s="4">
        <f t="shared" si="1"/>
        <v>1</v>
      </c>
      <c r="G89" s="5">
        <f t="shared" si="2"/>
        <v>1</v>
      </c>
      <c r="H89" s="5">
        <v>7.0</v>
      </c>
    </row>
    <row r="90" ht="15.75" customHeight="1">
      <c r="A90" s="1">
        <v>88.0</v>
      </c>
      <c r="B90" s="1" t="s">
        <v>100</v>
      </c>
      <c r="C90" s="1" t="s">
        <v>12</v>
      </c>
      <c r="D90" s="1">
        <v>5.0</v>
      </c>
      <c r="E90" s="1">
        <v>4.0</v>
      </c>
      <c r="F90" s="4">
        <f t="shared" si="1"/>
        <v>1</v>
      </c>
      <c r="G90" s="5">
        <f t="shared" si="2"/>
        <v>1</v>
      </c>
      <c r="H90" s="5">
        <v>4.0</v>
      </c>
    </row>
    <row r="91" ht="15.75" customHeight="1">
      <c r="A91" s="1">
        <v>89.0</v>
      </c>
      <c r="B91" s="1" t="s">
        <v>101</v>
      </c>
      <c r="C91" s="1" t="s">
        <v>12</v>
      </c>
      <c r="D91" s="1">
        <v>6.0</v>
      </c>
      <c r="E91" s="1">
        <v>4.0</v>
      </c>
      <c r="F91" s="4">
        <f t="shared" si="1"/>
        <v>2</v>
      </c>
      <c r="G91" s="5">
        <f t="shared" si="2"/>
        <v>2</v>
      </c>
      <c r="H91" s="5">
        <v>6.0</v>
      </c>
    </row>
    <row r="92" ht="15.75" customHeight="1">
      <c r="A92" s="1">
        <v>90.0</v>
      </c>
      <c r="B92" s="1" t="s">
        <v>102</v>
      </c>
      <c r="C92" s="1" t="s">
        <v>12</v>
      </c>
      <c r="D92" s="1">
        <v>5.0</v>
      </c>
      <c r="E92" s="1">
        <v>4.0</v>
      </c>
      <c r="F92" s="4">
        <f t="shared" si="1"/>
        <v>1</v>
      </c>
      <c r="G92" s="5">
        <f t="shared" si="2"/>
        <v>1</v>
      </c>
      <c r="H92" s="5">
        <v>6.0</v>
      </c>
    </row>
    <row r="93" ht="15.75" customHeight="1">
      <c r="A93" s="1">
        <v>91.0</v>
      </c>
      <c r="B93" s="1" t="s">
        <v>103</v>
      </c>
      <c r="C93" s="1" t="s">
        <v>12</v>
      </c>
      <c r="D93" s="1">
        <v>8.0</v>
      </c>
      <c r="E93" s="1">
        <v>6.0</v>
      </c>
      <c r="F93" s="4">
        <f t="shared" si="1"/>
        <v>2</v>
      </c>
      <c r="G93" s="5">
        <f t="shared" si="2"/>
        <v>2</v>
      </c>
      <c r="H93" s="5">
        <v>8.0</v>
      </c>
    </row>
    <row r="94" ht="15.75" customHeight="1">
      <c r="A94" s="1">
        <v>92.0</v>
      </c>
      <c r="B94" s="1" t="s">
        <v>104</v>
      </c>
      <c r="C94" s="1" t="s">
        <v>12</v>
      </c>
      <c r="D94" s="1">
        <v>2.0</v>
      </c>
      <c r="E94" s="1">
        <v>4.0</v>
      </c>
      <c r="F94" s="4">
        <f t="shared" si="1"/>
        <v>-2</v>
      </c>
      <c r="G94" s="5">
        <f t="shared" si="2"/>
        <v>2</v>
      </c>
      <c r="H94" s="5">
        <v>2.0</v>
      </c>
    </row>
    <row r="95" ht="15.75" customHeight="1">
      <c r="A95" s="1">
        <v>93.0</v>
      </c>
      <c r="B95" s="1" t="s">
        <v>105</v>
      </c>
      <c r="C95" s="1" t="s">
        <v>12</v>
      </c>
      <c r="D95" s="1">
        <v>5.0</v>
      </c>
      <c r="E95" s="1">
        <v>5.0</v>
      </c>
      <c r="F95" s="4">
        <f t="shared" si="1"/>
        <v>0</v>
      </c>
      <c r="G95" s="5">
        <f t="shared" si="2"/>
        <v>0</v>
      </c>
      <c r="H95" s="5">
        <v>5.0</v>
      </c>
    </row>
    <row r="96" ht="15.75" customHeight="1">
      <c r="A96" s="1">
        <v>94.0</v>
      </c>
      <c r="B96" s="1" t="s">
        <v>106</v>
      </c>
      <c r="C96" s="1" t="s">
        <v>12</v>
      </c>
      <c r="D96" s="1">
        <v>4.0</v>
      </c>
      <c r="E96" s="1">
        <v>2.0</v>
      </c>
      <c r="F96" s="4">
        <f t="shared" si="1"/>
        <v>2</v>
      </c>
      <c r="G96" s="5">
        <f t="shared" si="2"/>
        <v>2</v>
      </c>
      <c r="H96" s="5">
        <v>4.0</v>
      </c>
    </row>
    <row r="97" ht="15.75" customHeight="1">
      <c r="A97" s="1">
        <v>95.0</v>
      </c>
      <c r="B97" s="1" t="s">
        <v>107</v>
      </c>
      <c r="C97" s="1" t="s">
        <v>12</v>
      </c>
      <c r="D97" s="1">
        <v>7.0</v>
      </c>
      <c r="E97" s="1">
        <v>5.0</v>
      </c>
      <c r="F97" s="4">
        <f t="shared" si="1"/>
        <v>2</v>
      </c>
      <c r="G97" s="5">
        <f t="shared" si="2"/>
        <v>2</v>
      </c>
      <c r="H97" s="5">
        <v>7.0</v>
      </c>
    </row>
    <row r="98" ht="15.75" customHeight="1">
      <c r="A98" s="1">
        <v>96.0</v>
      </c>
      <c r="B98" s="1" t="s">
        <v>108</v>
      </c>
      <c r="C98" s="1" t="s">
        <v>12</v>
      </c>
      <c r="D98" s="1">
        <v>7.0</v>
      </c>
      <c r="E98" s="1">
        <v>9.0</v>
      </c>
      <c r="F98" s="4">
        <f t="shared" si="1"/>
        <v>-2</v>
      </c>
      <c r="G98" s="5">
        <f t="shared" si="2"/>
        <v>2</v>
      </c>
      <c r="H98" s="5">
        <v>7.0</v>
      </c>
    </row>
    <row r="99" ht="15.75" customHeight="1">
      <c r="A99" s="1">
        <v>97.0</v>
      </c>
      <c r="B99" s="1" t="s">
        <v>109</v>
      </c>
      <c r="C99" s="1" t="s">
        <v>12</v>
      </c>
      <c r="D99" s="1">
        <v>7.0</v>
      </c>
      <c r="E99" s="1">
        <v>6.0</v>
      </c>
      <c r="F99" s="4">
        <f t="shared" si="1"/>
        <v>1</v>
      </c>
      <c r="G99" s="5">
        <f t="shared" si="2"/>
        <v>1</v>
      </c>
      <c r="H99" s="5">
        <v>7.0</v>
      </c>
    </row>
    <row r="100" ht="15.75" customHeight="1">
      <c r="A100" s="1">
        <v>98.0</v>
      </c>
      <c r="B100" s="1" t="s">
        <v>110</v>
      </c>
      <c r="C100" s="1" t="s">
        <v>12</v>
      </c>
      <c r="D100" s="1">
        <v>7.0</v>
      </c>
      <c r="E100" s="1">
        <v>3.0</v>
      </c>
      <c r="F100" s="4">
        <f t="shared" si="1"/>
        <v>4</v>
      </c>
      <c r="G100" s="5">
        <f t="shared" si="2"/>
        <v>4</v>
      </c>
      <c r="H100" s="5">
        <v>7.0</v>
      </c>
    </row>
    <row r="101" ht="15.75" customHeight="1">
      <c r="A101" s="1">
        <v>99.0</v>
      </c>
      <c r="B101" s="1" t="s">
        <v>111</v>
      </c>
      <c r="C101" s="1" t="s">
        <v>12</v>
      </c>
      <c r="D101" s="1">
        <v>8.0</v>
      </c>
      <c r="E101" s="1">
        <v>9.0</v>
      </c>
      <c r="F101" s="4">
        <f t="shared" si="1"/>
        <v>-1</v>
      </c>
      <c r="G101" s="5">
        <f t="shared" si="2"/>
        <v>1</v>
      </c>
      <c r="H101" s="5">
        <v>8.0</v>
      </c>
    </row>
    <row r="102" ht="15.75" customHeight="1">
      <c r="A102" s="1">
        <v>100.0</v>
      </c>
      <c r="B102" s="1" t="s">
        <v>112</v>
      </c>
      <c r="C102" s="1" t="s">
        <v>12</v>
      </c>
      <c r="D102" s="1">
        <v>5.0</v>
      </c>
      <c r="E102" s="1">
        <v>5.0</v>
      </c>
      <c r="F102" s="4">
        <f t="shared" si="1"/>
        <v>0</v>
      </c>
      <c r="G102" s="5">
        <f t="shared" si="2"/>
        <v>0</v>
      </c>
      <c r="H102" s="5">
        <v>6.0</v>
      </c>
    </row>
    <row r="103" ht="15.75" customHeight="1">
      <c r="A103" s="1">
        <v>101.0</v>
      </c>
      <c r="B103" s="1" t="s">
        <v>113</v>
      </c>
      <c r="C103" s="1" t="s">
        <v>12</v>
      </c>
      <c r="D103" s="1">
        <v>5.0</v>
      </c>
      <c r="E103" s="1">
        <v>3.0</v>
      </c>
      <c r="F103" s="4">
        <f t="shared" si="1"/>
        <v>2</v>
      </c>
      <c r="G103" s="5">
        <f t="shared" si="2"/>
        <v>2</v>
      </c>
      <c r="H103" s="5">
        <v>5.0</v>
      </c>
    </row>
    <row r="104" ht="15.75" customHeight="1">
      <c r="A104" s="1">
        <v>102.0</v>
      </c>
      <c r="B104" s="1" t="s">
        <v>114</v>
      </c>
      <c r="C104" s="1" t="s">
        <v>12</v>
      </c>
      <c r="D104" s="1">
        <v>8.0</v>
      </c>
      <c r="E104" s="1">
        <v>7.0</v>
      </c>
      <c r="F104" s="4">
        <f t="shared" si="1"/>
        <v>1</v>
      </c>
      <c r="G104" s="5">
        <f t="shared" si="2"/>
        <v>1</v>
      </c>
      <c r="H104" s="5">
        <v>8.0</v>
      </c>
    </row>
    <row r="105" ht="15.75" customHeight="1">
      <c r="A105" s="1">
        <v>103.0</v>
      </c>
      <c r="B105" s="1" t="s">
        <v>115</v>
      </c>
      <c r="C105" s="1" t="s">
        <v>12</v>
      </c>
      <c r="D105" s="1">
        <v>8.0</v>
      </c>
      <c r="E105" s="1">
        <v>9.0</v>
      </c>
      <c r="F105" s="4">
        <f t="shared" si="1"/>
        <v>-1</v>
      </c>
      <c r="G105" s="5">
        <f t="shared" si="2"/>
        <v>1</v>
      </c>
      <c r="H105" s="5">
        <v>8.0</v>
      </c>
    </row>
    <row r="106" ht="15.75" customHeight="1">
      <c r="A106" s="1">
        <v>104.0</v>
      </c>
      <c r="B106" s="1" t="s">
        <v>116</v>
      </c>
      <c r="C106" s="1" t="s">
        <v>12</v>
      </c>
      <c r="D106" s="1">
        <v>5.0</v>
      </c>
      <c r="E106" s="1">
        <v>8.0</v>
      </c>
      <c r="F106" s="4">
        <f t="shared" si="1"/>
        <v>-3</v>
      </c>
      <c r="G106" s="5">
        <f t="shared" si="2"/>
        <v>3</v>
      </c>
      <c r="H106" s="5">
        <v>5.0</v>
      </c>
    </row>
    <row r="107" ht="15.75" customHeight="1">
      <c r="A107" s="1">
        <v>105.0</v>
      </c>
      <c r="B107" s="1" t="s">
        <v>117</v>
      </c>
      <c r="C107" s="1" t="s">
        <v>12</v>
      </c>
      <c r="D107" s="1">
        <v>2.0</v>
      </c>
      <c r="E107" s="1">
        <v>2.0</v>
      </c>
      <c r="F107" s="4">
        <f t="shared" si="1"/>
        <v>0</v>
      </c>
      <c r="G107" s="5">
        <f t="shared" si="2"/>
        <v>0</v>
      </c>
      <c r="H107" s="5">
        <v>2.0</v>
      </c>
    </row>
    <row r="108" ht="15.75" customHeight="1">
      <c r="A108" s="1">
        <v>106.0</v>
      </c>
      <c r="B108" s="1" t="s">
        <v>118</v>
      </c>
      <c r="C108" s="1" t="s">
        <v>12</v>
      </c>
      <c r="D108" s="1">
        <v>8.0</v>
      </c>
      <c r="E108" s="1">
        <v>9.0</v>
      </c>
      <c r="F108" s="4">
        <f t="shared" si="1"/>
        <v>-1</v>
      </c>
      <c r="G108" s="5">
        <f t="shared" si="2"/>
        <v>1</v>
      </c>
      <c r="H108" s="5">
        <v>8.0</v>
      </c>
    </row>
    <row r="109" ht="15.75" customHeight="1">
      <c r="A109" s="1">
        <v>107.0</v>
      </c>
      <c r="B109" s="1" t="s">
        <v>119</v>
      </c>
      <c r="C109" s="1" t="s">
        <v>12</v>
      </c>
      <c r="D109" s="1">
        <v>7.0</v>
      </c>
      <c r="E109" s="1">
        <v>8.0</v>
      </c>
      <c r="F109" s="4">
        <f t="shared" si="1"/>
        <v>-1</v>
      </c>
      <c r="G109" s="5">
        <f t="shared" si="2"/>
        <v>1</v>
      </c>
      <c r="H109" s="5">
        <v>7.0</v>
      </c>
    </row>
    <row r="110" ht="15.75" customHeight="1">
      <c r="A110" s="1">
        <v>108.0</v>
      </c>
      <c r="B110" s="1" t="s">
        <v>120</v>
      </c>
      <c r="C110" s="1" t="s">
        <v>12</v>
      </c>
      <c r="D110" s="1">
        <v>6.0</v>
      </c>
      <c r="E110" s="1">
        <v>7.0</v>
      </c>
      <c r="F110" s="4">
        <f t="shared" si="1"/>
        <v>-1</v>
      </c>
      <c r="G110" s="5">
        <f t="shared" si="2"/>
        <v>1</v>
      </c>
      <c r="H110" s="5">
        <v>6.0</v>
      </c>
    </row>
    <row r="111" ht="15.75" customHeight="1">
      <c r="A111" s="1">
        <v>109.0</v>
      </c>
      <c r="B111" s="1" t="s">
        <v>121</v>
      </c>
      <c r="C111" s="1" t="s">
        <v>12</v>
      </c>
      <c r="D111" s="1">
        <v>8.0</v>
      </c>
      <c r="E111" s="1">
        <v>7.0</v>
      </c>
      <c r="F111" s="4">
        <f t="shared" si="1"/>
        <v>1</v>
      </c>
      <c r="G111" s="5">
        <f t="shared" si="2"/>
        <v>1</v>
      </c>
      <c r="H111" s="5">
        <v>7.0</v>
      </c>
    </row>
    <row r="112" ht="15.75" customHeight="1">
      <c r="A112" s="1">
        <v>110.0</v>
      </c>
      <c r="B112" s="1" t="s">
        <v>122</v>
      </c>
      <c r="C112" s="1" t="s">
        <v>12</v>
      </c>
      <c r="D112" s="1">
        <v>8.0</v>
      </c>
      <c r="E112" s="1">
        <v>8.0</v>
      </c>
      <c r="F112" s="4">
        <f t="shared" si="1"/>
        <v>0</v>
      </c>
      <c r="G112" s="5">
        <f t="shared" si="2"/>
        <v>0</v>
      </c>
      <c r="H112" s="5">
        <v>7.0</v>
      </c>
    </row>
    <row r="113" ht="15.75" customHeight="1">
      <c r="A113" s="1">
        <v>111.0</v>
      </c>
      <c r="B113" s="1" t="s">
        <v>123</v>
      </c>
      <c r="C113" s="1" t="s">
        <v>12</v>
      </c>
      <c r="D113" s="1">
        <v>6.0</v>
      </c>
      <c r="E113" s="1">
        <v>8.0</v>
      </c>
      <c r="F113" s="4">
        <f t="shared" si="1"/>
        <v>-2</v>
      </c>
      <c r="G113" s="5">
        <f t="shared" si="2"/>
        <v>2</v>
      </c>
      <c r="H113" s="5">
        <v>6.0</v>
      </c>
    </row>
    <row r="114" ht="15.75" customHeight="1">
      <c r="A114" s="1">
        <v>112.0</v>
      </c>
      <c r="B114" s="1" t="s">
        <v>124</v>
      </c>
      <c r="C114" s="1" t="s">
        <v>12</v>
      </c>
      <c r="D114" s="1">
        <v>7.0</v>
      </c>
      <c r="E114" s="1">
        <v>3.0</v>
      </c>
      <c r="F114" s="4">
        <f t="shared" si="1"/>
        <v>4</v>
      </c>
      <c r="G114" s="5">
        <f t="shared" si="2"/>
        <v>4</v>
      </c>
      <c r="H114" s="5">
        <v>6.0</v>
      </c>
    </row>
    <row r="115" ht="15.75" customHeight="1">
      <c r="A115" s="1">
        <v>113.0</v>
      </c>
      <c r="B115" s="1" t="s">
        <v>125</v>
      </c>
      <c r="C115" s="1" t="s">
        <v>12</v>
      </c>
      <c r="D115" s="1">
        <v>4.0</v>
      </c>
      <c r="E115" s="1">
        <v>2.0</v>
      </c>
      <c r="F115" s="4">
        <f t="shared" si="1"/>
        <v>2</v>
      </c>
      <c r="G115" s="5">
        <f t="shared" si="2"/>
        <v>2</v>
      </c>
      <c r="H115" s="5">
        <v>5.0</v>
      </c>
    </row>
    <row r="116" ht="15.75" customHeight="1">
      <c r="A116" s="1">
        <v>114.0</v>
      </c>
      <c r="B116" s="1" t="s">
        <v>126</v>
      </c>
      <c r="C116" s="1" t="s">
        <v>12</v>
      </c>
      <c r="D116" s="1">
        <v>8.0</v>
      </c>
      <c r="E116" s="1">
        <v>10.0</v>
      </c>
      <c r="F116" s="4">
        <f t="shared" si="1"/>
        <v>-2</v>
      </c>
      <c r="G116" s="5">
        <f t="shared" si="2"/>
        <v>2</v>
      </c>
      <c r="H116" s="5">
        <v>8.0</v>
      </c>
    </row>
    <row r="117" ht="15.75" customHeight="1">
      <c r="A117" s="1">
        <v>115.0</v>
      </c>
      <c r="B117" s="1" t="s">
        <v>127</v>
      </c>
      <c r="C117" s="1" t="s">
        <v>12</v>
      </c>
      <c r="D117" s="1">
        <v>6.0</v>
      </c>
      <c r="E117" s="1">
        <v>9.0</v>
      </c>
      <c r="F117" s="4">
        <f t="shared" si="1"/>
        <v>-3</v>
      </c>
      <c r="G117" s="5">
        <f t="shared" si="2"/>
        <v>3</v>
      </c>
      <c r="H117" s="5">
        <v>7.0</v>
      </c>
    </row>
    <row r="118" ht="15.75" customHeight="1">
      <c r="A118" s="1">
        <v>116.0</v>
      </c>
      <c r="B118" s="1" t="s">
        <v>128</v>
      </c>
      <c r="C118" s="1" t="s">
        <v>12</v>
      </c>
      <c r="D118" s="1">
        <v>7.0</v>
      </c>
      <c r="E118" s="1">
        <v>5.0</v>
      </c>
      <c r="F118" s="4">
        <f t="shared" si="1"/>
        <v>2</v>
      </c>
      <c r="G118" s="5">
        <f t="shared" si="2"/>
        <v>2</v>
      </c>
      <c r="H118" s="5">
        <v>7.0</v>
      </c>
    </row>
    <row r="119" ht="15.75" customHeight="1">
      <c r="A119" s="1">
        <v>117.0</v>
      </c>
      <c r="B119" s="1" t="s">
        <v>129</v>
      </c>
      <c r="C119" s="1" t="s">
        <v>12</v>
      </c>
      <c r="D119" s="1">
        <v>6.0</v>
      </c>
      <c r="E119" s="1">
        <v>6.0</v>
      </c>
      <c r="F119" s="4">
        <f t="shared" si="1"/>
        <v>0</v>
      </c>
      <c r="G119" s="5">
        <f t="shared" si="2"/>
        <v>0</v>
      </c>
      <c r="H119" s="5">
        <v>6.0</v>
      </c>
    </row>
    <row r="120" ht="15.75" customHeight="1">
      <c r="A120" s="1">
        <v>118.0</v>
      </c>
      <c r="B120" s="1" t="s">
        <v>130</v>
      </c>
      <c r="C120" s="1" t="s">
        <v>12</v>
      </c>
      <c r="D120" s="1">
        <v>7.0</v>
      </c>
      <c r="E120" s="1">
        <v>4.0</v>
      </c>
      <c r="F120" s="4">
        <f t="shared" si="1"/>
        <v>3</v>
      </c>
      <c r="G120" s="5">
        <f t="shared" si="2"/>
        <v>3</v>
      </c>
      <c r="H120" s="5">
        <v>7.0</v>
      </c>
    </row>
    <row r="121" ht="15.75" customHeight="1">
      <c r="A121" s="1">
        <v>119.0</v>
      </c>
      <c r="B121" s="1" t="s">
        <v>131</v>
      </c>
      <c r="C121" s="1" t="s">
        <v>12</v>
      </c>
      <c r="D121" s="1">
        <v>7.0</v>
      </c>
      <c r="E121" s="1">
        <v>8.0</v>
      </c>
      <c r="F121" s="4">
        <f t="shared" si="1"/>
        <v>-1</v>
      </c>
      <c r="G121" s="5">
        <f t="shared" si="2"/>
        <v>1</v>
      </c>
      <c r="H121" s="5">
        <v>7.0</v>
      </c>
    </row>
    <row r="122" ht="15.75" customHeight="1">
      <c r="A122" s="1">
        <v>120.0</v>
      </c>
      <c r="B122" s="1" t="s">
        <v>132</v>
      </c>
      <c r="C122" s="1" t="s">
        <v>12</v>
      </c>
      <c r="D122" s="1">
        <v>7.0</v>
      </c>
      <c r="E122" s="1">
        <v>7.0</v>
      </c>
      <c r="F122" s="4">
        <f t="shared" si="1"/>
        <v>0</v>
      </c>
      <c r="G122" s="5">
        <f t="shared" si="2"/>
        <v>0</v>
      </c>
      <c r="H122" s="5">
        <v>7.0</v>
      </c>
    </row>
    <row r="123" ht="15.75" customHeight="1">
      <c r="A123" s="1">
        <v>121.0</v>
      </c>
      <c r="B123" s="1" t="s">
        <v>133</v>
      </c>
      <c r="C123" s="1" t="s">
        <v>12</v>
      </c>
      <c r="D123" s="1">
        <v>7.0</v>
      </c>
      <c r="E123" s="1">
        <v>6.0</v>
      </c>
      <c r="F123" s="4">
        <f t="shared" si="1"/>
        <v>1</v>
      </c>
      <c r="G123" s="5">
        <f t="shared" si="2"/>
        <v>1</v>
      </c>
      <c r="H123" s="5">
        <v>7.0</v>
      </c>
    </row>
    <row r="124" ht="15.75" customHeight="1">
      <c r="A124" s="1">
        <v>122.0</v>
      </c>
      <c r="B124" s="1" t="s">
        <v>134</v>
      </c>
      <c r="C124" s="1" t="s">
        <v>12</v>
      </c>
      <c r="D124" s="1">
        <v>7.0</v>
      </c>
      <c r="E124" s="1">
        <v>8.0</v>
      </c>
      <c r="F124" s="4">
        <f t="shared" si="1"/>
        <v>-1</v>
      </c>
      <c r="G124" s="5">
        <f t="shared" si="2"/>
        <v>1</v>
      </c>
      <c r="H124" s="5">
        <v>7.0</v>
      </c>
    </row>
    <row r="125" ht="15.75" customHeight="1">
      <c r="A125" s="1">
        <v>123.0</v>
      </c>
      <c r="B125" s="1" t="s">
        <v>135</v>
      </c>
      <c r="C125" s="1" t="s">
        <v>12</v>
      </c>
      <c r="D125" s="1">
        <v>7.0</v>
      </c>
      <c r="E125" s="1">
        <v>8.0</v>
      </c>
      <c r="F125" s="4">
        <f t="shared" si="1"/>
        <v>-1</v>
      </c>
      <c r="G125" s="5">
        <f t="shared" si="2"/>
        <v>1</v>
      </c>
      <c r="H125" s="5">
        <v>6.0</v>
      </c>
    </row>
    <row r="126" ht="15.75" customHeight="1">
      <c r="A126" s="1">
        <v>124.0</v>
      </c>
      <c r="B126" s="1" t="s">
        <v>136</v>
      </c>
      <c r="C126" s="1" t="s">
        <v>12</v>
      </c>
      <c r="D126" s="1">
        <v>5.0</v>
      </c>
      <c r="E126" s="1">
        <v>1.0</v>
      </c>
      <c r="F126" s="4">
        <f t="shared" si="1"/>
        <v>4</v>
      </c>
      <c r="G126" s="5">
        <f t="shared" si="2"/>
        <v>4</v>
      </c>
      <c r="H126" s="5">
        <v>5.0</v>
      </c>
    </row>
    <row r="127" ht="15.75" customHeight="1">
      <c r="A127" s="1">
        <v>125.0</v>
      </c>
      <c r="B127" s="1" t="s">
        <v>137</v>
      </c>
      <c r="C127" s="1" t="s">
        <v>12</v>
      </c>
      <c r="D127" s="1">
        <v>7.0</v>
      </c>
      <c r="E127" s="1">
        <v>6.0</v>
      </c>
      <c r="F127" s="4">
        <f t="shared" si="1"/>
        <v>1</v>
      </c>
      <c r="G127" s="5">
        <f t="shared" si="2"/>
        <v>1</v>
      </c>
      <c r="H127" s="5">
        <v>7.0</v>
      </c>
    </row>
    <row r="128" ht="15.75" customHeight="1">
      <c r="A128" s="1">
        <v>126.0</v>
      </c>
      <c r="B128" s="1" t="s">
        <v>138</v>
      </c>
      <c r="C128" s="1" t="s">
        <v>12</v>
      </c>
      <c r="D128" s="1">
        <v>8.0</v>
      </c>
      <c r="E128" s="1">
        <v>8.0</v>
      </c>
      <c r="F128" s="4">
        <f t="shared" si="1"/>
        <v>0</v>
      </c>
      <c r="G128" s="5">
        <f t="shared" si="2"/>
        <v>0</v>
      </c>
      <c r="H128" s="5">
        <v>8.0</v>
      </c>
    </row>
    <row r="129" ht="15.75" customHeight="1">
      <c r="A129" s="1">
        <v>127.0</v>
      </c>
      <c r="B129" s="1" t="s">
        <v>139</v>
      </c>
      <c r="C129" s="1" t="s">
        <v>12</v>
      </c>
      <c r="D129" s="1">
        <v>7.0</v>
      </c>
      <c r="E129" s="1">
        <v>8.0</v>
      </c>
      <c r="F129" s="4">
        <f t="shared" si="1"/>
        <v>-1</v>
      </c>
      <c r="G129" s="5">
        <f t="shared" si="2"/>
        <v>1</v>
      </c>
      <c r="H129" s="5">
        <v>7.0</v>
      </c>
    </row>
    <row r="130" ht="15.75" customHeight="1">
      <c r="A130" s="1">
        <v>128.0</v>
      </c>
      <c r="B130" s="1" t="s">
        <v>140</v>
      </c>
      <c r="C130" s="1" t="s">
        <v>12</v>
      </c>
      <c r="D130" s="1">
        <v>6.0</v>
      </c>
      <c r="E130" s="1">
        <v>6.0</v>
      </c>
      <c r="F130" s="4">
        <f t="shared" si="1"/>
        <v>0</v>
      </c>
      <c r="G130" s="5">
        <f t="shared" si="2"/>
        <v>0</v>
      </c>
      <c r="H130" s="5">
        <v>6.0</v>
      </c>
    </row>
    <row r="131" ht="15.75" customHeight="1">
      <c r="A131" s="1">
        <v>129.0</v>
      </c>
      <c r="B131" s="1" t="s">
        <v>141</v>
      </c>
      <c r="C131" s="1" t="s">
        <v>12</v>
      </c>
      <c r="D131" s="1">
        <v>7.0</v>
      </c>
      <c r="E131" s="1">
        <v>6.0</v>
      </c>
      <c r="F131" s="4">
        <f t="shared" si="1"/>
        <v>1</v>
      </c>
      <c r="G131" s="5">
        <f t="shared" si="2"/>
        <v>1</v>
      </c>
      <c r="H131" s="5">
        <v>7.0</v>
      </c>
    </row>
    <row r="132" ht="15.75" customHeight="1">
      <c r="A132" s="1">
        <v>130.0</v>
      </c>
      <c r="B132" s="1" t="s">
        <v>142</v>
      </c>
      <c r="C132" s="1" t="s">
        <v>12</v>
      </c>
      <c r="D132" s="1">
        <v>8.0</v>
      </c>
      <c r="E132" s="1">
        <v>8.0</v>
      </c>
      <c r="F132" s="4">
        <f t="shared" si="1"/>
        <v>0</v>
      </c>
      <c r="G132" s="5">
        <f t="shared" si="2"/>
        <v>0</v>
      </c>
      <c r="H132" s="5">
        <v>8.0</v>
      </c>
    </row>
    <row r="133" ht="15.75" customHeight="1">
      <c r="A133" s="1">
        <v>131.0</v>
      </c>
      <c r="B133" s="1" t="s">
        <v>143</v>
      </c>
      <c r="C133" s="1" t="s">
        <v>12</v>
      </c>
      <c r="D133" s="1">
        <v>8.0</v>
      </c>
      <c r="E133" s="1">
        <v>10.0</v>
      </c>
      <c r="F133" s="4">
        <f t="shared" si="1"/>
        <v>-2</v>
      </c>
      <c r="G133" s="5">
        <f t="shared" si="2"/>
        <v>2</v>
      </c>
      <c r="H133" s="5">
        <v>8.0</v>
      </c>
    </row>
    <row r="134" ht="15.75" customHeight="1">
      <c r="A134" s="1">
        <v>132.0</v>
      </c>
      <c r="B134" s="1" t="s">
        <v>144</v>
      </c>
      <c r="C134" s="1" t="s">
        <v>12</v>
      </c>
      <c r="D134" s="1">
        <v>8.0</v>
      </c>
      <c r="E134" s="1">
        <v>7.0</v>
      </c>
      <c r="F134" s="4">
        <f t="shared" si="1"/>
        <v>1</v>
      </c>
      <c r="G134" s="5">
        <f t="shared" si="2"/>
        <v>1</v>
      </c>
      <c r="H134" s="5">
        <v>8.0</v>
      </c>
    </row>
    <row r="135" ht="15.75" customHeight="1">
      <c r="A135" s="1">
        <v>133.0</v>
      </c>
      <c r="B135" s="1" t="s">
        <v>145</v>
      </c>
      <c r="C135" s="1" t="s">
        <v>12</v>
      </c>
      <c r="D135" s="1">
        <v>7.0</v>
      </c>
      <c r="E135" s="1">
        <v>5.0</v>
      </c>
      <c r="F135" s="4">
        <f t="shared" si="1"/>
        <v>2</v>
      </c>
      <c r="G135" s="5">
        <f t="shared" si="2"/>
        <v>2</v>
      </c>
      <c r="H135" s="5">
        <v>7.0</v>
      </c>
    </row>
    <row r="136" ht="15.75" customHeight="1">
      <c r="A136" s="1">
        <v>134.0</v>
      </c>
      <c r="B136" s="1" t="s">
        <v>146</v>
      </c>
      <c r="C136" s="1" t="s">
        <v>12</v>
      </c>
      <c r="D136" s="1">
        <v>4.0</v>
      </c>
      <c r="E136" s="1">
        <v>2.0</v>
      </c>
      <c r="F136" s="4">
        <f t="shared" si="1"/>
        <v>2</v>
      </c>
      <c r="G136" s="5">
        <f t="shared" si="2"/>
        <v>2</v>
      </c>
      <c r="H136" s="5">
        <v>5.0</v>
      </c>
    </row>
    <row r="137" ht="15.75" customHeight="1">
      <c r="A137" s="1">
        <v>135.0</v>
      </c>
      <c r="B137" s="1" t="s">
        <v>147</v>
      </c>
      <c r="C137" s="1" t="s">
        <v>12</v>
      </c>
      <c r="D137" s="1">
        <v>5.0</v>
      </c>
      <c r="E137" s="1">
        <v>3.0</v>
      </c>
      <c r="F137" s="4">
        <f t="shared" si="1"/>
        <v>2</v>
      </c>
      <c r="G137" s="5">
        <f t="shared" si="2"/>
        <v>2</v>
      </c>
      <c r="H137" s="5">
        <v>5.0</v>
      </c>
    </row>
    <row r="138" ht="15.75" customHeight="1">
      <c r="A138" s="1">
        <v>136.0</v>
      </c>
      <c r="B138" s="1" t="s">
        <v>148</v>
      </c>
      <c r="C138" s="1" t="s">
        <v>12</v>
      </c>
      <c r="D138" s="1">
        <v>4.0</v>
      </c>
      <c r="E138" s="1">
        <v>3.0</v>
      </c>
      <c r="F138" s="4">
        <f t="shared" si="1"/>
        <v>1</v>
      </c>
      <c r="G138" s="5">
        <f t="shared" si="2"/>
        <v>1</v>
      </c>
      <c r="H138" s="5">
        <v>3.0</v>
      </c>
    </row>
    <row r="139" ht="15.75" customHeight="1">
      <c r="A139" s="1">
        <v>137.0</v>
      </c>
      <c r="B139" s="1" t="s">
        <v>149</v>
      </c>
      <c r="C139" s="1" t="s">
        <v>12</v>
      </c>
      <c r="D139" s="1">
        <v>7.0</v>
      </c>
      <c r="E139" s="1">
        <v>6.0</v>
      </c>
      <c r="F139" s="4">
        <f t="shared" si="1"/>
        <v>1</v>
      </c>
      <c r="G139" s="5">
        <f t="shared" si="2"/>
        <v>1</v>
      </c>
      <c r="H139" s="5">
        <v>7.0</v>
      </c>
    </row>
    <row r="140" ht="15.75" customHeight="1">
      <c r="A140" s="1">
        <v>138.0</v>
      </c>
      <c r="B140" s="1" t="s">
        <v>150</v>
      </c>
      <c r="C140" s="1" t="s">
        <v>12</v>
      </c>
      <c r="D140" s="1">
        <v>8.0</v>
      </c>
      <c r="E140" s="1">
        <v>10.0</v>
      </c>
      <c r="F140" s="4">
        <f t="shared" si="1"/>
        <v>-2</v>
      </c>
      <c r="G140" s="5">
        <f t="shared" si="2"/>
        <v>2</v>
      </c>
      <c r="H140" s="5">
        <v>9.5</v>
      </c>
    </row>
    <row r="141" ht="15.75" customHeight="1">
      <c r="A141" s="1">
        <v>139.0</v>
      </c>
      <c r="B141" s="1" t="s">
        <v>151</v>
      </c>
      <c r="C141" s="1" t="s">
        <v>12</v>
      </c>
      <c r="D141" s="1">
        <v>8.0</v>
      </c>
      <c r="E141" s="1">
        <v>10.0</v>
      </c>
      <c r="F141" s="4">
        <f t="shared" si="1"/>
        <v>-2</v>
      </c>
      <c r="G141" s="5">
        <f t="shared" si="2"/>
        <v>2</v>
      </c>
      <c r="H141" s="5">
        <v>8.0</v>
      </c>
    </row>
    <row r="142" ht="15.75" customHeight="1">
      <c r="A142" s="1">
        <v>140.0</v>
      </c>
      <c r="B142" s="1" t="s">
        <v>152</v>
      </c>
      <c r="C142" s="1" t="s">
        <v>12</v>
      </c>
      <c r="D142" s="1">
        <v>8.0</v>
      </c>
      <c r="E142" s="1">
        <v>8.0</v>
      </c>
      <c r="F142" s="4">
        <f t="shared" si="1"/>
        <v>0</v>
      </c>
      <c r="G142" s="5">
        <f t="shared" si="2"/>
        <v>0</v>
      </c>
      <c r="H142" s="5">
        <v>8.0</v>
      </c>
    </row>
    <row r="143" ht="15.75" customHeight="1">
      <c r="A143" s="1">
        <v>141.0</v>
      </c>
      <c r="B143" s="1" t="s">
        <v>153</v>
      </c>
      <c r="C143" s="1" t="s">
        <v>12</v>
      </c>
      <c r="D143" s="1">
        <v>8.0</v>
      </c>
      <c r="E143" s="1">
        <v>9.0</v>
      </c>
      <c r="F143" s="4">
        <f t="shared" si="1"/>
        <v>-1</v>
      </c>
      <c r="G143" s="5">
        <f t="shared" si="2"/>
        <v>1</v>
      </c>
      <c r="H143" s="5">
        <v>8.0</v>
      </c>
    </row>
    <row r="144" ht="15.75" customHeight="1">
      <c r="A144" s="1">
        <v>142.0</v>
      </c>
      <c r="B144" s="1" t="s">
        <v>154</v>
      </c>
      <c r="C144" s="1" t="s">
        <v>12</v>
      </c>
      <c r="D144" s="1">
        <v>8.0</v>
      </c>
      <c r="E144" s="1">
        <v>6.0</v>
      </c>
      <c r="F144" s="4">
        <f t="shared" si="1"/>
        <v>2</v>
      </c>
      <c r="G144" s="5">
        <f t="shared" si="2"/>
        <v>2</v>
      </c>
      <c r="H144" s="5">
        <v>7.0</v>
      </c>
    </row>
    <row r="145" ht="15.75" customHeight="1">
      <c r="A145" s="1">
        <v>143.0</v>
      </c>
      <c r="B145" s="1" t="s">
        <v>155</v>
      </c>
      <c r="C145" s="1" t="s">
        <v>12</v>
      </c>
      <c r="D145" s="1">
        <v>7.0</v>
      </c>
      <c r="E145" s="1">
        <v>6.0</v>
      </c>
      <c r="F145" s="4">
        <f t="shared" si="1"/>
        <v>1</v>
      </c>
      <c r="G145" s="5">
        <f t="shared" si="2"/>
        <v>1</v>
      </c>
      <c r="H145" s="5">
        <v>7.0</v>
      </c>
    </row>
    <row r="146" ht="15.75" customHeight="1">
      <c r="A146" s="1">
        <v>144.0</v>
      </c>
      <c r="B146" s="1" t="s">
        <v>156</v>
      </c>
      <c r="C146" s="1" t="s">
        <v>12</v>
      </c>
      <c r="D146" s="1">
        <v>7.0</v>
      </c>
      <c r="E146" s="1">
        <v>6.0</v>
      </c>
      <c r="F146" s="4">
        <f t="shared" si="1"/>
        <v>1</v>
      </c>
      <c r="G146" s="5">
        <f t="shared" si="2"/>
        <v>1</v>
      </c>
      <c r="H146" s="5">
        <v>7.0</v>
      </c>
    </row>
    <row r="147" ht="15.75" customHeight="1">
      <c r="A147" s="1">
        <v>145.0</v>
      </c>
      <c r="B147" s="1" t="s">
        <v>157</v>
      </c>
      <c r="C147" s="1" t="s">
        <v>12</v>
      </c>
      <c r="D147" s="1">
        <v>5.0</v>
      </c>
      <c r="E147" s="1">
        <v>5.0</v>
      </c>
      <c r="F147" s="4">
        <f t="shared" si="1"/>
        <v>0</v>
      </c>
      <c r="G147" s="5">
        <f t="shared" si="2"/>
        <v>0</v>
      </c>
      <c r="H147" s="5">
        <v>6.0</v>
      </c>
    </row>
    <row r="148" ht="15.75" customHeight="1">
      <c r="A148" s="1">
        <v>146.0</v>
      </c>
      <c r="B148" s="1" t="s">
        <v>158</v>
      </c>
      <c r="C148" s="1" t="s">
        <v>12</v>
      </c>
      <c r="D148" s="1">
        <v>7.0</v>
      </c>
      <c r="E148" s="1">
        <v>9.0</v>
      </c>
      <c r="F148" s="4">
        <f t="shared" si="1"/>
        <v>-2</v>
      </c>
      <c r="G148" s="5">
        <f t="shared" si="2"/>
        <v>2</v>
      </c>
      <c r="H148" s="5">
        <v>7.0</v>
      </c>
    </row>
    <row r="149" ht="15.75" customHeight="1">
      <c r="A149" s="1">
        <v>147.0</v>
      </c>
      <c r="B149" s="1" t="s">
        <v>159</v>
      </c>
      <c r="C149" s="1" t="s">
        <v>12</v>
      </c>
      <c r="D149" s="1">
        <v>6.0</v>
      </c>
      <c r="E149" s="1">
        <v>6.0</v>
      </c>
      <c r="F149" s="4">
        <f t="shared" si="1"/>
        <v>0</v>
      </c>
      <c r="G149" s="5">
        <f t="shared" si="2"/>
        <v>0</v>
      </c>
      <c r="H149" s="5">
        <v>6.0</v>
      </c>
    </row>
    <row r="150" ht="15.75" customHeight="1">
      <c r="A150" s="1">
        <v>148.0</v>
      </c>
      <c r="B150" s="1" t="s">
        <v>160</v>
      </c>
      <c r="C150" s="1" t="s">
        <v>12</v>
      </c>
      <c r="D150" s="1">
        <v>6.0</v>
      </c>
      <c r="E150" s="1">
        <v>6.0</v>
      </c>
      <c r="F150" s="4">
        <f t="shared" si="1"/>
        <v>0</v>
      </c>
      <c r="G150" s="5">
        <f t="shared" si="2"/>
        <v>0</v>
      </c>
      <c r="H150" s="5">
        <v>6.0</v>
      </c>
    </row>
    <row r="151" ht="15.75" customHeight="1">
      <c r="A151" s="1">
        <v>149.0</v>
      </c>
      <c r="B151" s="1" t="s">
        <v>161</v>
      </c>
      <c r="C151" s="1" t="s">
        <v>12</v>
      </c>
      <c r="D151" s="1">
        <v>8.0</v>
      </c>
      <c r="E151" s="1">
        <v>10.0</v>
      </c>
      <c r="F151" s="4">
        <f t="shared" si="1"/>
        <v>-2</v>
      </c>
      <c r="G151" s="5">
        <f t="shared" si="2"/>
        <v>2</v>
      </c>
      <c r="H151" s="5">
        <v>8.0</v>
      </c>
    </row>
    <row r="152" ht="15.75" customHeight="1">
      <c r="A152" s="1">
        <v>150.0</v>
      </c>
      <c r="B152" s="1" t="s">
        <v>162</v>
      </c>
      <c r="C152" s="1" t="s">
        <v>12</v>
      </c>
      <c r="D152" s="1">
        <v>7.0</v>
      </c>
      <c r="E152" s="1">
        <v>7.0</v>
      </c>
      <c r="F152" s="4">
        <f t="shared" si="1"/>
        <v>0</v>
      </c>
      <c r="G152" s="5">
        <f t="shared" si="2"/>
        <v>0</v>
      </c>
      <c r="H152" s="5">
        <v>7.0</v>
      </c>
    </row>
    <row r="153" ht="15.75" customHeight="1">
      <c r="A153" s="1">
        <v>151.0</v>
      </c>
      <c r="B153" s="1" t="s">
        <v>163</v>
      </c>
      <c r="C153" s="1" t="s">
        <v>12</v>
      </c>
      <c r="D153" s="1">
        <v>8.0</v>
      </c>
      <c r="E153" s="1">
        <v>9.0</v>
      </c>
      <c r="F153" s="4">
        <f t="shared" si="1"/>
        <v>-1</v>
      </c>
      <c r="G153" s="5">
        <f t="shared" si="2"/>
        <v>1</v>
      </c>
      <c r="H153" s="5">
        <v>8.0</v>
      </c>
    </row>
    <row r="154" ht="15.75" customHeight="1">
      <c r="A154" s="1">
        <v>152.0</v>
      </c>
      <c r="B154" s="1" t="s">
        <v>164</v>
      </c>
      <c r="C154" s="1" t="s">
        <v>12</v>
      </c>
      <c r="D154" s="1">
        <v>7.0</v>
      </c>
      <c r="E154" s="1">
        <v>6.0</v>
      </c>
      <c r="F154" s="4">
        <f t="shared" si="1"/>
        <v>1</v>
      </c>
      <c r="G154" s="5">
        <f t="shared" si="2"/>
        <v>1</v>
      </c>
      <c r="H154" s="5">
        <v>7.0</v>
      </c>
    </row>
    <row r="155" ht="15.75" customHeight="1">
      <c r="A155" s="1">
        <v>153.0</v>
      </c>
      <c r="B155" s="1" t="s">
        <v>165</v>
      </c>
      <c r="C155" s="1" t="s">
        <v>12</v>
      </c>
      <c r="D155" s="1">
        <v>8.0</v>
      </c>
      <c r="E155" s="1">
        <v>8.0</v>
      </c>
      <c r="F155" s="4">
        <f t="shared" si="1"/>
        <v>0</v>
      </c>
      <c r="G155" s="5">
        <f t="shared" si="2"/>
        <v>0</v>
      </c>
      <c r="H155" s="5">
        <v>8.0</v>
      </c>
    </row>
    <row r="156" ht="15.75" customHeight="1">
      <c r="A156" s="1">
        <v>154.0</v>
      </c>
      <c r="B156" s="1" t="s">
        <v>166</v>
      </c>
      <c r="C156" s="1" t="s">
        <v>12</v>
      </c>
      <c r="D156" s="1">
        <v>8.0</v>
      </c>
      <c r="E156" s="1">
        <v>8.0</v>
      </c>
      <c r="F156" s="4">
        <f t="shared" si="1"/>
        <v>0</v>
      </c>
      <c r="G156" s="5">
        <f t="shared" si="2"/>
        <v>0</v>
      </c>
      <c r="H156" s="5">
        <v>7.0</v>
      </c>
    </row>
    <row r="157" ht="15.75" customHeight="1">
      <c r="A157" s="1">
        <v>155.0</v>
      </c>
      <c r="B157" s="1" t="s">
        <v>167</v>
      </c>
      <c r="C157" s="1" t="s">
        <v>12</v>
      </c>
      <c r="D157" s="1">
        <v>4.0</v>
      </c>
      <c r="E157" s="1">
        <v>4.0</v>
      </c>
      <c r="F157" s="4">
        <f t="shared" si="1"/>
        <v>0</v>
      </c>
      <c r="G157" s="5">
        <f t="shared" si="2"/>
        <v>0</v>
      </c>
      <c r="H157" s="5">
        <v>5.0</v>
      </c>
    </row>
    <row r="158" ht="15.75" customHeight="1">
      <c r="A158" s="1">
        <v>156.0</v>
      </c>
      <c r="B158" s="1" t="s">
        <v>168</v>
      </c>
      <c r="C158" s="1" t="s">
        <v>12</v>
      </c>
      <c r="D158" s="1">
        <v>5.0</v>
      </c>
      <c r="E158" s="1">
        <v>4.0</v>
      </c>
      <c r="F158" s="4">
        <f t="shared" si="1"/>
        <v>1</v>
      </c>
      <c r="G158" s="5">
        <f t="shared" si="2"/>
        <v>1</v>
      </c>
      <c r="H158" s="5">
        <v>5.0</v>
      </c>
    </row>
    <row r="159" ht="15.75" customHeight="1">
      <c r="A159" s="1">
        <v>157.0</v>
      </c>
      <c r="B159" s="1" t="s">
        <v>169</v>
      </c>
      <c r="C159" s="1" t="s">
        <v>12</v>
      </c>
      <c r="D159" s="1">
        <v>7.0</v>
      </c>
      <c r="E159" s="1">
        <v>7.0</v>
      </c>
      <c r="F159" s="4">
        <f t="shared" si="1"/>
        <v>0</v>
      </c>
      <c r="G159" s="5">
        <f t="shared" si="2"/>
        <v>0</v>
      </c>
      <c r="H159" s="5">
        <v>7.0</v>
      </c>
    </row>
    <row r="160" ht="15.75" customHeight="1">
      <c r="A160" s="1">
        <v>158.0</v>
      </c>
      <c r="B160" s="1" t="s">
        <v>170</v>
      </c>
      <c r="C160" s="1" t="s">
        <v>12</v>
      </c>
      <c r="D160" s="1">
        <v>5.0</v>
      </c>
      <c r="E160" s="1">
        <v>5.0</v>
      </c>
      <c r="F160" s="4">
        <f t="shared" si="1"/>
        <v>0</v>
      </c>
      <c r="G160" s="5">
        <f t="shared" si="2"/>
        <v>0</v>
      </c>
      <c r="H160" s="5">
        <v>5.0</v>
      </c>
    </row>
    <row r="161" ht="15.75" customHeight="1">
      <c r="A161" s="1">
        <v>159.0</v>
      </c>
      <c r="B161" s="1" t="s">
        <v>171</v>
      </c>
      <c r="C161" s="1" t="s">
        <v>12</v>
      </c>
      <c r="D161" s="1">
        <v>6.0</v>
      </c>
      <c r="E161" s="1">
        <v>7.0</v>
      </c>
      <c r="F161" s="4">
        <f t="shared" si="1"/>
        <v>-1</v>
      </c>
      <c r="G161" s="5">
        <f t="shared" si="2"/>
        <v>1</v>
      </c>
      <c r="H161" s="5">
        <v>7.0</v>
      </c>
    </row>
    <row r="162" ht="15.75" customHeight="1">
      <c r="A162" s="1">
        <v>160.0</v>
      </c>
      <c r="B162" s="1" t="s">
        <v>172</v>
      </c>
      <c r="C162" s="1" t="s">
        <v>12</v>
      </c>
      <c r="D162" s="1">
        <v>7.0</v>
      </c>
      <c r="E162" s="1">
        <v>6.0</v>
      </c>
      <c r="F162" s="4">
        <f t="shared" si="1"/>
        <v>1</v>
      </c>
      <c r="G162" s="5">
        <f t="shared" si="2"/>
        <v>1</v>
      </c>
      <c r="H162" s="5">
        <v>7.0</v>
      </c>
    </row>
    <row r="163" ht="15.75" customHeight="1">
      <c r="A163" s="1">
        <v>161.0</v>
      </c>
      <c r="B163" s="1" t="s">
        <v>173</v>
      </c>
      <c r="C163" s="1" t="s">
        <v>12</v>
      </c>
      <c r="D163" s="1">
        <v>8.0</v>
      </c>
      <c r="E163" s="1">
        <v>9.0</v>
      </c>
      <c r="F163" s="4">
        <f t="shared" si="1"/>
        <v>-1</v>
      </c>
      <c r="G163" s="5">
        <f t="shared" si="2"/>
        <v>1</v>
      </c>
      <c r="H163" s="5">
        <v>8.0</v>
      </c>
    </row>
    <row r="164" ht="15.75" customHeight="1">
      <c r="A164" s="1">
        <v>162.0</v>
      </c>
      <c r="B164" s="1" t="s">
        <v>174</v>
      </c>
      <c r="C164" s="1" t="s">
        <v>12</v>
      </c>
      <c r="D164" s="1">
        <v>8.0</v>
      </c>
      <c r="E164" s="1">
        <v>10.0</v>
      </c>
      <c r="F164" s="4">
        <f t="shared" si="1"/>
        <v>-2</v>
      </c>
      <c r="G164" s="5">
        <f t="shared" si="2"/>
        <v>2</v>
      </c>
      <c r="H164" s="5">
        <v>8.0</v>
      </c>
    </row>
    <row r="165" ht="15.75" customHeight="1">
      <c r="A165" s="1">
        <v>163.0</v>
      </c>
      <c r="B165" s="1" t="s">
        <v>175</v>
      </c>
      <c r="C165" s="1" t="s">
        <v>12</v>
      </c>
      <c r="D165" s="1">
        <v>8.0</v>
      </c>
      <c r="E165" s="1">
        <v>9.0</v>
      </c>
      <c r="F165" s="4">
        <f t="shared" si="1"/>
        <v>-1</v>
      </c>
      <c r="G165" s="5">
        <f t="shared" si="2"/>
        <v>1</v>
      </c>
      <c r="H165" s="5">
        <v>8.0</v>
      </c>
    </row>
    <row r="166" ht="15.75" customHeight="1">
      <c r="A166" s="1">
        <v>164.0</v>
      </c>
      <c r="B166" s="1" t="s">
        <v>176</v>
      </c>
      <c r="C166" s="1" t="s">
        <v>12</v>
      </c>
      <c r="D166" s="1">
        <v>5.0</v>
      </c>
      <c r="E166" s="1">
        <v>3.0</v>
      </c>
      <c r="F166" s="4">
        <f t="shared" si="1"/>
        <v>2</v>
      </c>
      <c r="G166" s="5">
        <f t="shared" si="2"/>
        <v>2</v>
      </c>
      <c r="H166" s="5">
        <v>5.0</v>
      </c>
    </row>
    <row r="167" ht="15.75" customHeight="1">
      <c r="A167" s="1">
        <v>165.0</v>
      </c>
      <c r="B167" s="1" t="s">
        <v>177</v>
      </c>
      <c r="C167" s="1" t="s">
        <v>12</v>
      </c>
      <c r="D167" s="1">
        <v>3.0</v>
      </c>
      <c r="E167" s="1">
        <v>1.0</v>
      </c>
      <c r="F167" s="4">
        <f t="shared" si="1"/>
        <v>2</v>
      </c>
      <c r="G167" s="5">
        <f t="shared" si="2"/>
        <v>2</v>
      </c>
      <c r="H167" s="5">
        <v>2.0</v>
      </c>
    </row>
    <row r="168" ht="15.75" customHeight="1">
      <c r="A168" s="1">
        <v>166.0</v>
      </c>
      <c r="B168" s="1" t="s">
        <v>178</v>
      </c>
      <c r="C168" s="1" t="s">
        <v>12</v>
      </c>
      <c r="D168" s="1">
        <v>2.0</v>
      </c>
      <c r="E168" s="1">
        <v>2.0</v>
      </c>
      <c r="F168" s="4">
        <f t="shared" si="1"/>
        <v>0</v>
      </c>
      <c r="G168" s="5">
        <f t="shared" si="2"/>
        <v>0</v>
      </c>
      <c r="H168" s="5">
        <v>2.0</v>
      </c>
    </row>
    <row r="169" ht="15.75" customHeight="1">
      <c r="A169" s="1">
        <v>167.0</v>
      </c>
      <c r="B169" s="1" t="s">
        <v>179</v>
      </c>
      <c r="C169" s="1" t="s">
        <v>12</v>
      </c>
      <c r="D169" s="1">
        <v>2.0</v>
      </c>
      <c r="E169" s="1">
        <v>1.0</v>
      </c>
      <c r="F169" s="4">
        <f t="shared" si="1"/>
        <v>1</v>
      </c>
      <c r="G169" s="5">
        <f t="shared" si="2"/>
        <v>1</v>
      </c>
      <c r="H169" s="5">
        <v>2.0</v>
      </c>
    </row>
    <row r="170" ht="15.75" customHeight="1">
      <c r="A170" s="1">
        <v>168.0</v>
      </c>
      <c r="B170" s="1" t="s">
        <v>180</v>
      </c>
      <c r="C170" s="1" t="s">
        <v>12</v>
      </c>
      <c r="D170" s="1">
        <v>8.0</v>
      </c>
      <c r="E170" s="1">
        <v>9.0</v>
      </c>
      <c r="F170" s="4">
        <f t="shared" si="1"/>
        <v>-1</v>
      </c>
      <c r="G170" s="5">
        <f t="shared" si="2"/>
        <v>1</v>
      </c>
      <c r="H170" s="5">
        <v>8.0</v>
      </c>
    </row>
    <row r="171" ht="15.75" customHeight="1">
      <c r="A171" s="1">
        <v>169.0</v>
      </c>
      <c r="B171" s="1" t="s">
        <v>181</v>
      </c>
      <c r="C171" s="1" t="s">
        <v>12</v>
      </c>
      <c r="D171" s="1">
        <v>7.0</v>
      </c>
      <c r="E171" s="1">
        <v>9.0</v>
      </c>
      <c r="F171" s="4">
        <f t="shared" si="1"/>
        <v>-2</v>
      </c>
      <c r="G171" s="5">
        <f t="shared" si="2"/>
        <v>2</v>
      </c>
      <c r="H171" s="5">
        <v>7.0</v>
      </c>
    </row>
    <row r="172" ht="15.75" customHeight="1">
      <c r="A172" s="1">
        <v>170.0</v>
      </c>
      <c r="B172" s="1" t="s">
        <v>182</v>
      </c>
      <c r="C172" s="1" t="s">
        <v>12</v>
      </c>
      <c r="D172" s="1">
        <v>7.0</v>
      </c>
      <c r="E172" s="1">
        <v>8.0</v>
      </c>
      <c r="F172" s="4">
        <f t="shared" si="1"/>
        <v>-1</v>
      </c>
      <c r="G172" s="5">
        <f t="shared" si="2"/>
        <v>1</v>
      </c>
      <c r="H172" s="5">
        <v>8.0</v>
      </c>
    </row>
    <row r="173" ht="15.75" customHeight="1">
      <c r="A173" s="1">
        <v>171.0</v>
      </c>
      <c r="B173" s="1" t="s">
        <v>183</v>
      </c>
      <c r="C173" s="1" t="s">
        <v>12</v>
      </c>
      <c r="D173" s="1">
        <v>8.0</v>
      </c>
      <c r="E173" s="1">
        <v>9.0</v>
      </c>
      <c r="F173" s="4">
        <f t="shared" si="1"/>
        <v>-1</v>
      </c>
      <c r="G173" s="5">
        <f t="shared" si="2"/>
        <v>1</v>
      </c>
      <c r="H173" s="5">
        <v>8.0</v>
      </c>
    </row>
    <row r="174" ht="15.75" customHeight="1">
      <c r="A174" s="1">
        <v>172.0</v>
      </c>
      <c r="B174" s="1" t="s">
        <v>184</v>
      </c>
      <c r="C174" s="1" t="s">
        <v>12</v>
      </c>
      <c r="D174" s="1">
        <v>6.0</v>
      </c>
      <c r="E174" s="1">
        <v>5.0</v>
      </c>
      <c r="F174" s="4">
        <f t="shared" si="1"/>
        <v>1</v>
      </c>
      <c r="G174" s="5">
        <f t="shared" si="2"/>
        <v>1</v>
      </c>
      <c r="H174" s="5">
        <v>6.0</v>
      </c>
    </row>
    <row r="175" ht="15.75" customHeight="1">
      <c r="A175" s="1">
        <v>173.0</v>
      </c>
      <c r="B175" s="1" t="s">
        <v>185</v>
      </c>
      <c r="C175" s="1" t="s">
        <v>12</v>
      </c>
      <c r="D175" s="1">
        <v>6.0</v>
      </c>
      <c r="E175" s="1">
        <v>3.0</v>
      </c>
      <c r="F175" s="4">
        <f t="shared" si="1"/>
        <v>3</v>
      </c>
      <c r="G175" s="5">
        <f t="shared" si="2"/>
        <v>3</v>
      </c>
      <c r="H175" s="5">
        <v>6.0</v>
      </c>
    </row>
    <row r="176" ht="15.75" customHeight="1">
      <c r="A176" s="1">
        <v>174.0</v>
      </c>
      <c r="B176" s="1" t="s">
        <v>186</v>
      </c>
      <c r="C176" s="1" t="s">
        <v>12</v>
      </c>
      <c r="D176" s="1">
        <v>2.0</v>
      </c>
      <c r="E176" s="1">
        <v>2.0</v>
      </c>
      <c r="F176" s="4">
        <f t="shared" si="1"/>
        <v>0</v>
      </c>
      <c r="G176" s="5">
        <f t="shared" si="2"/>
        <v>0</v>
      </c>
      <c r="H176" s="5">
        <v>2.0</v>
      </c>
    </row>
    <row r="177" ht="15.75" customHeight="1">
      <c r="A177" s="1">
        <v>175.0</v>
      </c>
      <c r="B177" s="1" t="s">
        <v>187</v>
      </c>
      <c r="C177" s="1" t="s">
        <v>12</v>
      </c>
      <c r="D177" s="1">
        <v>2.0</v>
      </c>
      <c r="E177" s="1">
        <v>2.0</v>
      </c>
      <c r="F177" s="4">
        <f t="shared" si="1"/>
        <v>0</v>
      </c>
      <c r="G177" s="5">
        <f t="shared" si="2"/>
        <v>0</v>
      </c>
      <c r="H177" s="5">
        <v>3.0</v>
      </c>
    </row>
    <row r="178" ht="15.75" customHeight="1">
      <c r="A178" s="1">
        <v>176.0</v>
      </c>
      <c r="B178" s="1" t="s">
        <v>188</v>
      </c>
      <c r="C178" s="1" t="s">
        <v>12</v>
      </c>
      <c r="D178" s="1">
        <v>8.0</v>
      </c>
      <c r="E178" s="1">
        <v>6.0</v>
      </c>
      <c r="F178" s="4">
        <f t="shared" si="1"/>
        <v>2</v>
      </c>
      <c r="G178" s="5">
        <f t="shared" si="2"/>
        <v>2</v>
      </c>
      <c r="H178" s="5">
        <v>8.0</v>
      </c>
    </row>
    <row r="179" ht="15.75" customHeight="1">
      <c r="A179" s="1">
        <v>177.0</v>
      </c>
      <c r="B179" s="1" t="s">
        <v>189</v>
      </c>
      <c r="C179" s="1" t="s">
        <v>12</v>
      </c>
      <c r="D179" s="1">
        <v>6.0</v>
      </c>
      <c r="E179" s="1">
        <v>3.0</v>
      </c>
      <c r="F179" s="4">
        <f t="shared" si="1"/>
        <v>3</v>
      </c>
      <c r="G179" s="5">
        <f t="shared" si="2"/>
        <v>3</v>
      </c>
      <c r="H179" s="5">
        <v>7.0</v>
      </c>
    </row>
    <row r="180" ht="15.75" customHeight="1">
      <c r="A180" s="1">
        <v>178.0</v>
      </c>
      <c r="B180" s="1" t="s">
        <v>190</v>
      </c>
      <c r="C180" s="1" t="s">
        <v>12</v>
      </c>
      <c r="D180" s="1">
        <v>6.0</v>
      </c>
      <c r="E180" s="1">
        <v>4.0</v>
      </c>
      <c r="F180" s="4">
        <f t="shared" si="1"/>
        <v>2</v>
      </c>
      <c r="G180" s="5">
        <f t="shared" si="2"/>
        <v>2</v>
      </c>
      <c r="H180" s="5">
        <v>6.0</v>
      </c>
    </row>
    <row r="181" ht="15.75" customHeight="1">
      <c r="A181" s="1">
        <v>179.0</v>
      </c>
      <c r="B181" s="1" t="s">
        <v>191</v>
      </c>
      <c r="C181" s="1" t="s">
        <v>12</v>
      </c>
      <c r="D181" s="1">
        <v>5.0</v>
      </c>
      <c r="E181" s="1">
        <v>5.0</v>
      </c>
      <c r="F181" s="4">
        <f t="shared" si="1"/>
        <v>0</v>
      </c>
      <c r="G181" s="5">
        <f t="shared" si="2"/>
        <v>0</v>
      </c>
      <c r="H181" s="5">
        <v>5.0</v>
      </c>
    </row>
    <row r="182" ht="15.75" customHeight="1">
      <c r="A182" s="1">
        <v>180.0</v>
      </c>
      <c r="B182" s="1" t="s">
        <v>192</v>
      </c>
      <c r="C182" s="1" t="s">
        <v>12</v>
      </c>
      <c r="D182" s="1">
        <v>8.0</v>
      </c>
      <c r="E182" s="1">
        <v>9.0</v>
      </c>
      <c r="F182" s="4">
        <f t="shared" si="1"/>
        <v>-1</v>
      </c>
      <c r="G182" s="5">
        <f t="shared" si="2"/>
        <v>1</v>
      </c>
      <c r="H182" s="5">
        <v>8.0</v>
      </c>
    </row>
    <row r="183" ht="15.75" customHeight="1">
      <c r="A183" s="1">
        <v>181.0</v>
      </c>
      <c r="B183" s="1" t="s">
        <v>193</v>
      </c>
      <c r="C183" s="1" t="s">
        <v>12</v>
      </c>
      <c r="D183" s="1">
        <v>7.0</v>
      </c>
      <c r="E183" s="1">
        <v>8.0</v>
      </c>
      <c r="F183" s="4">
        <f t="shared" si="1"/>
        <v>-1</v>
      </c>
      <c r="G183" s="5">
        <f t="shared" si="2"/>
        <v>1</v>
      </c>
      <c r="H183" s="5">
        <v>7.0</v>
      </c>
    </row>
    <row r="184" ht="15.75" customHeight="1">
      <c r="A184" s="1">
        <v>182.0</v>
      </c>
      <c r="B184" s="1" t="s">
        <v>194</v>
      </c>
      <c r="C184" s="1" t="s">
        <v>12</v>
      </c>
      <c r="D184" s="1">
        <v>7.0</v>
      </c>
      <c r="E184" s="1">
        <v>7.0</v>
      </c>
      <c r="F184" s="4">
        <f t="shared" si="1"/>
        <v>0</v>
      </c>
      <c r="G184" s="5">
        <f t="shared" si="2"/>
        <v>0</v>
      </c>
      <c r="H184" s="5">
        <v>7.0</v>
      </c>
    </row>
    <row r="185" ht="15.75" customHeight="1">
      <c r="A185" s="1">
        <v>183.0</v>
      </c>
      <c r="B185" s="1" t="s">
        <v>195</v>
      </c>
      <c r="C185" s="1" t="s">
        <v>12</v>
      </c>
      <c r="D185" s="1">
        <v>7.0</v>
      </c>
      <c r="E185" s="1">
        <v>7.0</v>
      </c>
      <c r="F185" s="4">
        <f t="shared" si="1"/>
        <v>0</v>
      </c>
      <c r="G185" s="5">
        <f t="shared" si="2"/>
        <v>0</v>
      </c>
      <c r="H185" s="5">
        <v>7.0</v>
      </c>
    </row>
    <row r="186" ht="15.75" customHeight="1">
      <c r="A186" s="1">
        <v>184.0</v>
      </c>
      <c r="B186" s="1" t="s">
        <v>196</v>
      </c>
      <c r="C186" s="1" t="s">
        <v>12</v>
      </c>
      <c r="D186" s="1">
        <v>7.0</v>
      </c>
      <c r="E186" s="1">
        <v>9.0</v>
      </c>
      <c r="F186" s="4">
        <f t="shared" si="1"/>
        <v>-2</v>
      </c>
      <c r="G186" s="5">
        <f t="shared" si="2"/>
        <v>2</v>
      </c>
      <c r="H186" s="5">
        <v>7.0</v>
      </c>
    </row>
    <row r="187" ht="15.75" customHeight="1">
      <c r="A187" s="1">
        <v>185.0</v>
      </c>
      <c r="B187" s="1" t="s">
        <v>197</v>
      </c>
      <c r="C187" s="1" t="s">
        <v>12</v>
      </c>
      <c r="D187" s="1">
        <v>7.0</v>
      </c>
      <c r="E187" s="1">
        <v>5.0</v>
      </c>
      <c r="F187" s="4">
        <f t="shared" si="1"/>
        <v>2</v>
      </c>
      <c r="G187" s="5">
        <f t="shared" si="2"/>
        <v>2</v>
      </c>
      <c r="H187" s="5">
        <v>7.0</v>
      </c>
    </row>
    <row r="188" ht="15.75" customHeight="1">
      <c r="A188" s="1">
        <v>186.0</v>
      </c>
      <c r="B188" s="1" t="s">
        <v>198</v>
      </c>
      <c r="C188" s="1" t="s">
        <v>12</v>
      </c>
      <c r="D188" s="1">
        <v>7.0</v>
      </c>
      <c r="E188" s="1">
        <v>6.0</v>
      </c>
      <c r="F188" s="4">
        <f t="shared" si="1"/>
        <v>1</v>
      </c>
      <c r="G188" s="5">
        <f t="shared" si="2"/>
        <v>1</v>
      </c>
      <c r="H188" s="5">
        <v>7.0</v>
      </c>
    </row>
    <row r="189" ht="15.75" customHeight="1">
      <c r="A189" s="1">
        <v>187.0</v>
      </c>
      <c r="B189" s="1" t="s">
        <v>199</v>
      </c>
      <c r="C189" s="1" t="s">
        <v>12</v>
      </c>
      <c r="D189" s="1">
        <v>6.0</v>
      </c>
      <c r="E189" s="1">
        <v>6.0</v>
      </c>
      <c r="F189" s="4">
        <f t="shared" si="1"/>
        <v>0</v>
      </c>
      <c r="G189" s="5">
        <f t="shared" si="2"/>
        <v>0</v>
      </c>
      <c r="H189" s="5">
        <v>6.0</v>
      </c>
    </row>
    <row r="190" ht="15.75" customHeight="1">
      <c r="A190" s="1">
        <v>188.0</v>
      </c>
      <c r="B190" s="1" t="s">
        <v>200</v>
      </c>
      <c r="C190" s="1" t="s">
        <v>12</v>
      </c>
      <c r="D190" s="1">
        <v>8.0</v>
      </c>
      <c r="E190" s="1">
        <v>10.0</v>
      </c>
      <c r="F190" s="4">
        <f t="shared" si="1"/>
        <v>-2</v>
      </c>
      <c r="G190" s="5">
        <f t="shared" si="2"/>
        <v>2</v>
      </c>
      <c r="H190" s="5">
        <v>8.0</v>
      </c>
    </row>
    <row r="191" ht="15.75" customHeight="1">
      <c r="A191" s="1">
        <v>189.0</v>
      </c>
      <c r="B191" s="1" t="s">
        <v>201</v>
      </c>
      <c r="C191" s="1" t="s">
        <v>12</v>
      </c>
      <c r="D191" s="1">
        <v>8.0</v>
      </c>
      <c r="E191" s="1">
        <v>9.0</v>
      </c>
      <c r="F191" s="4">
        <f t="shared" si="1"/>
        <v>-1</v>
      </c>
      <c r="G191" s="5">
        <f t="shared" si="2"/>
        <v>1</v>
      </c>
      <c r="H191" s="5">
        <v>8.0</v>
      </c>
    </row>
    <row r="192" ht="15.75" customHeight="1">
      <c r="A192" s="1">
        <v>190.0</v>
      </c>
      <c r="B192" s="1" t="s">
        <v>202</v>
      </c>
      <c r="C192" s="1" t="s">
        <v>12</v>
      </c>
      <c r="D192" s="1">
        <v>7.0</v>
      </c>
      <c r="E192" s="1">
        <v>8.0</v>
      </c>
      <c r="F192" s="4">
        <f t="shared" si="1"/>
        <v>-1</v>
      </c>
      <c r="G192" s="5">
        <f t="shared" si="2"/>
        <v>1</v>
      </c>
      <c r="H192" s="5">
        <v>7.0</v>
      </c>
    </row>
    <row r="193" ht="15.75" customHeight="1">
      <c r="A193" s="1">
        <v>191.0</v>
      </c>
      <c r="B193" s="1" t="s">
        <v>203</v>
      </c>
      <c r="C193" s="1" t="s">
        <v>12</v>
      </c>
      <c r="D193" s="1">
        <v>8.0</v>
      </c>
      <c r="E193" s="1">
        <v>9.0</v>
      </c>
      <c r="F193" s="4">
        <f t="shared" si="1"/>
        <v>-1</v>
      </c>
      <c r="G193" s="5">
        <f t="shared" si="2"/>
        <v>1</v>
      </c>
      <c r="H193" s="5">
        <v>8.0</v>
      </c>
    </row>
    <row r="194" ht="15.75" customHeight="1">
      <c r="A194" s="1">
        <v>192.0</v>
      </c>
      <c r="B194" s="1" t="s">
        <v>204</v>
      </c>
      <c r="C194" s="1" t="s">
        <v>12</v>
      </c>
      <c r="D194" s="1">
        <v>6.0</v>
      </c>
      <c r="E194" s="1">
        <v>4.0</v>
      </c>
      <c r="F194" s="4">
        <f t="shared" si="1"/>
        <v>2</v>
      </c>
      <c r="G194" s="5">
        <f t="shared" si="2"/>
        <v>2</v>
      </c>
      <c r="H194" s="5">
        <v>6.0</v>
      </c>
    </row>
    <row r="195" ht="15.75" customHeight="1">
      <c r="A195" s="1">
        <v>193.0</v>
      </c>
      <c r="B195" s="1" t="s">
        <v>205</v>
      </c>
      <c r="C195" s="1" t="s">
        <v>12</v>
      </c>
      <c r="D195" s="1">
        <v>4.0</v>
      </c>
      <c r="E195" s="1">
        <v>2.0</v>
      </c>
      <c r="F195" s="4">
        <f t="shared" si="1"/>
        <v>2</v>
      </c>
      <c r="G195" s="5">
        <f t="shared" si="2"/>
        <v>2</v>
      </c>
      <c r="H195" s="5">
        <v>4.0</v>
      </c>
    </row>
    <row r="196" ht="15.75" customHeight="1">
      <c r="A196" s="1">
        <v>194.0</v>
      </c>
      <c r="B196" s="1" t="s">
        <v>206</v>
      </c>
      <c r="C196" s="1" t="s">
        <v>12</v>
      </c>
      <c r="D196" s="1">
        <v>6.0</v>
      </c>
      <c r="E196" s="1">
        <v>4.0</v>
      </c>
      <c r="F196" s="4">
        <f t="shared" si="1"/>
        <v>2</v>
      </c>
      <c r="G196" s="5">
        <f t="shared" si="2"/>
        <v>2</v>
      </c>
      <c r="H196" s="5">
        <v>5.0</v>
      </c>
    </row>
    <row r="197" ht="15.75" customHeight="1">
      <c r="A197" s="1">
        <v>195.0</v>
      </c>
      <c r="B197" s="1" t="s">
        <v>207</v>
      </c>
      <c r="C197" s="1" t="s">
        <v>12</v>
      </c>
      <c r="D197" s="1">
        <v>7.0</v>
      </c>
      <c r="E197" s="1">
        <v>7.0</v>
      </c>
      <c r="F197" s="4">
        <f t="shared" si="1"/>
        <v>0</v>
      </c>
      <c r="G197" s="5">
        <f t="shared" si="2"/>
        <v>0</v>
      </c>
      <c r="H197" s="5">
        <v>7.0</v>
      </c>
    </row>
    <row r="198" ht="15.75" customHeight="1">
      <c r="A198" s="1">
        <v>196.0</v>
      </c>
      <c r="B198" s="1" t="s">
        <v>208</v>
      </c>
      <c r="C198" s="1" t="s">
        <v>12</v>
      </c>
      <c r="D198" s="1">
        <v>6.0</v>
      </c>
      <c r="E198" s="1">
        <v>5.0</v>
      </c>
      <c r="F198" s="4">
        <f t="shared" si="1"/>
        <v>1</v>
      </c>
      <c r="G198" s="5">
        <f t="shared" si="2"/>
        <v>1</v>
      </c>
      <c r="H198" s="5">
        <v>6.0</v>
      </c>
    </row>
    <row r="199" ht="15.75" customHeight="1">
      <c r="A199" s="1">
        <v>197.0</v>
      </c>
      <c r="B199" s="1" t="s">
        <v>209</v>
      </c>
      <c r="C199" s="1" t="s">
        <v>12</v>
      </c>
      <c r="D199" s="1">
        <v>5.0</v>
      </c>
      <c r="E199" s="1">
        <v>4.0</v>
      </c>
      <c r="F199" s="4">
        <f t="shared" si="1"/>
        <v>1</v>
      </c>
      <c r="G199" s="5">
        <f t="shared" si="2"/>
        <v>1</v>
      </c>
      <c r="H199" s="5">
        <v>5.0</v>
      </c>
    </row>
    <row r="200" ht="15.75" customHeight="1">
      <c r="A200" s="1">
        <v>198.0</v>
      </c>
      <c r="B200" s="1" t="s">
        <v>210</v>
      </c>
      <c r="C200" s="1" t="s">
        <v>12</v>
      </c>
      <c r="D200" s="1">
        <v>6.0</v>
      </c>
      <c r="E200" s="1">
        <v>3.0</v>
      </c>
      <c r="F200" s="4">
        <f t="shared" si="1"/>
        <v>3</v>
      </c>
      <c r="G200" s="5">
        <f t="shared" si="2"/>
        <v>3</v>
      </c>
      <c r="H200" s="5">
        <v>5.0</v>
      </c>
    </row>
    <row r="201" ht="15.75" customHeight="1">
      <c r="A201" s="1">
        <v>199.0</v>
      </c>
      <c r="B201" s="1" t="s">
        <v>211</v>
      </c>
      <c r="C201" s="1" t="s">
        <v>12</v>
      </c>
      <c r="D201" s="1">
        <v>5.0</v>
      </c>
      <c r="E201" s="1">
        <v>4.0</v>
      </c>
      <c r="F201" s="4">
        <f t="shared" si="1"/>
        <v>1</v>
      </c>
      <c r="G201" s="5">
        <f t="shared" si="2"/>
        <v>1</v>
      </c>
      <c r="H201" s="5">
        <v>5.0</v>
      </c>
    </row>
    <row r="202" ht="15.75" customHeight="1">
      <c r="A202" s="1">
        <v>200.0</v>
      </c>
      <c r="B202" s="1" t="s">
        <v>212</v>
      </c>
      <c r="C202" s="1" t="s">
        <v>12</v>
      </c>
      <c r="D202" s="1">
        <v>8.0</v>
      </c>
      <c r="E202" s="1">
        <v>6.0</v>
      </c>
      <c r="F202" s="4">
        <f t="shared" si="1"/>
        <v>2</v>
      </c>
      <c r="G202" s="5">
        <f t="shared" si="2"/>
        <v>2</v>
      </c>
      <c r="H202" s="5">
        <v>8.0</v>
      </c>
    </row>
    <row r="203" ht="15.75" customHeight="1">
      <c r="A203" s="1">
        <v>201.0</v>
      </c>
      <c r="B203" s="1" t="s">
        <v>213</v>
      </c>
      <c r="C203" s="1" t="s">
        <v>12</v>
      </c>
      <c r="D203" s="1">
        <v>6.0</v>
      </c>
      <c r="E203" s="1">
        <v>4.0</v>
      </c>
      <c r="F203" s="4">
        <f t="shared" si="1"/>
        <v>2</v>
      </c>
      <c r="G203" s="5">
        <f t="shared" si="2"/>
        <v>2</v>
      </c>
      <c r="H203" s="5">
        <v>6.0</v>
      </c>
    </row>
    <row r="204" ht="15.75" customHeight="1">
      <c r="A204" s="1">
        <v>202.0</v>
      </c>
      <c r="B204" s="1" t="s">
        <v>214</v>
      </c>
      <c r="C204" s="1" t="s">
        <v>12</v>
      </c>
      <c r="D204" s="1">
        <v>6.0</v>
      </c>
      <c r="E204" s="1">
        <v>7.0</v>
      </c>
      <c r="F204" s="4">
        <f t="shared" si="1"/>
        <v>-1</v>
      </c>
      <c r="G204" s="5">
        <f t="shared" si="2"/>
        <v>1</v>
      </c>
      <c r="H204" s="5">
        <v>6.0</v>
      </c>
    </row>
    <row r="205" ht="15.75" customHeight="1">
      <c r="A205" s="1">
        <v>203.0</v>
      </c>
      <c r="B205" s="1" t="s">
        <v>215</v>
      </c>
      <c r="C205" s="1" t="s">
        <v>12</v>
      </c>
      <c r="D205" s="1">
        <v>7.0</v>
      </c>
      <c r="E205" s="1">
        <v>5.0</v>
      </c>
      <c r="F205" s="4">
        <f t="shared" si="1"/>
        <v>2</v>
      </c>
      <c r="G205" s="5">
        <f t="shared" si="2"/>
        <v>2</v>
      </c>
      <c r="H205" s="5">
        <v>6.0</v>
      </c>
    </row>
    <row r="206" ht="15.75" customHeight="1">
      <c r="A206" s="1">
        <v>204.0</v>
      </c>
      <c r="B206" s="1" t="s">
        <v>216</v>
      </c>
      <c r="C206" s="1" t="s">
        <v>12</v>
      </c>
      <c r="D206" s="1">
        <v>8.0</v>
      </c>
      <c r="E206" s="1">
        <v>9.0</v>
      </c>
      <c r="F206" s="4">
        <f t="shared" si="1"/>
        <v>-1</v>
      </c>
      <c r="G206" s="5">
        <f t="shared" si="2"/>
        <v>1</v>
      </c>
      <c r="H206" s="5">
        <v>8.0</v>
      </c>
    </row>
    <row r="207" ht="15.75" customHeight="1">
      <c r="A207" s="1">
        <v>205.0</v>
      </c>
      <c r="B207" s="1" t="s">
        <v>217</v>
      </c>
      <c r="C207" s="1" t="s">
        <v>12</v>
      </c>
      <c r="D207" s="1">
        <v>8.0</v>
      </c>
      <c r="E207" s="1">
        <v>8.0</v>
      </c>
      <c r="F207" s="4">
        <f t="shared" si="1"/>
        <v>0</v>
      </c>
      <c r="G207" s="5">
        <f t="shared" si="2"/>
        <v>0</v>
      </c>
      <c r="H207" s="5">
        <v>8.0</v>
      </c>
    </row>
    <row r="208" ht="15.75" customHeight="1">
      <c r="A208" s="1">
        <v>206.0</v>
      </c>
      <c r="B208" s="1" t="s">
        <v>218</v>
      </c>
      <c r="C208" s="1" t="s">
        <v>12</v>
      </c>
      <c r="D208" s="1">
        <v>8.0</v>
      </c>
      <c r="E208" s="1">
        <v>7.0</v>
      </c>
      <c r="F208" s="4">
        <f t="shared" si="1"/>
        <v>1</v>
      </c>
      <c r="G208" s="5">
        <f t="shared" si="2"/>
        <v>1</v>
      </c>
      <c r="H208" s="5">
        <v>8.0</v>
      </c>
    </row>
    <row r="209" ht="15.75" customHeight="1">
      <c r="A209" s="1">
        <v>207.0</v>
      </c>
      <c r="B209" s="1" t="s">
        <v>219</v>
      </c>
      <c r="C209" s="1" t="s">
        <v>12</v>
      </c>
      <c r="D209" s="1">
        <v>8.0</v>
      </c>
      <c r="E209" s="1">
        <v>7.0</v>
      </c>
      <c r="F209" s="4">
        <f t="shared" si="1"/>
        <v>1</v>
      </c>
      <c r="G209" s="5">
        <f t="shared" si="2"/>
        <v>1</v>
      </c>
      <c r="H209" s="5">
        <v>8.0</v>
      </c>
    </row>
    <row r="210" ht="15.75" customHeight="1">
      <c r="A210" s="1">
        <v>208.0</v>
      </c>
      <c r="B210" s="1" t="s">
        <v>220</v>
      </c>
      <c r="C210" s="1" t="s">
        <v>12</v>
      </c>
      <c r="D210" s="1">
        <v>7.0</v>
      </c>
      <c r="E210" s="1">
        <v>7.0</v>
      </c>
      <c r="F210" s="4">
        <f t="shared" si="1"/>
        <v>0</v>
      </c>
      <c r="G210" s="5">
        <f t="shared" si="2"/>
        <v>0</v>
      </c>
      <c r="H210" s="5">
        <v>8.0</v>
      </c>
    </row>
    <row r="211" ht="15.75" customHeight="1">
      <c r="A211" s="1">
        <v>209.0</v>
      </c>
      <c r="B211" s="1" t="s">
        <v>221</v>
      </c>
      <c r="C211" s="1" t="s">
        <v>12</v>
      </c>
      <c r="D211" s="1">
        <v>8.0</v>
      </c>
      <c r="E211" s="1">
        <v>5.0</v>
      </c>
      <c r="F211" s="4">
        <f t="shared" si="1"/>
        <v>3</v>
      </c>
      <c r="G211" s="5">
        <f t="shared" si="2"/>
        <v>3</v>
      </c>
      <c r="H211" s="5">
        <v>8.0</v>
      </c>
    </row>
    <row r="212" ht="15.75" customHeight="1">
      <c r="A212" s="1">
        <v>210.0</v>
      </c>
      <c r="B212" s="1" t="s">
        <v>222</v>
      </c>
      <c r="C212" s="1" t="s">
        <v>12</v>
      </c>
      <c r="D212" s="1">
        <v>7.0</v>
      </c>
      <c r="E212" s="1">
        <v>4.0</v>
      </c>
      <c r="F212" s="4">
        <f t="shared" si="1"/>
        <v>3</v>
      </c>
      <c r="G212" s="5">
        <f t="shared" si="2"/>
        <v>3</v>
      </c>
      <c r="H212" s="5">
        <v>7.0</v>
      </c>
    </row>
    <row r="213" ht="15.75" customHeight="1">
      <c r="A213" s="1">
        <v>211.0</v>
      </c>
      <c r="B213" s="1" t="s">
        <v>223</v>
      </c>
      <c r="C213" s="1" t="s">
        <v>12</v>
      </c>
      <c r="D213" s="1">
        <v>7.0</v>
      </c>
      <c r="E213" s="1">
        <v>4.0</v>
      </c>
      <c r="F213" s="4">
        <f t="shared" si="1"/>
        <v>3</v>
      </c>
      <c r="G213" s="5">
        <f t="shared" si="2"/>
        <v>3</v>
      </c>
      <c r="H213" s="5">
        <v>7.0</v>
      </c>
    </row>
    <row r="214" ht="15.75" customHeight="1">
      <c r="A214" s="1">
        <v>212.0</v>
      </c>
      <c r="B214" s="1" t="s">
        <v>224</v>
      </c>
      <c r="C214" s="1" t="s">
        <v>12</v>
      </c>
      <c r="D214" s="1">
        <v>8.0</v>
      </c>
      <c r="E214" s="1">
        <v>10.0</v>
      </c>
      <c r="F214" s="4">
        <f t="shared" si="1"/>
        <v>-2</v>
      </c>
      <c r="G214" s="5">
        <f t="shared" si="2"/>
        <v>2</v>
      </c>
      <c r="H214" s="5">
        <v>8.0</v>
      </c>
    </row>
    <row r="215" ht="15.75" customHeight="1">
      <c r="A215" s="1">
        <v>213.0</v>
      </c>
      <c r="B215" s="1" t="s">
        <v>225</v>
      </c>
      <c r="C215" s="1" t="s">
        <v>12</v>
      </c>
      <c r="D215" s="1">
        <v>7.0</v>
      </c>
      <c r="E215" s="1">
        <v>9.0</v>
      </c>
      <c r="F215" s="4">
        <f t="shared" si="1"/>
        <v>-2</v>
      </c>
      <c r="G215" s="5">
        <f t="shared" si="2"/>
        <v>2</v>
      </c>
      <c r="H215" s="5">
        <v>7.0</v>
      </c>
    </row>
    <row r="216" ht="15.75" customHeight="1">
      <c r="A216" s="1">
        <v>214.0</v>
      </c>
      <c r="B216" s="1" t="s">
        <v>226</v>
      </c>
      <c r="C216" s="1" t="s">
        <v>12</v>
      </c>
      <c r="D216" s="1">
        <v>9.0</v>
      </c>
      <c r="E216" s="1">
        <v>8.0</v>
      </c>
      <c r="F216" s="4">
        <f t="shared" si="1"/>
        <v>1</v>
      </c>
      <c r="G216" s="5">
        <f t="shared" si="2"/>
        <v>1</v>
      </c>
      <c r="H216" s="5">
        <v>8.0</v>
      </c>
    </row>
    <row r="217" ht="15.75" customHeight="1">
      <c r="A217" s="1">
        <v>215.0</v>
      </c>
      <c r="B217" s="1" t="s">
        <v>227</v>
      </c>
      <c r="C217" s="1" t="s">
        <v>12</v>
      </c>
      <c r="D217" s="1">
        <v>6.0</v>
      </c>
      <c r="E217" s="1">
        <v>6.0</v>
      </c>
      <c r="F217" s="4">
        <f t="shared" si="1"/>
        <v>0</v>
      </c>
      <c r="G217" s="5">
        <f t="shared" si="2"/>
        <v>0</v>
      </c>
      <c r="H217" s="5">
        <v>7.0</v>
      </c>
    </row>
    <row r="218" ht="15.75" customHeight="1">
      <c r="A218" s="1">
        <v>216.0</v>
      </c>
      <c r="B218" s="1" t="s">
        <v>228</v>
      </c>
      <c r="C218" s="1" t="s">
        <v>12</v>
      </c>
      <c r="D218" s="1">
        <v>8.0</v>
      </c>
      <c r="E218" s="1">
        <v>5.0</v>
      </c>
      <c r="F218" s="4">
        <f t="shared" si="1"/>
        <v>3</v>
      </c>
      <c r="G218" s="5">
        <f t="shared" si="2"/>
        <v>3</v>
      </c>
      <c r="H218" s="5">
        <v>8.0</v>
      </c>
    </row>
    <row r="219" ht="15.75" customHeight="1">
      <c r="A219" s="1">
        <v>217.0</v>
      </c>
      <c r="B219" s="1" t="s">
        <v>229</v>
      </c>
      <c r="C219" s="1" t="s">
        <v>12</v>
      </c>
      <c r="D219" s="1">
        <v>7.0</v>
      </c>
      <c r="E219" s="1">
        <v>4.0</v>
      </c>
      <c r="F219" s="4">
        <f t="shared" si="1"/>
        <v>3</v>
      </c>
      <c r="G219" s="5">
        <f t="shared" si="2"/>
        <v>3</v>
      </c>
      <c r="H219" s="5">
        <v>6.0</v>
      </c>
    </row>
    <row r="220" ht="15.75" customHeight="1">
      <c r="A220" s="1">
        <v>218.0</v>
      </c>
      <c r="B220" s="1" t="s">
        <v>230</v>
      </c>
      <c r="C220" s="1" t="s">
        <v>12</v>
      </c>
      <c r="D220" s="1">
        <v>6.0</v>
      </c>
      <c r="E220" s="1">
        <v>4.0</v>
      </c>
      <c r="F220" s="4">
        <f t="shared" si="1"/>
        <v>2</v>
      </c>
      <c r="G220" s="5">
        <f t="shared" si="2"/>
        <v>2</v>
      </c>
      <c r="H220" s="5">
        <v>6.0</v>
      </c>
    </row>
    <row r="221" ht="15.75" customHeight="1">
      <c r="A221" s="1">
        <v>219.0</v>
      </c>
      <c r="B221" s="1" t="s">
        <v>231</v>
      </c>
      <c r="C221" s="1" t="s">
        <v>12</v>
      </c>
      <c r="D221" s="1">
        <v>7.0</v>
      </c>
      <c r="E221" s="1">
        <v>6.0</v>
      </c>
      <c r="F221" s="4">
        <f t="shared" si="1"/>
        <v>1</v>
      </c>
      <c r="G221" s="5">
        <f t="shared" si="2"/>
        <v>1</v>
      </c>
      <c r="H221" s="5">
        <v>7.0</v>
      </c>
    </row>
    <row r="222" ht="15.75" customHeight="1">
      <c r="A222" s="1">
        <v>220.0</v>
      </c>
      <c r="B222" s="1" t="s">
        <v>232</v>
      </c>
      <c r="C222" s="1" t="s">
        <v>12</v>
      </c>
      <c r="D222" s="1">
        <v>8.0</v>
      </c>
      <c r="E222" s="1">
        <v>9.0</v>
      </c>
      <c r="F222" s="4">
        <f t="shared" si="1"/>
        <v>-1</v>
      </c>
      <c r="G222" s="5">
        <f t="shared" si="2"/>
        <v>1</v>
      </c>
      <c r="H222" s="5">
        <v>8.0</v>
      </c>
    </row>
    <row r="223" ht="15.75" customHeight="1">
      <c r="A223" s="1">
        <v>221.0</v>
      </c>
      <c r="B223" s="1" t="s">
        <v>233</v>
      </c>
      <c r="C223" s="1" t="s">
        <v>12</v>
      </c>
      <c r="D223" s="1">
        <v>7.0</v>
      </c>
      <c r="E223" s="1">
        <v>8.0</v>
      </c>
      <c r="F223" s="4">
        <f t="shared" si="1"/>
        <v>-1</v>
      </c>
      <c r="G223" s="5">
        <f t="shared" si="2"/>
        <v>1</v>
      </c>
      <c r="H223" s="5">
        <v>7.0</v>
      </c>
    </row>
    <row r="224" ht="15.75" customHeight="1">
      <c r="A224" s="1">
        <v>222.0</v>
      </c>
      <c r="B224" s="1" t="s">
        <v>234</v>
      </c>
      <c r="C224" s="1" t="s">
        <v>12</v>
      </c>
      <c r="D224" s="1">
        <v>7.0</v>
      </c>
      <c r="E224" s="1">
        <v>8.0</v>
      </c>
      <c r="F224" s="4">
        <f t="shared" si="1"/>
        <v>-1</v>
      </c>
      <c r="G224" s="5">
        <f t="shared" si="2"/>
        <v>1</v>
      </c>
      <c r="H224" s="5">
        <v>7.0</v>
      </c>
    </row>
    <row r="225" ht="15.75" customHeight="1">
      <c r="A225" s="1">
        <v>223.0</v>
      </c>
      <c r="B225" s="1" t="s">
        <v>235</v>
      </c>
      <c r="C225" s="1" t="s">
        <v>12</v>
      </c>
      <c r="D225" s="1">
        <v>6.0</v>
      </c>
      <c r="E225" s="1">
        <v>6.0</v>
      </c>
      <c r="F225" s="4">
        <f t="shared" si="1"/>
        <v>0</v>
      </c>
      <c r="G225" s="5">
        <f t="shared" si="2"/>
        <v>0</v>
      </c>
      <c r="H225" s="5">
        <v>6.0</v>
      </c>
    </row>
    <row r="226" ht="15.75" customHeight="1">
      <c r="A226" s="1">
        <v>224.0</v>
      </c>
      <c r="B226" s="1" t="s">
        <v>236</v>
      </c>
      <c r="C226" s="1" t="s">
        <v>12</v>
      </c>
      <c r="D226" s="1">
        <v>7.0</v>
      </c>
      <c r="E226" s="1">
        <v>7.0</v>
      </c>
      <c r="F226" s="4">
        <f t="shared" si="1"/>
        <v>0</v>
      </c>
      <c r="G226" s="5">
        <f t="shared" si="2"/>
        <v>0</v>
      </c>
      <c r="H226" s="5">
        <v>7.0</v>
      </c>
    </row>
    <row r="227" ht="15.75" customHeight="1">
      <c r="A227" s="1">
        <v>225.0</v>
      </c>
      <c r="B227" s="1" t="s">
        <v>237</v>
      </c>
      <c r="C227" s="1" t="s">
        <v>12</v>
      </c>
      <c r="D227" s="1">
        <v>7.0</v>
      </c>
      <c r="E227" s="1">
        <v>7.0</v>
      </c>
      <c r="F227" s="4">
        <f t="shared" si="1"/>
        <v>0</v>
      </c>
      <c r="G227" s="5">
        <f t="shared" si="2"/>
        <v>0</v>
      </c>
      <c r="H227" s="5">
        <v>7.0</v>
      </c>
    </row>
    <row r="228" ht="15.75" customHeight="1">
      <c r="A228" s="1">
        <v>226.0</v>
      </c>
      <c r="B228" s="1" t="s">
        <v>238</v>
      </c>
      <c r="C228" s="1" t="s">
        <v>12</v>
      </c>
      <c r="D228" s="1">
        <v>6.0</v>
      </c>
      <c r="E228" s="1">
        <v>5.0</v>
      </c>
      <c r="F228" s="4">
        <f t="shared" si="1"/>
        <v>1</v>
      </c>
      <c r="G228" s="5">
        <f t="shared" si="2"/>
        <v>1</v>
      </c>
      <c r="H228" s="5">
        <v>6.0</v>
      </c>
    </row>
    <row r="229" ht="15.75" customHeight="1">
      <c r="A229" s="1">
        <v>227.0</v>
      </c>
      <c r="B229" s="1" t="s">
        <v>239</v>
      </c>
      <c r="C229" s="1" t="s">
        <v>12</v>
      </c>
      <c r="D229" s="1">
        <v>7.0</v>
      </c>
      <c r="E229" s="1">
        <v>6.0</v>
      </c>
      <c r="F229" s="4">
        <f t="shared" si="1"/>
        <v>1</v>
      </c>
      <c r="G229" s="5">
        <f t="shared" si="2"/>
        <v>1</v>
      </c>
      <c r="H229" s="5">
        <v>7.0</v>
      </c>
    </row>
    <row r="230" ht="15.75" customHeight="1">
      <c r="A230" s="1">
        <v>228.0</v>
      </c>
      <c r="B230" s="1" t="s">
        <v>240</v>
      </c>
      <c r="C230" s="1" t="s">
        <v>12</v>
      </c>
      <c r="D230" s="1">
        <v>7.0</v>
      </c>
      <c r="E230" s="1">
        <v>4.0</v>
      </c>
      <c r="F230" s="4">
        <f t="shared" si="1"/>
        <v>3</v>
      </c>
      <c r="G230" s="5">
        <f t="shared" si="2"/>
        <v>3</v>
      </c>
      <c r="H230" s="5">
        <v>7.0</v>
      </c>
    </row>
    <row r="231" ht="15.75" customHeight="1">
      <c r="A231" s="1">
        <v>229.0</v>
      </c>
      <c r="B231" s="1" t="s">
        <v>241</v>
      </c>
      <c r="C231" s="1" t="s">
        <v>12</v>
      </c>
      <c r="D231" s="1">
        <v>7.0</v>
      </c>
      <c r="E231" s="1">
        <v>7.0</v>
      </c>
      <c r="F231" s="4">
        <f t="shared" si="1"/>
        <v>0</v>
      </c>
      <c r="G231" s="5">
        <f t="shared" si="2"/>
        <v>0</v>
      </c>
      <c r="H231" s="5">
        <v>7.0</v>
      </c>
    </row>
    <row r="232" ht="15.75" customHeight="1">
      <c r="A232" s="1">
        <v>230.0</v>
      </c>
      <c r="B232" s="1" t="s">
        <v>242</v>
      </c>
      <c r="C232" s="1" t="s">
        <v>12</v>
      </c>
      <c r="D232" s="1">
        <v>7.0</v>
      </c>
      <c r="E232" s="1">
        <v>5.0</v>
      </c>
      <c r="F232" s="4">
        <f t="shared" si="1"/>
        <v>2</v>
      </c>
      <c r="G232" s="5">
        <f t="shared" si="2"/>
        <v>2</v>
      </c>
      <c r="H232" s="5">
        <v>7.0</v>
      </c>
    </row>
    <row r="233" ht="15.75" customHeight="1">
      <c r="A233" s="1">
        <v>231.0</v>
      </c>
      <c r="B233" s="1" t="s">
        <v>243</v>
      </c>
      <c r="C233" s="1" t="s">
        <v>12</v>
      </c>
      <c r="D233" s="1">
        <v>5.0</v>
      </c>
      <c r="E233" s="1">
        <v>4.0</v>
      </c>
      <c r="F233" s="4">
        <f t="shared" si="1"/>
        <v>1</v>
      </c>
      <c r="G233" s="5">
        <f t="shared" si="2"/>
        <v>1</v>
      </c>
      <c r="H233" s="5">
        <v>5.0</v>
      </c>
    </row>
    <row r="234" ht="15.75" customHeight="1">
      <c r="A234" s="1">
        <v>232.0</v>
      </c>
      <c r="B234" s="1" t="s">
        <v>244</v>
      </c>
      <c r="C234" s="1" t="s">
        <v>12</v>
      </c>
      <c r="D234" s="1">
        <v>8.0</v>
      </c>
      <c r="E234" s="1">
        <v>10.0</v>
      </c>
      <c r="F234" s="4">
        <f t="shared" si="1"/>
        <v>-2</v>
      </c>
      <c r="G234" s="5">
        <f t="shared" si="2"/>
        <v>2</v>
      </c>
      <c r="H234" s="5">
        <v>7.0</v>
      </c>
    </row>
    <row r="235" ht="15.75" customHeight="1">
      <c r="A235" s="1">
        <v>233.0</v>
      </c>
      <c r="B235" s="1" t="s">
        <v>245</v>
      </c>
      <c r="C235" s="1" t="s">
        <v>12</v>
      </c>
      <c r="D235" s="1">
        <v>8.0</v>
      </c>
      <c r="E235" s="1">
        <v>9.0</v>
      </c>
      <c r="F235" s="4">
        <f t="shared" si="1"/>
        <v>-1</v>
      </c>
      <c r="G235" s="5">
        <f t="shared" si="2"/>
        <v>1</v>
      </c>
      <c r="H235" s="5">
        <v>8.0</v>
      </c>
    </row>
    <row r="236" ht="15.75" customHeight="1">
      <c r="A236" s="1">
        <v>234.0</v>
      </c>
      <c r="B236" s="1" t="s">
        <v>246</v>
      </c>
      <c r="C236" s="1" t="s">
        <v>12</v>
      </c>
      <c r="D236" s="1">
        <v>6.0</v>
      </c>
      <c r="E236" s="1">
        <v>9.0</v>
      </c>
      <c r="F236" s="4">
        <f t="shared" si="1"/>
        <v>-3</v>
      </c>
      <c r="G236" s="5">
        <f t="shared" si="2"/>
        <v>3</v>
      </c>
      <c r="H236" s="5">
        <v>7.0</v>
      </c>
    </row>
    <row r="237" ht="15.75" customHeight="1">
      <c r="A237" s="1">
        <v>235.0</v>
      </c>
      <c r="B237" s="1" t="s">
        <v>247</v>
      </c>
      <c r="C237" s="1" t="s">
        <v>12</v>
      </c>
      <c r="D237" s="1">
        <v>8.0</v>
      </c>
      <c r="E237" s="1">
        <v>7.0</v>
      </c>
      <c r="F237" s="4">
        <f t="shared" si="1"/>
        <v>1</v>
      </c>
      <c r="G237" s="5">
        <f t="shared" si="2"/>
        <v>1</v>
      </c>
      <c r="H237" s="5">
        <v>8.0</v>
      </c>
    </row>
    <row r="238" ht="15.75" customHeight="1">
      <c r="A238" s="1">
        <v>236.0</v>
      </c>
      <c r="B238" s="1" t="s">
        <v>248</v>
      </c>
      <c r="C238" s="1" t="s">
        <v>12</v>
      </c>
      <c r="D238" s="1">
        <v>8.0</v>
      </c>
      <c r="E238" s="1">
        <v>9.0</v>
      </c>
      <c r="F238" s="4">
        <f t="shared" si="1"/>
        <v>-1</v>
      </c>
      <c r="G238" s="5">
        <f t="shared" si="2"/>
        <v>1</v>
      </c>
      <c r="H238" s="5">
        <v>8.0</v>
      </c>
    </row>
    <row r="239" ht="15.75" customHeight="1">
      <c r="A239" s="1">
        <v>237.0</v>
      </c>
      <c r="B239" s="1" t="s">
        <v>249</v>
      </c>
      <c r="C239" s="1" t="s">
        <v>12</v>
      </c>
      <c r="D239" s="1">
        <v>5.0</v>
      </c>
      <c r="E239" s="1">
        <v>5.0</v>
      </c>
      <c r="F239" s="4">
        <f t="shared" si="1"/>
        <v>0</v>
      </c>
      <c r="G239" s="5">
        <f t="shared" si="2"/>
        <v>0</v>
      </c>
      <c r="H239" s="5">
        <v>4.0</v>
      </c>
    </row>
    <row r="240" ht="15.75" customHeight="1">
      <c r="A240" s="1">
        <v>238.0</v>
      </c>
      <c r="B240" s="1" t="s">
        <v>250</v>
      </c>
      <c r="C240" s="1" t="s">
        <v>12</v>
      </c>
      <c r="D240" s="1">
        <v>7.0</v>
      </c>
      <c r="E240" s="1">
        <v>8.0</v>
      </c>
      <c r="F240" s="4">
        <f t="shared" si="1"/>
        <v>-1</v>
      </c>
      <c r="G240" s="5">
        <f t="shared" si="2"/>
        <v>1</v>
      </c>
      <c r="H240" s="5">
        <v>6.0</v>
      </c>
    </row>
    <row r="241" ht="15.75" customHeight="1">
      <c r="A241" s="1">
        <v>239.0</v>
      </c>
      <c r="B241" s="1" t="s">
        <v>251</v>
      </c>
      <c r="C241" s="1" t="s">
        <v>12</v>
      </c>
      <c r="D241" s="1">
        <v>7.0</v>
      </c>
      <c r="E241" s="1">
        <v>5.0</v>
      </c>
      <c r="F241" s="4">
        <f t="shared" si="1"/>
        <v>2</v>
      </c>
      <c r="G241" s="5">
        <f t="shared" si="2"/>
        <v>2</v>
      </c>
      <c r="H241" s="5">
        <v>7.0</v>
      </c>
    </row>
    <row r="242" ht="15.75" customHeight="1">
      <c r="A242" s="1">
        <v>240.0</v>
      </c>
      <c r="B242" s="1" t="s">
        <v>252</v>
      </c>
      <c r="C242" s="1" t="s">
        <v>12</v>
      </c>
      <c r="D242" s="1">
        <v>8.0</v>
      </c>
      <c r="E242" s="1">
        <v>7.0</v>
      </c>
      <c r="F242" s="4">
        <f t="shared" si="1"/>
        <v>1</v>
      </c>
      <c r="G242" s="5">
        <f t="shared" si="2"/>
        <v>1</v>
      </c>
      <c r="H242" s="5">
        <v>8.0</v>
      </c>
    </row>
    <row r="243" ht="15.75" customHeight="1">
      <c r="A243" s="1">
        <v>241.0</v>
      </c>
      <c r="B243" s="1" t="s">
        <v>253</v>
      </c>
      <c r="C243" s="1" t="s">
        <v>12</v>
      </c>
      <c r="D243" s="1">
        <v>6.0</v>
      </c>
      <c r="E243" s="1">
        <v>3.0</v>
      </c>
      <c r="F243" s="4">
        <f t="shared" si="1"/>
        <v>3</v>
      </c>
      <c r="G243" s="5">
        <f t="shared" si="2"/>
        <v>3</v>
      </c>
      <c r="H243" s="5">
        <v>7.0</v>
      </c>
    </row>
    <row r="244" ht="15.75" customHeight="1">
      <c r="A244" s="1">
        <v>242.0</v>
      </c>
      <c r="B244" s="1" t="s">
        <v>254</v>
      </c>
      <c r="C244" s="1" t="s">
        <v>12</v>
      </c>
      <c r="D244" s="1">
        <v>7.0</v>
      </c>
      <c r="E244" s="1">
        <v>7.0</v>
      </c>
      <c r="F244" s="4">
        <f t="shared" si="1"/>
        <v>0</v>
      </c>
      <c r="G244" s="5">
        <f t="shared" si="2"/>
        <v>0</v>
      </c>
      <c r="H244" s="5">
        <v>7.0</v>
      </c>
    </row>
    <row r="245" ht="15.75" customHeight="1">
      <c r="A245" s="1">
        <v>243.0</v>
      </c>
      <c r="B245" s="1" t="s">
        <v>255</v>
      </c>
      <c r="C245" s="1" t="s">
        <v>12</v>
      </c>
      <c r="D245" s="1">
        <v>7.0</v>
      </c>
      <c r="E245" s="1">
        <v>5.0</v>
      </c>
      <c r="F245" s="4">
        <f t="shared" si="1"/>
        <v>2</v>
      </c>
      <c r="G245" s="5">
        <f t="shared" si="2"/>
        <v>2</v>
      </c>
      <c r="H245" s="5">
        <v>7.0</v>
      </c>
    </row>
    <row r="246" ht="15.75" customHeight="1">
      <c r="A246" s="1">
        <v>244.0</v>
      </c>
      <c r="B246" s="1" t="s">
        <v>256</v>
      </c>
      <c r="C246" s="1" t="s">
        <v>12</v>
      </c>
      <c r="D246" s="1">
        <v>8.0</v>
      </c>
      <c r="E246" s="1">
        <v>7.0</v>
      </c>
      <c r="F246" s="4">
        <f t="shared" si="1"/>
        <v>1</v>
      </c>
      <c r="G246" s="5">
        <f t="shared" si="2"/>
        <v>1</v>
      </c>
      <c r="H246" s="5">
        <v>8.0</v>
      </c>
    </row>
    <row r="247" ht="15.75" customHeight="1">
      <c r="A247" s="1">
        <v>245.0</v>
      </c>
      <c r="B247" s="1" t="s">
        <v>257</v>
      </c>
      <c r="C247" s="1" t="s">
        <v>12</v>
      </c>
      <c r="D247" s="1">
        <v>7.0</v>
      </c>
      <c r="E247" s="1">
        <v>7.0</v>
      </c>
      <c r="F247" s="4">
        <f t="shared" si="1"/>
        <v>0</v>
      </c>
      <c r="G247" s="5">
        <f t="shared" si="2"/>
        <v>0</v>
      </c>
      <c r="H247" s="5">
        <v>7.0</v>
      </c>
    </row>
    <row r="248" ht="15.75" customHeight="1">
      <c r="A248" s="1">
        <v>246.0</v>
      </c>
      <c r="B248" s="1" t="s">
        <v>258</v>
      </c>
      <c r="C248" s="1" t="s">
        <v>12</v>
      </c>
      <c r="D248" s="1">
        <v>2.0</v>
      </c>
      <c r="E248" s="1">
        <v>4.0</v>
      </c>
      <c r="F248" s="4">
        <f t="shared" si="1"/>
        <v>-2</v>
      </c>
      <c r="G248" s="5">
        <f t="shared" si="2"/>
        <v>2</v>
      </c>
      <c r="H248" s="5">
        <v>2.0</v>
      </c>
    </row>
    <row r="249" ht="15.75" customHeight="1">
      <c r="A249" s="1">
        <v>247.0</v>
      </c>
      <c r="B249" s="1" t="s">
        <v>259</v>
      </c>
      <c r="C249" s="1" t="s">
        <v>12</v>
      </c>
      <c r="D249" s="1">
        <v>5.0</v>
      </c>
      <c r="E249" s="1">
        <v>6.0</v>
      </c>
      <c r="F249" s="4">
        <f t="shared" si="1"/>
        <v>-1</v>
      </c>
      <c r="G249" s="5">
        <f t="shared" si="2"/>
        <v>1</v>
      </c>
      <c r="H249" s="5">
        <v>5.0</v>
      </c>
    </row>
    <row r="250" ht="15.75" customHeight="1">
      <c r="A250" s="1">
        <v>248.0</v>
      </c>
      <c r="B250" s="1" t="s">
        <v>260</v>
      </c>
      <c r="C250" s="1" t="s">
        <v>12</v>
      </c>
      <c r="D250" s="1">
        <v>7.0</v>
      </c>
      <c r="E250" s="1">
        <v>8.0</v>
      </c>
      <c r="F250" s="4">
        <f t="shared" si="1"/>
        <v>-1</v>
      </c>
      <c r="G250" s="5">
        <f t="shared" si="2"/>
        <v>1</v>
      </c>
      <c r="H250" s="5">
        <v>7.0</v>
      </c>
    </row>
    <row r="251" ht="15.75" customHeight="1">
      <c r="A251" s="1">
        <v>249.0</v>
      </c>
      <c r="B251" s="1" t="s">
        <v>261</v>
      </c>
      <c r="C251" s="1" t="s">
        <v>12</v>
      </c>
      <c r="D251" s="1">
        <v>5.0</v>
      </c>
      <c r="E251" s="1">
        <v>5.0</v>
      </c>
      <c r="F251" s="4">
        <f t="shared" si="1"/>
        <v>0</v>
      </c>
      <c r="G251" s="5">
        <f t="shared" si="2"/>
        <v>0</v>
      </c>
      <c r="H251" s="5">
        <v>4.0</v>
      </c>
    </row>
    <row r="252" ht="15.75" customHeight="1">
      <c r="A252" s="1">
        <v>250.0</v>
      </c>
      <c r="B252" s="1" t="s">
        <v>262</v>
      </c>
      <c r="C252" s="1" t="s">
        <v>12</v>
      </c>
      <c r="D252" s="1">
        <v>5.0</v>
      </c>
      <c r="E252" s="1">
        <v>4.0</v>
      </c>
      <c r="F252" s="4">
        <f t="shared" si="1"/>
        <v>1</v>
      </c>
      <c r="G252" s="5">
        <f t="shared" si="2"/>
        <v>1</v>
      </c>
      <c r="H252" s="5">
        <v>5.0</v>
      </c>
    </row>
    <row r="253" ht="15.75" customHeight="1">
      <c r="A253" s="1">
        <v>251.0</v>
      </c>
      <c r="B253" s="1" t="s">
        <v>263</v>
      </c>
      <c r="C253" s="1" t="s">
        <v>12</v>
      </c>
      <c r="D253" s="1">
        <v>7.0</v>
      </c>
      <c r="E253" s="1">
        <v>9.0</v>
      </c>
      <c r="F253" s="4">
        <f t="shared" si="1"/>
        <v>-2</v>
      </c>
      <c r="G253" s="5">
        <f t="shared" si="2"/>
        <v>2</v>
      </c>
      <c r="H253" s="5">
        <v>7.0</v>
      </c>
    </row>
    <row r="254" ht="15.75" customHeight="1">
      <c r="A254" s="1">
        <v>252.0</v>
      </c>
      <c r="B254" s="1" t="s">
        <v>264</v>
      </c>
      <c r="C254" s="1" t="s">
        <v>12</v>
      </c>
      <c r="D254" s="1">
        <v>6.0</v>
      </c>
      <c r="E254" s="1">
        <v>3.0</v>
      </c>
      <c r="F254" s="4">
        <f t="shared" si="1"/>
        <v>3</v>
      </c>
      <c r="G254" s="5">
        <f t="shared" si="2"/>
        <v>3</v>
      </c>
      <c r="H254" s="5">
        <v>6.0</v>
      </c>
    </row>
    <row r="255" ht="15.75" customHeight="1">
      <c r="A255" s="1">
        <v>253.0</v>
      </c>
      <c r="B255" s="1" t="s">
        <v>265</v>
      </c>
      <c r="C255" s="1" t="s">
        <v>12</v>
      </c>
      <c r="D255" s="1">
        <v>7.0</v>
      </c>
      <c r="E255" s="1">
        <v>5.0</v>
      </c>
      <c r="F255" s="4">
        <f t="shared" si="1"/>
        <v>2</v>
      </c>
      <c r="G255" s="5">
        <f t="shared" si="2"/>
        <v>2</v>
      </c>
      <c r="H255" s="5">
        <v>7.0</v>
      </c>
    </row>
    <row r="256" ht="15.75" customHeight="1">
      <c r="A256" s="1">
        <v>254.0</v>
      </c>
      <c r="B256" s="1" t="s">
        <v>266</v>
      </c>
      <c r="C256" s="1" t="s">
        <v>12</v>
      </c>
      <c r="D256" s="1">
        <v>8.0</v>
      </c>
      <c r="E256" s="1">
        <v>6.0</v>
      </c>
      <c r="F256" s="4">
        <f t="shared" si="1"/>
        <v>2</v>
      </c>
      <c r="G256" s="5">
        <f t="shared" si="2"/>
        <v>2</v>
      </c>
      <c r="H256" s="5">
        <v>8.0</v>
      </c>
    </row>
    <row r="257" ht="15.75" customHeight="1">
      <c r="A257" s="1">
        <v>255.0</v>
      </c>
      <c r="B257" s="1" t="s">
        <v>267</v>
      </c>
      <c r="C257" s="1" t="s">
        <v>12</v>
      </c>
      <c r="D257" s="1">
        <v>7.0</v>
      </c>
      <c r="E257" s="1">
        <v>7.0</v>
      </c>
      <c r="F257" s="4">
        <f t="shared" si="1"/>
        <v>0</v>
      </c>
      <c r="G257" s="5">
        <f t="shared" si="2"/>
        <v>0</v>
      </c>
      <c r="H257" s="5">
        <v>7.0</v>
      </c>
    </row>
    <row r="258" ht="15.75" customHeight="1">
      <c r="A258" s="1">
        <v>256.0</v>
      </c>
      <c r="B258" s="1" t="s">
        <v>268</v>
      </c>
      <c r="C258" s="1" t="s">
        <v>12</v>
      </c>
      <c r="D258" s="1">
        <v>7.0</v>
      </c>
      <c r="E258" s="1">
        <v>6.0</v>
      </c>
      <c r="F258" s="4">
        <f t="shared" si="1"/>
        <v>1</v>
      </c>
      <c r="G258" s="5">
        <f t="shared" si="2"/>
        <v>1</v>
      </c>
      <c r="H258" s="5">
        <v>7.0</v>
      </c>
    </row>
    <row r="259" ht="15.75" customHeight="1">
      <c r="A259" s="1">
        <v>257.0</v>
      </c>
      <c r="B259" s="1" t="s">
        <v>269</v>
      </c>
      <c r="C259" s="1" t="s">
        <v>12</v>
      </c>
      <c r="D259" s="1">
        <v>6.0</v>
      </c>
      <c r="E259" s="1">
        <v>3.0</v>
      </c>
      <c r="F259" s="4">
        <f t="shared" si="1"/>
        <v>3</v>
      </c>
      <c r="G259" s="5">
        <f t="shared" si="2"/>
        <v>3</v>
      </c>
      <c r="H259" s="5">
        <v>6.0</v>
      </c>
    </row>
    <row r="260" ht="15.75" customHeight="1">
      <c r="A260" s="1">
        <v>258.0</v>
      </c>
      <c r="B260" s="1" t="s">
        <v>270</v>
      </c>
      <c r="C260" s="1" t="s">
        <v>12</v>
      </c>
      <c r="D260" s="1">
        <v>7.0</v>
      </c>
      <c r="E260" s="1">
        <v>5.0</v>
      </c>
      <c r="F260" s="4">
        <f t="shared" si="1"/>
        <v>2</v>
      </c>
      <c r="G260" s="5">
        <f t="shared" si="2"/>
        <v>2</v>
      </c>
      <c r="H260" s="5">
        <v>7.0</v>
      </c>
    </row>
    <row r="261" ht="15.75" customHeight="1">
      <c r="A261" s="1">
        <v>259.0</v>
      </c>
      <c r="B261" s="1" t="s">
        <v>271</v>
      </c>
      <c r="C261" s="1" t="s">
        <v>12</v>
      </c>
      <c r="D261" s="1">
        <v>8.0</v>
      </c>
      <c r="E261" s="1">
        <v>10.0</v>
      </c>
      <c r="F261" s="4">
        <f t="shared" si="1"/>
        <v>-2</v>
      </c>
      <c r="G261" s="5">
        <f t="shared" si="2"/>
        <v>2</v>
      </c>
      <c r="H261" s="5">
        <v>8.0</v>
      </c>
    </row>
    <row r="262" ht="15.75" customHeight="1">
      <c r="A262" s="1">
        <v>260.0</v>
      </c>
      <c r="B262" s="1" t="s">
        <v>272</v>
      </c>
      <c r="C262" s="1" t="s">
        <v>12</v>
      </c>
      <c r="D262" s="1">
        <v>8.0</v>
      </c>
      <c r="E262" s="1">
        <v>9.0</v>
      </c>
      <c r="F262" s="4">
        <f t="shared" si="1"/>
        <v>-1</v>
      </c>
      <c r="G262" s="5">
        <f t="shared" si="2"/>
        <v>1</v>
      </c>
      <c r="H262" s="5">
        <v>8.0</v>
      </c>
    </row>
    <row r="263" ht="15.75" customHeight="1">
      <c r="A263" s="1">
        <v>261.0</v>
      </c>
      <c r="B263" s="1" t="s">
        <v>273</v>
      </c>
      <c r="C263" s="1" t="s">
        <v>12</v>
      </c>
      <c r="D263" s="1">
        <v>8.0</v>
      </c>
      <c r="E263" s="1">
        <v>8.0</v>
      </c>
      <c r="F263" s="4">
        <f t="shared" si="1"/>
        <v>0</v>
      </c>
      <c r="G263" s="5">
        <f t="shared" si="2"/>
        <v>0</v>
      </c>
      <c r="H263" s="5">
        <v>8.0</v>
      </c>
    </row>
    <row r="264" ht="15.75" customHeight="1">
      <c r="A264" s="1">
        <v>262.0</v>
      </c>
      <c r="B264" s="1" t="s">
        <v>274</v>
      </c>
      <c r="C264" s="1" t="s">
        <v>12</v>
      </c>
      <c r="D264" s="1">
        <v>8.0</v>
      </c>
      <c r="E264" s="1">
        <v>8.0</v>
      </c>
      <c r="F264" s="4">
        <f t="shared" si="1"/>
        <v>0</v>
      </c>
      <c r="G264" s="5">
        <f t="shared" si="2"/>
        <v>0</v>
      </c>
      <c r="H264" s="5">
        <v>7.0</v>
      </c>
    </row>
    <row r="265" ht="15.75" customHeight="1">
      <c r="A265" s="1">
        <v>263.0</v>
      </c>
      <c r="B265" s="1" t="s">
        <v>275</v>
      </c>
      <c r="C265" s="1" t="s">
        <v>12</v>
      </c>
      <c r="D265" s="1">
        <v>6.0</v>
      </c>
      <c r="E265" s="1">
        <v>4.0</v>
      </c>
      <c r="F265" s="4">
        <f t="shared" si="1"/>
        <v>2</v>
      </c>
      <c r="G265" s="5">
        <f t="shared" si="2"/>
        <v>2</v>
      </c>
      <c r="H265" s="5">
        <v>6.0</v>
      </c>
    </row>
    <row r="266" ht="15.75" customHeight="1">
      <c r="A266" s="1">
        <v>264.0</v>
      </c>
      <c r="B266" s="1" t="s">
        <v>276</v>
      </c>
      <c r="C266" s="1" t="s">
        <v>12</v>
      </c>
      <c r="D266" s="1">
        <v>6.0</v>
      </c>
      <c r="E266" s="1">
        <v>7.0</v>
      </c>
      <c r="F266" s="4">
        <f t="shared" si="1"/>
        <v>-1</v>
      </c>
      <c r="G266" s="5">
        <f t="shared" si="2"/>
        <v>1</v>
      </c>
      <c r="H266" s="5">
        <v>6.0</v>
      </c>
    </row>
    <row r="267" ht="15.75" customHeight="1">
      <c r="A267" s="1">
        <v>265.0</v>
      </c>
      <c r="B267" s="1" t="s">
        <v>277</v>
      </c>
      <c r="C267" s="1" t="s">
        <v>12</v>
      </c>
      <c r="D267" s="1">
        <v>6.0</v>
      </c>
      <c r="E267" s="1">
        <v>3.0</v>
      </c>
      <c r="F267" s="4">
        <f t="shared" si="1"/>
        <v>3</v>
      </c>
      <c r="G267" s="5">
        <f t="shared" si="2"/>
        <v>3</v>
      </c>
      <c r="H267" s="5">
        <v>6.0</v>
      </c>
    </row>
    <row r="268" ht="15.75" customHeight="1">
      <c r="A268" s="1">
        <v>266.0</v>
      </c>
      <c r="B268" s="1" t="s">
        <v>278</v>
      </c>
      <c r="C268" s="1" t="s">
        <v>12</v>
      </c>
      <c r="D268" s="1">
        <v>0.0</v>
      </c>
      <c r="E268" s="1">
        <v>0.0</v>
      </c>
      <c r="F268" s="4">
        <f t="shared" si="1"/>
        <v>0</v>
      </c>
      <c r="G268" s="5">
        <f t="shared" si="2"/>
        <v>0</v>
      </c>
      <c r="H268" s="5">
        <v>0.0</v>
      </c>
    </row>
    <row r="269" ht="15.75" customHeight="1">
      <c r="A269" s="1">
        <v>267.0</v>
      </c>
      <c r="B269" s="1" t="s">
        <v>279</v>
      </c>
      <c r="C269" s="1" t="s">
        <v>12</v>
      </c>
      <c r="D269" s="1">
        <v>7.0</v>
      </c>
      <c r="E269" s="1">
        <v>5.0</v>
      </c>
      <c r="F269" s="4">
        <f t="shared" si="1"/>
        <v>2</v>
      </c>
      <c r="G269" s="5">
        <f t="shared" si="2"/>
        <v>2</v>
      </c>
      <c r="H269" s="5">
        <v>7.0</v>
      </c>
    </row>
    <row r="270" ht="15.75" customHeight="1">
      <c r="A270" s="1">
        <v>268.0</v>
      </c>
      <c r="B270" s="1" t="s">
        <v>280</v>
      </c>
      <c r="C270" s="1" t="s">
        <v>12</v>
      </c>
      <c r="D270" s="1">
        <v>5.0</v>
      </c>
      <c r="E270" s="1">
        <v>3.0</v>
      </c>
      <c r="F270" s="4">
        <f t="shared" si="1"/>
        <v>2</v>
      </c>
      <c r="G270" s="5">
        <f t="shared" si="2"/>
        <v>2</v>
      </c>
      <c r="H270" s="5">
        <v>5.0</v>
      </c>
    </row>
    <row r="271" ht="15.75" customHeight="1">
      <c r="A271" s="1">
        <v>269.0</v>
      </c>
      <c r="B271" s="1" t="s">
        <v>281</v>
      </c>
      <c r="C271" s="1" t="s">
        <v>12</v>
      </c>
      <c r="D271" s="1">
        <v>5.0</v>
      </c>
      <c r="E271" s="1">
        <v>4.0</v>
      </c>
      <c r="F271" s="4">
        <f t="shared" si="1"/>
        <v>1</v>
      </c>
      <c r="G271" s="5">
        <f t="shared" si="2"/>
        <v>1</v>
      </c>
      <c r="H271" s="5">
        <v>5.0</v>
      </c>
    </row>
    <row r="272" ht="15.75" customHeight="1">
      <c r="A272" s="1">
        <v>270.0</v>
      </c>
      <c r="B272" s="1" t="s">
        <v>282</v>
      </c>
      <c r="C272" s="1" t="s">
        <v>12</v>
      </c>
      <c r="D272" s="1">
        <v>4.0</v>
      </c>
      <c r="E272" s="1">
        <v>2.0</v>
      </c>
      <c r="F272" s="4">
        <f t="shared" si="1"/>
        <v>2</v>
      </c>
      <c r="G272" s="5">
        <f t="shared" si="2"/>
        <v>2</v>
      </c>
      <c r="H272" s="5">
        <v>3.0</v>
      </c>
    </row>
    <row r="273" ht="15.75" customHeight="1">
      <c r="A273" s="1">
        <v>271.0</v>
      </c>
      <c r="B273" s="1" t="s">
        <v>283</v>
      </c>
      <c r="C273" s="1" t="s">
        <v>12</v>
      </c>
      <c r="D273" s="1">
        <v>7.0</v>
      </c>
      <c r="E273" s="1">
        <v>4.0</v>
      </c>
      <c r="F273" s="4">
        <f t="shared" si="1"/>
        <v>3</v>
      </c>
      <c r="G273" s="5">
        <f t="shared" si="2"/>
        <v>3</v>
      </c>
      <c r="H273" s="5">
        <v>7.0</v>
      </c>
    </row>
    <row r="274" ht="15.75" customHeight="1">
      <c r="A274" s="1">
        <v>272.0</v>
      </c>
      <c r="B274" s="1" t="s">
        <v>284</v>
      </c>
      <c r="C274" s="1" t="s">
        <v>12</v>
      </c>
      <c r="D274" s="1">
        <v>6.0</v>
      </c>
      <c r="E274" s="1">
        <v>6.0</v>
      </c>
      <c r="F274" s="4">
        <f t="shared" si="1"/>
        <v>0</v>
      </c>
      <c r="G274" s="5">
        <f t="shared" si="2"/>
        <v>0</v>
      </c>
      <c r="H274" s="5">
        <v>5.0</v>
      </c>
    </row>
    <row r="275" ht="15.75" customHeight="1">
      <c r="A275" s="1">
        <v>273.0</v>
      </c>
      <c r="B275" s="1" t="s">
        <v>285</v>
      </c>
      <c r="C275" s="1" t="s">
        <v>12</v>
      </c>
      <c r="D275" s="1">
        <v>5.0</v>
      </c>
      <c r="E275" s="1">
        <v>3.0</v>
      </c>
      <c r="F275" s="4">
        <f t="shared" si="1"/>
        <v>2</v>
      </c>
      <c r="G275" s="5">
        <f t="shared" si="2"/>
        <v>2</v>
      </c>
      <c r="H275" s="5">
        <v>5.0</v>
      </c>
    </row>
    <row r="276" ht="15.75" customHeight="1">
      <c r="A276" s="1">
        <v>274.0</v>
      </c>
      <c r="B276" s="1" t="s">
        <v>286</v>
      </c>
      <c r="C276" s="1" t="s">
        <v>12</v>
      </c>
      <c r="D276" s="1">
        <v>7.0</v>
      </c>
      <c r="E276" s="1">
        <v>8.0</v>
      </c>
      <c r="F276" s="4">
        <f t="shared" si="1"/>
        <v>-1</v>
      </c>
      <c r="G276" s="5">
        <f t="shared" si="2"/>
        <v>1</v>
      </c>
      <c r="H276" s="5">
        <v>7.0</v>
      </c>
    </row>
    <row r="277" ht="15.75" customHeight="1">
      <c r="A277" s="1">
        <v>275.0</v>
      </c>
      <c r="B277" s="1" t="s">
        <v>287</v>
      </c>
      <c r="C277" s="1" t="s">
        <v>12</v>
      </c>
      <c r="D277" s="1">
        <v>7.0</v>
      </c>
      <c r="E277" s="1">
        <v>6.0</v>
      </c>
      <c r="F277" s="4">
        <f t="shared" si="1"/>
        <v>1</v>
      </c>
      <c r="G277" s="5">
        <f t="shared" si="2"/>
        <v>1</v>
      </c>
      <c r="H277" s="5">
        <v>7.0</v>
      </c>
    </row>
    <row r="278" ht="15.75" customHeight="1">
      <c r="A278" s="1">
        <v>276.0</v>
      </c>
      <c r="B278" s="1" t="s">
        <v>288</v>
      </c>
      <c r="C278" s="1" t="s">
        <v>12</v>
      </c>
      <c r="D278" s="1">
        <v>5.0</v>
      </c>
      <c r="E278" s="1">
        <v>5.0</v>
      </c>
      <c r="F278" s="4">
        <f t="shared" si="1"/>
        <v>0</v>
      </c>
      <c r="G278" s="5">
        <f t="shared" si="2"/>
        <v>0</v>
      </c>
      <c r="H278" s="5">
        <v>6.0</v>
      </c>
    </row>
    <row r="279" ht="15.75" customHeight="1">
      <c r="A279" s="1">
        <v>277.0</v>
      </c>
      <c r="B279" s="1" t="s">
        <v>289</v>
      </c>
      <c r="C279" s="1" t="s">
        <v>12</v>
      </c>
      <c r="D279" s="1">
        <v>5.0</v>
      </c>
      <c r="E279" s="1">
        <v>4.0</v>
      </c>
      <c r="F279" s="4">
        <f t="shared" si="1"/>
        <v>1</v>
      </c>
      <c r="G279" s="5">
        <f t="shared" si="2"/>
        <v>1</v>
      </c>
      <c r="H279" s="5">
        <v>5.0</v>
      </c>
    </row>
    <row r="280" ht="15.75" customHeight="1">
      <c r="A280" s="1">
        <v>278.0</v>
      </c>
      <c r="B280" s="1" t="s">
        <v>290</v>
      </c>
      <c r="C280" s="1" t="s">
        <v>12</v>
      </c>
      <c r="D280" s="1">
        <v>8.0</v>
      </c>
      <c r="E280" s="1">
        <v>9.0</v>
      </c>
      <c r="F280" s="4">
        <f t="shared" si="1"/>
        <v>-1</v>
      </c>
      <c r="G280" s="5">
        <f t="shared" si="2"/>
        <v>1</v>
      </c>
      <c r="H280" s="5">
        <v>8.0</v>
      </c>
    </row>
    <row r="281" ht="15.75" customHeight="1">
      <c r="A281" s="1">
        <v>279.0</v>
      </c>
      <c r="B281" s="1" t="s">
        <v>291</v>
      </c>
      <c r="C281" s="1" t="s">
        <v>12</v>
      </c>
      <c r="D281" s="1">
        <v>7.0</v>
      </c>
      <c r="E281" s="1">
        <v>7.0</v>
      </c>
      <c r="F281" s="4">
        <f t="shared" si="1"/>
        <v>0</v>
      </c>
      <c r="G281" s="5">
        <f t="shared" si="2"/>
        <v>0</v>
      </c>
      <c r="H281" s="5">
        <v>7.0</v>
      </c>
    </row>
    <row r="282" ht="15.75" customHeight="1">
      <c r="A282" s="1">
        <v>280.0</v>
      </c>
      <c r="B282" s="1" t="s">
        <v>292</v>
      </c>
      <c r="C282" s="1" t="s">
        <v>12</v>
      </c>
      <c r="D282" s="1">
        <v>8.0</v>
      </c>
      <c r="E282" s="1">
        <v>9.0</v>
      </c>
      <c r="F282" s="4">
        <f t="shared" si="1"/>
        <v>-1</v>
      </c>
      <c r="G282" s="5">
        <f t="shared" si="2"/>
        <v>1</v>
      </c>
      <c r="H282" s="5">
        <v>8.0</v>
      </c>
    </row>
    <row r="283" ht="15.75" customHeight="1">
      <c r="A283" s="1">
        <v>281.0</v>
      </c>
      <c r="B283" s="1" t="s">
        <v>293</v>
      </c>
      <c r="C283" s="1" t="s">
        <v>12</v>
      </c>
      <c r="D283" s="1">
        <v>7.0</v>
      </c>
      <c r="E283" s="1">
        <v>7.0</v>
      </c>
      <c r="F283" s="4">
        <f t="shared" si="1"/>
        <v>0</v>
      </c>
      <c r="G283" s="5">
        <f t="shared" si="2"/>
        <v>0</v>
      </c>
      <c r="H283" s="5">
        <v>7.0</v>
      </c>
    </row>
    <row r="284" ht="15.75" customHeight="1">
      <c r="A284" s="1">
        <v>282.0</v>
      </c>
      <c r="B284" s="1" t="s">
        <v>294</v>
      </c>
      <c r="C284" s="1" t="s">
        <v>12</v>
      </c>
      <c r="D284" s="1">
        <v>7.0</v>
      </c>
      <c r="E284" s="1">
        <v>8.0</v>
      </c>
      <c r="F284" s="4">
        <f t="shared" si="1"/>
        <v>-1</v>
      </c>
      <c r="G284" s="5">
        <f t="shared" si="2"/>
        <v>1</v>
      </c>
      <c r="H284" s="5">
        <v>7.0</v>
      </c>
    </row>
    <row r="285" ht="15.75" customHeight="1">
      <c r="A285" s="1">
        <v>283.0</v>
      </c>
      <c r="B285" s="1" t="s">
        <v>295</v>
      </c>
      <c r="C285" s="1" t="s">
        <v>12</v>
      </c>
      <c r="D285" s="1">
        <v>6.0</v>
      </c>
      <c r="E285" s="1">
        <v>6.0</v>
      </c>
      <c r="F285" s="4">
        <f t="shared" si="1"/>
        <v>0</v>
      </c>
      <c r="G285" s="5">
        <f t="shared" si="2"/>
        <v>0</v>
      </c>
      <c r="H285" s="5">
        <v>6.0</v>
      </c>
    </row>
    <row r="286" ht="15.75" customHeight="1">
      <c r="A286" s="1">
        <v>284.0</v>
      </c>
      <c r="B286" s="1" t="s">
        <v>296</v>
      </c>
      <c r="C286" s="1" t="s">
        <v>12</v>
      </c>
      <c r="D286" s="1">
        <v>5.0</v>
      </c>
      <c r="E286" s="1">
        <v>4.0</v>
      </c>
      <c r="F286" s="4">
        <f t="shared" si="1"/>
        <v>1</v>
      </c>
      <c r="G286" s="5">
        <f t="shared" si="2"/>
        <v>1</v>
      </c>
      <c r="H286" s="5">
        <v>4.0</v>
      </c>
    </row>
    <row r="287" ht="15.75" customHeight="1">
      <c r="A287" s="1">
        <v>285.0</v>
      </c>
      <c r="B287" s="1" t="s">
        <v>297</v>
      </c>
      <c r="C287" s="1" t="s">
        <v>12</v>
      </c>
      <c r="D287" s="1">
        <v>8.0</v>
      </c>
      <c r="E287" s="1">
        <v>6.0</v>
      </c>
      <c r="F287" s="4">
        <f t="shared" si="1"/>
        <v>2</v>
      </c>
      <c r="G287" s="5">
        <f t="shared" si="2"/>
        <v>2</v>
      </c>
      <c r="H287" s="5">
        <v>7.0</v>
      </c>
    </row>
    <row r="288" ht="15.75" customHeight="1">
      <c r="A288" s="1">
        <v>286.0</v>
      </c>
      <c r="B288" s="1" t="s">
        <v>298</v>
      </c>
      <c r="C288" s="1" t="s">
        <v>12</v>
      </c>
      <c r="D288" s="1">
        <v>8.0</v>
      </c>
      <c r="E288" s="1">
        <v>7.0</v>
      </c>
      <c r="F288" s="4">
        <f t="shared" si="1"/>
        <v>1</v>
      </c>
      <c r="G288" s="5">
        <f t="shared" si="2"/>
        <v>1</v>
      </c>
      <c r="H288" s="5">
        <v>8.0</v>
      </c>
    </row>
    <row r="289" ht="15.75" customHeight="1">
      <c r="A289" s="1">
        <v>287.0</v>
      </c>
      <c r="B289" s="1" t="s">
        <v>299</v>
      </c>
      <c r="C289" s="1" t="s">
        <v>12</v>
      </c>
      <c r="D289" s="1">
        <v>8.0</v>
      </c>
      <c r="E289" s="1">
        <v>8.0</v>
      </c>
      <c r="F289" s="4">
        <f t="shared" si="1"/>
        <v>0</v>
      </c>
      <c r="G289" s="5">
        <f t="shared" si="2"/>
        <v>0</v>
      </c>
      <c r="H289" s="5">
        <v>8.0</v>
      </c>
    </row>
    <row r="290" ht="15.75" customHeight="1">
      <c r="A290" s="1">
        <v>288.0</v>
      </c>
      <c r="B290" s="1" t="s">
        <v>300</v>
      </c>
      <c r="C290" s="1" t="s">
        <v>12</v>
      </c>
      <c r="D290" s="1">
        <v>6.0</v>
      </c>
      <c r="E290" s="1">
        <v>6.0</v>
      </c>
      <c r="F290" s="4">
        <f t="shared" si="1"/>
        <v>0</v>
      </c>
      <c r="G290" s="5">
        <f t="shared" si="2"/>
        <v>0</v>
      </c>
      <c r="H290" s="5">
        <v>6.0</v>
      </c>
    </row>
    <row r="291" ht="15.75" customHeight="1">
      <c r="A291" s="1">
        <v>289.0</v>
      </c>
      <c r="B291" s="1" t="s">
        <v>301</v>
      </c>
      <c r="C291" s="1" t="s">
        <v>12</v>
      </c>
      <c r="D291" s="1">
        <v>8.0</v>
      </c>
      <c r="E291" s="1">
        <v>7.0</v>
      </c>
      <c r="F291" s="4">
        <f t="shared" si="1"/>
        <v>1</v>
      </c>
      <c r="G291" s="5">
        <f t="shared" si="2"/>
        <v>1</v>
      </c>
      <c r="H291" s="5">
        <v>7.0</v>
      </c>
    </row>
    <row r="292" ht="15.75" customHeight="1">
      <c r="A292" s="1">
        <v>290.0</v>
      </c>
      <c r="B292" s="1" t="s">
        <v>302</v>
      </c>
      <c r="C292" s="1" t="s">
        <v>12</v>
      </c>
      <c r="D292" s="1">
        <v>4.0</v>
      </c>
      <c r="E292" s="1">
        <v>3.0</v>
      </c>
      <c r="F292" s="4">
        <f t="shared" si="1"/>
        <v>1</v>
      </c>
      <c r="G292" s="5">
        <f t="shared" si="2"/>
        <v>1</v>
      </c>
      <c r="H292" s="5">
        <v>3.0</v>
      </c>
    </row>
    <row r="293" ht="15.75" customHeight="1">
      <c r="A293" s="1">
        <v>291.0</v>
      </c>
      <c r="B293" s="1" t="s">
        <v>303</v>
      </c>
      <c r="C293" s="1" t="s">
        <v>12</v>
      </c>
      <c r="D293" s="1">
        <v>7.0</v>
      </c>
      <c r="E293" s="1">
        <v>7.0</v>
      </c>
      <c r="F293" s="4">
        <f t="shared" si="1"/>
        <v>0</v>
      </c>
      <c r="G293" s="5">
        <f t="shared" si="2"/>
        <v>0</v>
      </c>
      <c r="H293" s="5">
        <v>7.0</v>
      </c>
    </row>
    <row r="294" ht="15.75" customHeight="1">
      <c r="A294" s="1">
        <v>292.0</v>
      </c>
      <c r="B294" s="1" t="s">
        <v>304</v>
      </c>
      <c r="C294" s="1" t="s">
        <v>12</v>
      </c>
      <c r="D294" s="1">
        <v>6.0</v>
      </c>
      <c r="E294" s="1">
        <v>5.0</v>
      </c>
      <c r="F294" s="4">
        <f t="shared" si="1"/>
        <v>1</v>
      </c>
      <c r="G294" s="5">
        <f t="shared" si="2"/>
        <v>1</v>
      </c>
      <c r="H294" s="5">
        <v>6.0</v>
      </c>
    </row>
    <row r="295" ht="15.75" customHeight="1">
      <c r="A295" s="1">
        <v>293.0</v>
      </c>
      <c r="B295" s="1" t="s">
        <v>305</v>
      </c>
      <c r="C295" s="1" t="s">
        <v>12</v>
      </c>
      <c r="D295" s="1">
        <v>8.0</v>
      </c>
      <c r="E295" s="1">
        <v>6.0</v>
      </c>
      <c r="F295" s="4">
        <f t="shared" si="1"/>
        <v>2</v>
      </c>
      <c r="G295" s="5">
        <f t="shared" si="2"/>
        <v>2</v>
      </c>
      <c r="H295" s="5">
        <v>8.0</v>
      </c>
    </row>
    <row r="296" ht="15.75" customHeight="1">
      <c r="A296" s="1">
        <v>294.0</v>
      </c>
      <c r="B296" s="1" t="s">
        <v>306</v>
      </c>
      <c r="C296" s="1" t="s">
        <v>12</v>
      </c>
      <c r="D296" s="1">
        <v>7.0</v>
      </c>
      <c r="E296" s="1">
        <v>7.0</v>
      </c>
      <c r="F296" s="4">
        <f t="shared" si="1"/>
        <v>0</v>
      </c>
      <c r="G296" s="5">
        <f t="shared" si="2"/>
        <v>0</v>
      </c>
      <c r="H296" s="5">
        <v>7.0</v>
      </c>
    </row>
    <row r="297" ht="15.75" customHeight="1">
      <c r="A297" s="1">
        <v>295.0</v>
      </c>
      <c r="B297" s="1" t="s">
        <v>307</v>
      </c>
      <c r="C297" s="1" t="s">
        <v>12</v>
      </c>
      <c r="D297" s="1">
        <v>5.0</v>
      </c>
      <c r="E297" s="1">
        <v>4.0</v>
      </c>
      <c r="F297" s="4">
        <f t="shared" si="1"/>
        <v>1</v>
      </c>
      <c r="G297" s="5">
        <f t="shared" si="2"/>
        <v>1</v>
      </c>
      <c r="H297" s="5">
        <v>5.0</v>
      </c>
    </row>
    <row r="298" ht="15.75" customHeight="1">
      <c r="A298" s="1">
        <v>296.0</v>
      </c>
      <c r="B298" s="1" t="s">
        <v>308</v>
      </c>
      <c r="C298" s="1" t="s">
        <v>12</v>
      </c>
      <c r="D298" s="1">
        <v>2.0</v>
      </c>
      <c r="E298" s="1">
        <v>3.0</v>
      </c>
      <c r="F298" s="4">
        <f t="shared" si="1"/>
        <v>-1</v>
      </c>
      <c r="G298" s="5">
        <f t="shared" si="2"/>
        <v>1</v>
      </c>
      <c r="H298" s="5">
        <v>2.0</v>
      </c>
    </row>
    <row r="299" ht="15.75" customHeight="1">
      <c r="F299" s="12">
        <f t="shared" ref="F299:G299" si="3">AVERAGE(F2:F298)</f>
        <v>0.3333333333</v>
      </c>
      <c r="G299" s="1">
        <f t="shared" si="3"/>
        <v>1.255892256</v>
      </c>
    </row>
    <row r="300" ht="15.75" customHeight="1">
      <c r="F300" s="12"/>
    </row>
    <row r="301" ht="15.75" customHeight="1">
      <c r="F301" s="12"/>
    </row>
    <row r="302" ht="15.75" customHeight="1">
      <c r="F302" s="12"/>
    </row>
    <row r="303" ht="15.75" customHeight="1">
      <c r="F303" s="12"/>
    </row>
    <row r="304" ht="15.75" customHeight="1">
      <c r="F304" s="12"/>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