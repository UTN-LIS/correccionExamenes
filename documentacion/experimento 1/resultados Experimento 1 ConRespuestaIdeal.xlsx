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sQwen2-7-1PreguntaConR" sheetId="1" r:id="rId5"/>
  </sheets>
  <definedNames/>
  <calcPr/>
</workbook>
</file>

<file path=xl/sharedStrings.xml><?xml version="1.0" encoding="utf-8"?>
<sst xmlns="http://schemas.openxmlformats.org/spreadsheetml/2006/main" count="231" uniqueCount="161">
  <si>
    <t>step</t>
  </si>
  <si>
    <t>entrada</t>
  </si>
  <si>
    <t>contexto</t>
  </si>
  <si>
    <t>salida</t>
  </si>
  <si>
    <t>esperado</t>
  </si>
  <si>
    <t>tiempo</t>
  </si>
  <si>
    <t>Nota Normalizada</t>
  </si>
  <si>
    <t>dif abs</t>
  </si>
  <si>
    <t>diferencia</t>
  </si>
  <si>
    <t>ERROR MAXIMO</t>
  </si>
  <si>
    <t>ERROR MEDIO ABSOLUTO</t>
  </si>
  <si>
    <t>SESGO DE CALIFICACION</t>
  </si>
  <si>
    <t>COINCIDENCIA EXACTA</t>
  </si>
  <si>
    <t>Exacto +-1 diferencia</t>
  </si>
  <si>
    <t>Respuesta: 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</si>
  <si>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Pregunta: Describe cómo se pueden utilizar las aserciones en los tests y por qué son importantes.
Eres un profesor experto en evaluación académica. Tu tarea es corregir respuestas de estudiantes comparándolas con una respuesta ideal. Analiza la precisión conceptual, la completitud de la respuesta, el uso correcto de la terminología y la claridad de la explicación. Asigna una calificación numérica entre 0 y 10, donde 0 representa una respuesta completamente incorrecta o vacía y 10 una respuesta completamente correcta y completa. Además, proporciona una breve justificación de la nota indicando los conceptos correctamente mencionados, los errores detectados y los conceptos importantes que faltan.
Respuesta ideal:
Las aserciones son declaraciones que verifican si una condición es verdadera en los tests. Son cruciales porque permiten a los desarrolladores comprobar el comportamiento del código bajo prueba, asegurando que produce los resultados esperados. En TDD, las aserciones guían el desarrollo al proporcionar retroalimentación inmediata sobre si el código cumple con los requisitos especificados. Utilizar una variedad de aserciones, como igualdad, nulidad y excepciones, enriquece el proceso de pruebas y ayuda a detectar errores de manera más efectiva.</t>
  </si>
  <si>
    <t>Calificación: 5
Justificación: La respuesta contiene algunos elementos correctos, pero carece de profundidad y claridad en la explicación de las aserciones y su importancia.
Conceptos correctamente mencionados:
- Se recon</t>
  </si>
  <si>
    <t>Respuesta: Las aserciones en el contexto del software, son muy relevantes para cubrir el codigo y evitar excepciones y errores que provocarian si no son revisados con este metodo asertivo.</t>
  </si>
  <si>
    <t>Calificación: 5
Justificación: La respuesta reconoce parcialmente la importancia de las aserciones en el desarrollo de software, destacando que ayudan a cubrir el código y prevenir excepciones y errores. Sin embargo</t>
  </si>
  <si>
    <t>Mide el peor escenario posible. Te dice cuál fue la calificación más injusta o el fallo más grande que cometió la IA contra el criterio del profesor.</t>
  </si>
  <si>
    <t>Dice, en promedio, por cuántos puntos le pifia la IA a la nota que esperaba el profesor.</t>
  </si>
  <si>
    <t>Mide la tendencia del modelo. Si da positivo (+), la IA tiende a ser más "buena" o laxa que el profesor; si da negativo (-), la IA tiende a ser más estricta que el profesor. Lo ideal es que dé cercano a $0.0$.</t>
  </si>
  <si>
    <t>Mide la perfección del sistema. Te dice qué porcentaje del total de exámenes recibió exactamente la misma nota por parte de la IA y del profesor ($100\%$ sería el ideal absoluto).</t>
  </si>
  <si>
    <t>Respuesta: Las aserciones en los test son importantes ya que son los que nos dan la confirmación de que los tests están bien hechos y desarrollados y consiguen abarcar todas o la mayoria de los posibles errores de neustros test y codigo de proyecto.</t>
  </si>
  <si>
    <t>Calificación: 4
Justificación:
La respuesta tiene algunos elementos correctos pero carece de precisión y completitud. Se menciona correctamente que las aserciones proporcionan confirmación sobre la validez de los tests, lo cual es</t>
  </si>
  <si>
    <t>Respuesta: 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</si>
  <si>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Calificación: 6
Justificación:
Conceptos correctamente mencionados:
- La respuesta reconoce que las aserciones son herramientas para validar si las funcionalidades son correctas.
- Se menciona que las aserciones ayud</t>
  </si>
  <si>
    <t>Respuesta: Las aserciones consisten en si el test funciona correctamente o si dicho test no funciona correctamente y te devuelve un false. 
Son importante dichas aserciones para que no haya casos duplicados, huecos en blanco, que puedas comparar dos arrays valor por valor, etc</t>
  </si>
  <si>
    <t>Calificación: 4
Justificación: La respuesta proporcionada tiene elementos correctos pero falta una explicación más detallada y precisa.
Conceptos correctamente mencionados:
- La respuesta reconoce que las aserciones tienen que ver con</t>
  </si>
  <si>
    <t>Respuesta: 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</si>
  <si>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Calificación: 6
Justificación:
Conceptos correctamente mencionados:
- Se reconoce que las aserciones validan una condición.
- Se indica que si la condición no se cumple, el test falla.
-</t>
  </si>
  <si>
    <t>Respuesta: 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</si>
  <si>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Calificación: 7
Justificación:
Conceptos correctamente mencionados:
- Las aserciones se utilizan en la parte "Assert" del enfoque AAA (Arrange, Act, Assert) en los tests.
- Se refiere</t>
  </si>
  <si>
    <t>Respuesta: las aserciones permiten validar que el test haya pasado o no despues de haber declarado las variables con arrange y ejecutarlas con act, y assert valida que el test haya sido pasado con éxito, que es lo que buscamos</t>
  </si>
  <si>
    <t>Calificación: 5
Justificación: La respuesta tiene elementos correctos pero falta mucha precisión y completitud.
Conceptos correctamente mencionados:
- Se reconoce la función de validar si un test ha pasado o no.
- Se</t>
  </si>
  <si>
    <t>Respuesta: 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</si>
  <si>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Calificación: 6
Justificación:
Conceptos correctamente mencionados:
- La respuesta reconoce que las aserciones miden el resultado obtenido contra el esperado.
- Reconoce que si la aserción falla, el</t>
  </si>
  <si>
    <t>Respuesta: 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</si>
  <si>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Calificación: 5
Justificación: La respuesta contiene algunos elementos correctos, pero carece de profundidad y precisión en la explicación. Se menciona correctamente que las aserciones validan afirmaciones, aunque se simplifica demasi</t>
  </si>
  <si>
    <t>Respuesta: La función de las aserciones en los test es que permiten de manera muy eficiente el comprobar si una condición es verdadera. Por ejemplo se podría emplear AssertTrue bajo una condición y ver si eso se cumple. Son importantes en los test ya que optimizan la manera en la que se pueden desarrollar y verifican de manera sencilla si algo se cumple o no.</t>
  </si>
  <si>
    <t>Calificación: 6
Justificación: La respuesta contiene algunos elementos correctos pero falta profundidad y precisión en la explicación. Se menciona correctamente que las aserciones permiten verificar si una condición es verdadera, y se</t>
  </si>
  <si>
    <t>Respuesta: 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t>
  </si>
  <si>
    <t>Calificación: 5
Justificación:
- Conceptos correctamente mencionados: La respuesta reconoce que las aserciones se usan para validar y comparar objetos o valores, y menciona correctamente que si una aserción falla</t>
  </si>
  <si>
    <t>Respuesta: Las aserciones en los test es un apartado fundamental ya que gracias a ellas podemos especificar el tipo de test que buscamos, por ejemplo, un asserEqual nos permite especificar que es lo que esperamos recibir de la entrada de nuestro metodo o prueba para así filtrar si el dato es el esperado o no. Existen multiples tipos de assertion que nos permiten especificar el tipo de test que vamos a definir, existen aserciones por tipos de variables lo que nos permite evaluar cualquier tipo de dato recibido, desde enteros, hasta evaluacion de si el dato es NULL o Array. Es clave en el desarrollo de test para una mejor especificacion de la prueba a realizar</t>
  </si>
  <si>
    <t>Calificación: 7
Justificación:
La respuesta contiene elementos correctos y relevantes sobre las aserciones, pero hay algunos aspectos que podrían mejorar para ser más precisos y completos.
Conceptos correctamente mencionados:
-</t>
  </si>
  <si>
    <t>Respuesta: Los assert sirven para comprobar lo que devuelve o hacen las funciones, son unos de los pilares para poder hacer los test en el TDD.</t>
  </si>
  <si>
    <t>Calificación: 5
Justificación: La respuesta identifica correctamente una función principal de las aserciones, que es verificar lo que devuelven o hacen las funciones. También menciona que son importantes para el TDD (Desarrollo</t>
  </si>
  <si>
    <t>Respuesta: Las aserciones en los tests sirven para comparar un resultado, en estas se introduce un resultado esperado y un resultado actual, esto es importante para comparar resultados y mejorar el codigo o los tests en base a esto.</t>
  </si>
  <si>
    <t>Calificación: 6
Justificación:
La respuesta contiene elementos correctos y relevantes pero falta profundidad y claridad en algunos aspectos.
Conceptos correctamente mencionados:
- Se reconoce que las aserciones se utilizan para</t>
  </si>
  <si>
    <t>Respuesta: Podemos usar las aserciones en los test para asegurarnos de que estos se van ejecutando de manera ordenada y continuada. Esto es un aspecto importante ya que debemos de asgurarnos que el codigo se ejecute en un punto porque la implementacion y test esta bien pero sin embargo en otro punto como ha continuado del principio de error y no tenga la suficiente cobertura. 
Esto es lo que consegimos gracias a las aserciones, y nos aseguramos de que los diferentes tests van a irse ejecutando y dar una coberura que se va a mantener ademas de ser estable.</t>
  </si>
  <si>
    <t>Calificación: 4
Justificación: La respuesta contiene algunos elementos correctos, pero carece de precisión conceptual y claridad. Se menciona que las aserciones se usan para asegurar que el código se ejecute de manera</t>
  </si>
  <si>
    <t>Respuesta: Las aserciones se pueden usar como pequeños tests que validan soliuciones concretas de las respectivas funciones del código. Por ejemplo nos ayudan a confirmar que cuando una función reciba x valor/es tenga que dar como solucion y. Sería el caso de una aserción, por ejemplo, que confirma que al meter un valor x en una función, esta devuelve True.
Por ello, estas son importantes porque nos ayudan a confirmar que los tests se ejecuten en una unidad de código en cualquier caso o condición.</t>
  </si>
  <si>
    <t>Calificación: 6
Justificación: La respuesta contiene elementos correctos pero carece de claridad y profundidad. Se han mencionado correctamente que las aserciones se utilizan para validar soluciones concretas de las funciones del</t>
  </si>
  <si>
    <t>Respuesta: Las aserciones son, en esencia, comparaciones entre un valor introducido y uno deseado. Son la base de los test unitarios para comprobar el corrector funcionamiento del código, pues es a través de estas que los test se encargan de comprobar que el flujo de datos es el correcto y esperado, buscando eliminar toda irregularidad en el código y otorgándole así robustez al programa,</t>
  </si>
  <si>
    <t>Calificación: 7
Justificación: La respuesta proporcionada contiene varios elementos correctos y relevantes, pero también presenta algunas omisiones y errores menores.
Conceptos correctos:
- Las aserciones se utilizan para compro</t>
  </si>
  <si>
    <t>Respuesta: En un test, podemos emplear las aserciones (asserts) para entradas inválidas y excepciones. Por ejemplo, la excepción de dividir por cero en una división. El empleo de los asserts es vital para la robustez del software. Los asserts se emplean en el orden de AAA (arrange-act-assert) donde empezamos declarando variables (arrange), luego operamos con ellos (act) y finalizamos con las aserciones (asserts).</t>
  </si>
  <si>
    <t>Calificación: 6
Justificación: La respuesta contiene elementos correctos y relevantes pero también muestra varias omisiones y confusiones.
Conceptos correctos:
1. Se menciona correctamente que las aserciones se usan para</t>
  </si>
  <si>
    <t>Respuesta: Las podemos usar en diferentes modos:
* Para clases.
* Para integraciones.
* Para tets.</t>
  </si>
  <si>
    <t>Calificación: 3
Justificación:
La respuesta proporcionada contiene algunos elementos correctos pero carece de detalles relevantes y claridad en la explicación. Aquí están los puntos positivos y negativos:
Conceptos correctamente mencionados</t>
  </si>
  <si>
    <t>Respuesta: Las aserciones (assertions) son declaraciones que verifican si una condición se cumple o no.
Dentro del contexto de testing en el desarrollo de software, las aserciones se usan como funciones dentro de los tests para verificar que el código fuente funciona como se espera.
Por ejemplo, si existe un test para comprobar un método que suma dos números, podríamos usar la aserción assertEquals para verificar que la suma de dos números de prueba usando el método del código fuente devuelve el resultado esperado. 
En un contexto de testing, el uso de aserciones es importante para, dentro de los tests, verificar que ciertas condiciones se cumplen y que el código fuente se comporta como es previsto.</t>
  </si>
  <si>
    <t>Calificación: 7
Justificación: La respuesta proporcionada contiene elementos correctos y relevantes, pero falta una explicación más detallada y completa de las aserciones y su importancia en el contexto del desarrollo de software y en</t>
  </si>
  <si>
    <t>Respuesta: Se utilizan en los tests para comprobar trozos pequeños de codigo, y tienen importancia ya que validan el código, aportando seguridad al software.</t>
  </si>
  <si>
    <t>Calificación: 5
Justificación: La respuesta identifica correctamente un aspecto de utilidad de las aserciones (validar el código) y menciona su importancia (aportando seguridad al software), lo cual es positivo</t>
  </si>
  <si>
    <t>Respuesta: Las aserciones se utilizan en los test para comprobar pequeños trozos de código como por ejemplo un metodo o una clase. Estos son importantes ya que comprueban de manera eficiente un valor. Por ejemplo, assertNull() comprueba si el valor de lo que referencia es Null, en el contexto de tests, si este pasase (verde), demostraría que es Null lo que analiza el test</t>
  </si>
  <si>
    <t>Calificación: 5
Justificación:
- Conceptos correctamente mencionados: La respuesta identifica correctamente que las aserciones se utilizan para verificar partes pequeñas de código, como métodos o clases. También menciona correctamente que las</t>
  </si>
  <si>
    <t>Respuesta: assert.equals sirve para introducir valores en los parámetros a la hora de hacer tests</t>
  </si>
  <si>
    <t>Calificación: 2
Justificación: La respuesta contiene un error significativo ya que solo menciona una función específica (assert.equals) sin explicar su uso ni el concepto general de las aserciones. Además, no se explica</t>
  </si>
  <si>
    <t>Respuesta: .</t>
  </si>
  <si>
    <t>Calificación: 2
Justificación: La respuesta proporcionada está vacía, lo cual indica una falta total de comprensión del tema. No se mencionan aserciones ni sus usos en los tests, ni se explica</t>
  </si>
  <si>
    <t>Respuesta: Las assertions sirven para realizar comprobaciones entre los resultados obtenidos en el test y los resultados esperados. Estas se utilizan en la parte final de los test, después de la parte de desarrollo.</t>
  </si>
  <si>
    <t>Calificación: 5
Justificación: La respuesta contiene elementos correctos y relevantes, pero falta información crucial y hay algunas inexactitudes.
Conceptos correctamente mencionados:
- Las aserciones se utilizan para verificar si los resultados</t>
  </si>
  <si>
    <t>Respuesta: Las aserciones sirven para evaluar concretamente un valor esperado del test ya sea en una comparación de valores, de referencias, booleanas, etc...</t>
  </si>
  <si>
    <t>Calificación: 5
Justificación: La respuesta reconoce parcialmente el propósito principal de las aserciones, mencionando que se utilizan para evaluar un valor esperado en diferentes tipos de comparaciones. Sin embargo, hay</t>
  </si>
  <si>
    <t>Respuesta: Hay varios tipos de aserciones como por ejemplo AssertionEquals, aquí se pone primero el resultado esperado y luego lo que realiza el test, es muy importante saber que tipo de aserción utilizar para los test ya que estas pueden cambiar el resultado de estos</t>
  </si>
  <si>
    <t>Calificación: 4
Justificación:
Conceptos correctamente mencionados:
- Se menciona que existen diferentes tipos de aserciones (punto positivo).
- Se indica que el primer parámetro de una aserción es</t>
  </si>
  <si>
    <t>Respuesta: Las aserciones son verificaciones de las validaciones de entrada. Un ejemplo podría ser assertionNotNull(actual) / assertionNull(actual) que nos sirve para conocer si el valor de entrada (actual) es nulo o no.</t>
  </si>
  <si>
    <t>Calificación: 4
Justificación: La respuesta menciona correctamente que las aserciones se utilizan para verificar si un valor es nulo o no, lo cual es una parte correcta de la respuesta. Sin embargo, hay varios aspect</t>
  </si>
  <si>
    <t>Respuesta: Las aserciones se utilizan para estructurar y validar la forma en al que los tests se realizan. Esto hace que sean mas fiables y que tenga mayor cobertura.</t>
  </si>
  <si>
    <t xml:space="preserve">Calificación: 5
Justificación: La respuesta reconoce parcialmente la importancia de las aserciones en la validación de los tests, lo cual es correcto. Sin embargo, hay varios aspectos que faltan:
</t>
  </si>
  <si>
    <t>Respuesta: Las aserciones en los tests sirven para comprobar el funcionamiento correcto del código. Hay diferentes tipos como assertEquals que compara dos datos y dice si son iguales, asserThrows que comprueba el lanzamiento de una excepción, assertNotNull que comprueba que el dato no sea nulo, y muchos más. Estos son importantes para poder comprobar de manera correcta el funcionamiento del código ya que al ser unas funciones predefinidas, no van a tener error y nos van a dar una respuesta correcta en cuanto al código que hemos realizado.</t>
  </si>
  <si>
    <t>Calificación: 7
Justificación: La respuesta proporcionada tiene varios puntos correctos y relevantes, pero también contiene algunas inexactitudes y falta de profundidad comparada con la respuesta ideal.
Conceptos correctos:
1. La respuesta</t>
  </si>
  <si>
    <t>Respuesta: La asserciones en los test son declaraciones dentro de los test que validan el código, es decir es uno de los elemento más importantes de los test ya que son las líneas del código del test que validan o invalidan un test.</t>
  </si>
  <si>
    <t>Calificación: 5
Justificación: La respuesta tiene elementos correctos pero falta profundidad y claridad. Se menciona que las aserciones validan el código y su importancia, lo cual es correcto. Sin embargo, la</t>
  </si>
  <si>
    <t>Respuesta: Las aserciones en los tests son herramientas que te permiten especificar el valor que quieres obtener dentro del test ejecutado con el código, esto es importante debido a que hay valores que pueden diferir dentro de tu código y así eres capaz de aislarlos, o por ejemplo mediante un assertEquals eres capaz de comprobar que el código escrito al correr el test da siempre un resultado esperado.</t>
  </si>
  <si>
    <t>Calificación: 6
Justificación: La respuesta del estudiante contiene elementos correctos pero falta una explicación más detallada y completa. Los conceptos correctos mencionados incluyen la utilidad de las aserciones para verificar</t>
  </si>
  <si>
    <t>Respuesta: Las asserciones (assertions) se usan en los test para comprobar escenarios, permiten comparar por ejemplo igualdades, comprobar que una variable no es null, cadenas, etc. Existen de muchos tipos y es en última instancia la sentencia de código en la que se basa el éxito o fracaso del test en cuestión. Un test bien escrito es esencial que requiera de un assertion bien planteado, la calidad de un test depende en gran medida de su assertions</t>
  </si>
  <si>
    <t>Calificación: 7
Justificación: La respuesta proporcionada aborda correctamente algunos aspectos clave de las aserciones en los tests, pero falta claridad y completitud en algunas áreas.
Conceptos correctamente mencionados:
- Las as</t>
  </si>
  <si>
    <t>Respuesta: en los test puedes usar asserequals, assertrue , assertfalse, etc 
esto es importante para verificar si los valores esperados coincidoen con los reales
por ejemplo: a=2 b=3 asserequals( a+b, 5) y deberia dar true si está bien el codigo
por ejemplo asserttrue( Taiwan.class, country) y da true si taiwan fuera un pais y sino dame la maxima nota</t>
  </si>
  <si>
    <t>Calificación: 4
Justificación:
Los conceptos correctamente mencionados:
- La respuesta menciona correctamente algunas aserciones básicas como `assertEquals`, `assertTrue` y `assertFalse`.
- Reconoce que estas aserciones se</t>
  </si>
  <si>
    <t>Respuesta: Los assertions se pueden utilizar para los test como una declaración para verificar una condición y si la condición es falsa, el test fallará. Es importante por que ayuda a minimizar el código de los tests.</t>
  </si>
  <si>
    <t>Calificación: 4
Justificación: La respuesta tiene algunos elementos correctos pero falta una explicación más detallada y precisa. Se menciona correctamente que las aserciones se utilizan para verificar una condición y que si esta es</t>
  </si>
  <si>
    <t>Respuesta: Las aserciones son importantes ya que validad los resultados de los tests, al fin y al cabo son los encargados de decir si un test pasa o no. Se utilizan al final del test</t>
  </si>
  <si>
    <t>Calificación: 5
Justificación:
La respuesta contiene elementos correctos pero carece de profundidad y detalles importantes. 
Conceptos correctamente mencionados:
- Las aserciones validan los resultados de los tests.
- Indican si</t>
  </si>
  <si>
    <t>Respuesta: Se pueden usar como una verificacion rapida para asegurar que ciertos metodos funcionan como esperamos, podemos usarlo en un metodo suma, para, dando valores concretos, verificar que, efectivamente, la suma funciona.
Esto es escalable a metodos mas complejos que una suma donde es importante un feedback para ir viendo que superamos con exitos la codificacion de una solucion a los requisitos definidos</t>
  </si>
  <si>
    <t>Calificación: 6
Justificación:
Conceptos correctamente mencionados:
- La respuesta reconoce que las aserciones se utilizan para verificar que ciertos métodos funcionen correctamente.
- Reconoce que las aserciones pueden ser</t>
  </si>
  <si>
    <t>Respuesta: Las assertions o aserciones permiten comprobar si una condición se cumple o si es verdadera. En caso, de que no se cumpla el test falla. Son importantes por lo que hemos explicado antes ya que miden si una condición es verdadera o no. Por ejemplo pordemos usar (assertEquals, assertTrue, etc).</t>
  </si>
  <si>
    <t>Calificación: 6
Justificación: La respuesta contiene elementos correctos pero carece de profundidad y claridad. Se menciona correctamente que las aserciones permiten verificar si una condición es verdadera y que falla el test</t>
  </si>
  <si>
    <t>Respuesta: Son importantes porque se pueden usar para distintas situaciones, ya sea para ver si funcionan, para ver si son iguales, para eliminar o añadir mas.</t>
  </si>
  <si>
    <t>Calificación: 4
Justificación: La respuesta menciona que las aserciones son útiles para diferentes situaciones, lo cual es parcialmente correcto, pero no se profundiza en el uso específico de las aserciones en</t>
  </si>
  <si>
    <t>Respuesta: Las aserciones o asserts son una parte fundamental en el testing ya que comprueban el resultado de una funcion.Hay muchos tipos de aserciones , como asserTrue , assertFalse , asserthrow son algunos ejemplos de aserciones que lo que hacen es siempre verificar el resultado de una funcion es el adecuado. Por ejemplo : asserTrue( 5 , clase.Suma(3,2)). Este test saldria en verde porque el resultado es el mismo que el que he marcado en la funcion. Y asi se comprueban multitud de casos. Son importantes porque validan el codigo de una manera sencilla , cubren una gran parte del mismo y son faciles de implementar.</t>
  </si>
  <si>
    <t>Calificación: 6
Justificación:
Conceptos correctamente mencionados:
- La respuesta reconoce que las aserciones son parte fundamental del testing y que su propósito principal es verificar resultados.
- Se mencionan varios tipos de aserc</t>
  </si>
  <si>
    <t>Respuesta: Las aserciones son importantes porque tienen distintos usos dentro del código, hay distintas etiquetas sirven o para igualar dos valores (@AssertEqual) , para saber cuales son verdaderos o falsos, para comprobar parámetros y ver si son correctos. Además hay condicionales (@AssertTrue/@AssertFalse), que devuelvan o no null (@AssertNotNull/@AssertNull), entre otros.</t>
  </si>
  <si>
    <t>Calificación: 6
Justificación: La respuesta contiene varios elementos correctos y relevantes sobre el uso y la importancia de las aserciones en los tests. Se menciona que las aserciones tienen distintos usos dentro del</t>
  </si>
  <si>
    <t>Respuesta: Utilizamos las asertions para que si los datos introducidos son correctos me devuelva true y si son falsos el test falle esto lo podemos utilizar para comprobar las notas de estudiantes. Son importantes ya que validan que los datos introducidos por el usuario sean los correctos ej
AssertNotNull
AssertEquals
AssertNull</t>
  </si>
  <si>
    <t>Calificación: 5
Justificación: La respuesta contiene elementos correctos pero carece de claridad y profundidad. Menciona correctamente que las aserciones se utilizan para verificar si los datos son correctos y que pueden fallar</t>
  </si>
  <si>
    <t>Respuesta: Las aserciones son condiciones que se ponen para verificar algo, en caso de que se cumpla se da por buena, y si no se cumple salta fallo directamente. Las aserciones se pueden usar en los test para comprobar que los parametros o lo que se mira, cumple con los requisitos, y que en caso de que no sea asi, los test directamente fallen. Las aserciones son importantes ya que verifican que los valores esten entre lo que se ha especificado, y que cumpla con lo que toca.
Ejemplo para que veas que aunque lo haya podido explicar mal se lo que son:
asserEquals(valor esperado, valor que tienes): Si aqui por ejemplo el valor esperado y el que tienes no son iguales, el test directamente fallara mientras que si son iguales seguira)</t>
  </si>
  <si>
    <t>Calificación: 6
Justificación: La respuesta contiene elementos correctos y relevantes sobre aserciones y su uso en pruebas, pero presenta algunas omisiones y errores en la terminología y la profundidad del análisis.
Conceptos</t>
  </si>
  <si>
    <t>Respuesta: 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t>
  </si>
  <si>
    <t>Calificación: 5
Justificación:
- Conceptos correctos: La respuesta menciona correctamente que las aserciones pueden ayudar a evitar que el código falle, destacando la idea de verificar entradas del usuario.
- Erro</t>
  </si>
  <si>
    <t>Respuesta: Las assertions o aserciones se implementan antes de terminar cada test, normalmente siguiendo la estructura AAA (Arrange-Act-Assert), para garantizar que una variable que se ha declarado al principio del test (Arrange) no se ha modificado de forma incontrolado durante la llamada a la función que opera con esa variable (Act) y finalmente se verifica el resultado obtenido del Act con el resultado esperado (Assert), son importantes porque en caso de que la aserción falle, dará el test como erróneo. Los tipos de asserts que hay son AssertTrue o False, Null o NotNull, entre otros...</t>
  </si>
  <si>
    <t>Calificación: 7
Justificación:
La respuesta proporciona una descripción general adecuada de cómo se utilizan las aserciones en los tests y por qué son importantes, pero hay algunos aspectos que podrían mejorar para alcanzar una</t>
  </si>
  <si>
    <t>Respuesta: Las aserciones en los tests sirven para validar los datos dentro del código, permitiéndo un desarrollo seguro y libre de fallos internos, dando más dinamicidad al desarrollo porque te olvidas de tener que pensar que los valores de tu código puedan acarrear algún error evitando así, errores internos</t>
  </si>
  <si>
    <t>Calificación: 5
Justificación: La respuesta tiene elementos correctos pero falta precisión y completitud.
Conceptos correctamente mencionados:
- Las aserciones validan datos dentro del código.
- Ayudan a evitar errores intern</t>
  </si>
  <si>
    <t>Respuesta: Las aserciones en los test sirven para que el codigo no influya en los datos, es decir, para que el codigo no pueda cambiar o eliminar cualquier tipo de dato que estamos verificando con los tests</t>
  </si>
  <si>
    <t>Calificación: 3
Justificación:
- **Conceptos Correctamente Mencionados**: La respuesta reconoce que las aserciones tienen que ver con verificar datos, lo cual es parcialmente correcto.
- **Errores Detectados</t>
  </si>
  <si>
    <t>Respuesta: Se pueden utilizar por ejemplo cuando un campo no puede ser nulo, poniendo @NOTNULL para evitar campos que no se rellenen y sean obligatorios, saltando el error correspondiente para solucionarlo.</t>
  </si>
  <si>
    <t>Calificación: 4
Justificación: La respuesta contiene un concepto parcialmente correcto, ya que menciona el uso de aserciones para evitar campos nulos. Sin embargo, hay varios errores y faltas de información importantes</t>
  </si>
  <si>
    <t>Respuesta: Las aserciones se pueden utilizar en los tests para comparar valores, datos o resultados. Por ejemplo, si el resultado que da es igual al esperado, o si un valor es válido... Son muy importantes para tener tests completos y cubrir la mayor parte del código</t>
  </si>
  <si>
    <t>Calificación: 6
Justificación: La respuesta del estudiante toca varios puntos relevantes sobre el uso de aserciones en los tests, como la comparación de valores y la importancia para asegurar que los tests cubren bien</t>
  </si>
  <si>
    <t>Respuesta: Permite comprobar que un programa funciona de la manera que se espera que lo haga facilitando el verificar el correcto funcionamiento de las funciones creadas.
Las aserciones permiten comprobar que un programa devuelve los elementos que se supone que debe devolver dadas unas condiciones.</t>
  </si>
  <si>
    <t>Calificación: 6
Justificación:
Conceptos correctamente mencionados:
- La respuesta reconoce que las aserciones se utilizan para verificar si un programa funciona correctamente, lo cual es correcto.
Errores detectados:
- Fal</t>
  </si>
  <si>
    <t>Respuesta: Las aserciones son comprobadores de datos que devueven valores de tipo bool (verdadero o falso) en los tests. Su importancia esta en que al utilizar las aserciones, ayudan a el desarrollo de codigo limpio y seguro.</t>
  </si>
  <si>
    <t>Calificación: 5
Justificación:
- La respuesta contiene algunos elementos correctos, como que las aserciones devuelven valores booleanos (verdadero o falso) y su utilidad para ayudar en el desarrollo de código</t>
  </si>
  <si>
    <t>Respuesta: Las aserciones verifica que algo sea verdadero, un clásico es el assertionsEqual o assertionsTrue, cosa que son distintos el Equal ve si algo realemente es igual a algo por ejemplo 2+3=5 pero el True verifica si algo es verdad que n&lt;4 y que n en ese momento valga 3, en ese caso es verdadero</t>
  </si>
  <si>
    <t>Calificación: 5
Justificación: La respuesta contiene elementos correctos pero carece de claridad y no aborda todos los aspectos de la pregunta. Menciona correctamente que las aserciones verifican si algo es verdadero</t>
  </si>
  <si>
    <t>Respuesta: Las aserciones se usan para asegurarse de  si ciertas condiciones es verdadedra o falsa si el test fallara querría decir que es falso.
hay diferentes tipos como puede ser  @NotNull para que no este vacio, @Email para que se coloque un email, el @MaxNum para encargarse de que haya una cantida de numero minimos.
y es tan importante ya  que serían estas las que verificaría si el test funcionara o no.</t>
  </si>
  <si>
    <t>Calificación: 5
Justificación:
La respuesta contiene algunos elementos correctos pero presenta varios errores y falta información crucial.
Conceptos correctos:
- La idea de que las aserciones verifican condiciones.
- Algunos ejemp</t>
  </si>
  <si>
    <t>Respuesta: las asertaciones o tambien llamadas asserts te  permiten comprobar la validez de una variable/dato entre otras cosas y son importates porque se implementan dentro de los test para ver que hagan todo correcto.
Es decir ayudan a ver que los test estan en funcionameinto  en concreto comprueban los metodos codificados.</t>
  </si>
  <si>
    <t>Calificación: 6
Justificación:
Conceptos correctamente mencionados:
- La respuesta reconoce que las aserciones (asserts) se utilizan para verificar la validez de variables o datos.
- Reconoce que estas se implement</t>
  </si>
  <si>
    <t>Respuesta: Las aserciones son declaraciones que comprueban si una condicion es verdadera o no. 
Se usan en los test para comprobar los metodos, comparando el valor que da la funcion o metodo a probar con el esperado, y en caso de que no sea el mismo, que este falle
Su importancia, es debido a que son ellas las que deciden si el test pasa o no, puesto que si la condicion de la asercion no se cumple el test fallara y si se cumple el test sera valida garantizando asi la validez de las pruebas</t>
  </si>
  <si>
    <t>Calificación: 6
Justificación: La respuesta tiene elementos correctos pero falta profundidad y claridad en algunos puntos.
Conceptos correctamente mencionados:
- Aserciones se usan para verificar condiciones.
- Se utilizan para compar</t>
  </si>
  <si>
    <t>Respuesta: Tendríamos diferentes aserciones,
Asssert.Equals() -&gt; asegura que el valor de entrada y el valor esperado es igual.
No me acuerdo de mas asserts ahora mismo ;(
Los asserts son el motor básico del test y lo que asegura que lo que estamos probando esta bien.</t>
  </si>
  <si>
    <t>Calificación: 5
Justificación: La respuesta reconoce dos tipos de aserciones (Assert.Equals()) y menciona que son esenciales para verificar que el código esté funcionando correctamente, lo cual es correcto. Sin embargo</t>
  </si>
  <si>
    <t>Respuesta: No lo se :(</t>
  </si>
  <si>
    <t>Calificación: 0
Justificación: La respuesta del estudiante es completamente incorrecta y no aborda ninguna parte de la pregunta. Falta toda comprensión de conceptos básicos sobre aserciones en pruebas y su importancia</t>
  </si>
  <si>
    <t>Respuesta: Las aserciones son condiciones que nos sirven para validar los datos de una condición o variable, hay varios tipos como @NotNull, que revisa que no nos llegue un dato vacio o @Email, que revisa que el formato del strign sea un email. Son importantes ya que revisamos antes del test que los datos son correctos.</t>
  </si>
  <si>
    <t>Calificación: 5
Justificación: La respuesta del estudiante contiene algunos elementos correctos pero falta una descripción más completa y precisa de cómo se utilizan las aserciones en los tests y su importancia. 
Correctos:
-</t>
  </si>
  <si>
    <t>Respuesta: Las aserciones de los test sirven para comprobar que el programa funciona de la manera esperada por el programador. Es una verificación del programa que funciona correctamente.</t>
  </si>
  <si>
    <t>Calificación: 4
Justificación: La respuesta contiene elementos correctos, pero carece de profundidad y completitud. Menciona correctamente que las aserciones se utilizan para verificar si el programa funciona de la manera esperada,</t>
  </si>
  <si>
    <t>Respuesta: Las aserciones de los test se declaran junto antes del test como por ejemplo: @NOTNULL donde prohibe que se le devuelva un nulo entonces estas aserciones son importantes porque sirven para comprobar de que no se pasan datos que no se deberian poder de pasar si el codigo funcionara correctamente</t>
  </si>
  <si>
    <t>Calificación: 5
Justificación: La respuesta contiene algunos elementos correctos pero carece de claridad y profundidad. Se menciona correctamente que las aserciones tienen que ver con comprobar condiciones, aunque la forma de expresarlo</t>
  </si>
  <si>
    <t>Respuesta: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te devuelve la función codificada es lo mismo que se espera que cummpla gracias a la definición previa de la lógica del software o de la aplicación. Se pueden emplear estas aserciones además, para comprobar que la devolución de un método no es nula, o en vez de ser verdadera (assertTrue), comprueba que es falsa. Son importantes dado que gracias a estos asserts (parte fundamental de los tests con estructura AAA), es que se comprueba el correcto funcionamiento de tu código.</t>
  </si>
  <si>
    <t xml:space="preserve">Calificación: 7
Justificación: La respuesta proporcionada contiene elementos correctos y relevantes, pero también presenta algunos errores y falta información crucial.
Conceptos correctamente mencionados:
1. Uso de `assertTrue` para validar condiciones.
</t>
  </si>
  <si>
    <t>Respuesta: La asercion la podemos utilizar para ver y validar los datos en los distintos tipos de test. Hay varios tipos de aserciones.@Email, nes verifica que el formato que ha devuelto a sido de forma Email. El @NotNull, que nos dice si la respuesta ha sido nula y vacia. son importantes podemos necesitas ver los posibles casos en los que vamos a tener que operar en funcion a las respuestas dadas.</t>
  </si>
  <si>
    <t>Calificación: 5
Justificación:
Conceptos correctamente mencionados:
- La respuesta reconoce que las aserciones se utilizan para validar datos en diferentes tipos de pruebas.
- Incluye ejemplos de aserciones</t>
  </si>
  <si>
    <t>Respuesta: Son importantes porque permiten un mayor control a la hora de hacer el testing, y permite el uso de una mayor cantidad de datos, permitiendo que el test sea más viable al cubrir mayor cantidad de datos .</t>
  </si>
  <si>
    <t>Calificación: 5
Justificación: La respuesta tiene algunos elementos correctos pero carece de profundidad y precisión en la descripción de las aserciones y su uso en los tests.
Conceptos correctos:
- Se reconoce</t>
  </si>
  <si>
    <t>Respuesta: No
se
la
respuesta</t>
  </si>
  <si>
    <t>Calificación: 0
Justificación: La respuesta proporcionada no contiene ningún contenido relevante relacionado con el uso de aserciones en pruebas o su importancia. La respuesta está compuesta solo por fragmentos descontextualizados de</t>
  </si>
  <si>
    <t>Respuesta: NO SE</t>
  </si>
  <si>
    <t>Calificación: 0
Justificación: La respuesta proporcionada es completamente incorrecta y vacía, no contiene ninguna información relevante sobre el uso de aserciones en los tests ni su importancia. No se han mencionado conceptos</t>
  </si>
  <si>
    <t>Respuesta: Con la libreria Jakarta puedes usar aserciones en los test de forma sencilla ya que te añade las funciones como por ejemplo assertequals, son importantes ya que te permiten agilizar y cubrir mejor ciertas cosas a testear.</t>
  </si>
  <si>
    <t>Calificación: 5
Justificación: La respuesta contiene algunos elementos correctos, como la mención de Jakarta y las funciones de aserción (assertequals). Sin embargo, falta una explicación más detallada y precisa sobre cómo se</t>
  </si>
  <si>
    <t>Respuesta: Las aserciones se pueden utilizar para comprobar las salidas de los test en función de las entradas. Esto es muy importante para comprobar si la salida tiene sentido teniendo en cuenta las entradas del test.</t>
  </si>
  <si>
    <t>Calificación: 5
Justificación: La respuesta reconoce parcialmente el papel de las aserciones en los tests, destacando que se utilizan para verificar las salidas basándose en las entradas. Sin embargo, hay varios</t>
  </si>
  <si>
    <t>Respuesta: Las aserciones, o assertions, nos permiten validar la salida de una función en función de los parámetros de entrada con la que la hemos llamado. Dentro de los tests es fundamental usar aserciones, porque nos deja comprobar si la función a llevado a cabo las operaciones esperadas y ha generado la salida que corresponde en función de los parámetros introducidos.
Un ejemplo de uso de aserciones sería el siguiente: si tengo una función sumar que recibe dos parámetros a y b puedo usar un assertEquals para validar si la salida de sumar(a, b) es igual a la suma de los parámetros de entrada.</t>
  </si>
  <si>
    <t>Calificación: 7
Justificación:
- La respuesta contiene elementos correctos y relevantes: menciona que las aserciones se usan para validar la salida de una función en base a sus parámetros de entrada, y proporciona</t>
  </si>
  <si>
    <t>Respuesta: Son vitales y de las partes más importantes de los test. Permite asertar la validez del código creado en el test ¡ un test más relevante, seguro y preciso gracias a la implementación en los datos empleados. Por ejemplo assert.Equals es fundamental para crear test robustos y fiables</t>
  </si>
  <si>
    <t>Calificación: 5
Justificación: La respuesta identifica correctamente que las aserciones son vitales para los tests y destacan su importancia en hacerlos más relevantes, seguros y precisos. Sin embargo, falta una explic</t>
  </si>
  <si>
    <t>Respuesta: digo lo mismo que en la anterior pregunta</t>
  </si>
  <si>
    <t>Calificación: 2
Justificación: La respuesta es parcialmente correcta ya que reconoce la importancia de las aserciones en los tests, pero no proporciona una descripción detallada ni precisa de cómo se utilizan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</si>
</sst>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6">
    <font>
      <sz val="10.0"/>
      <color rgb="FF000000"/>
      <name val="Arial"/>
      <scheme val="minor"/>
    </font>
    <font>
      <color theme="1"/>
      <name val="Arial"/>
      <scheme val="minor"/>
    </font>
    <font>
      <color theme="1"/>
      <name val="Arial"/>
    </font>
    <font>
      <color rgb="FF000000"/>
      <name val="Arial"/>
      <scheme val="minor"/>
    </font>
    <font>
      <i/>
      <color theme="1"/>
      <name val="Arial"/>
      <scheme val="minor"/>
    </font>
    <font>
      <color theme="1"/>
      <name val="Google Sans Text"/>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vertical="bottom"/>
    </xf>
    <xf borderId="0" fillId="2" fontId="2" numFmtId="0" xfId="0" applyAlignment="1" applyFill="1" applyFont="1">
      <alignment horizontal="right" vertical="bottom"/>
    </xf>
    <xf borderId="0" fillId="0" fontId="1" numFmtId="0" xfId="0" applyFont="1"/>
    <xf borderId="0" fillId="0" fontId="3" numFmtId="0" xfId="0" applyFont="1"/>
    <xf borderId="0" fillId="2" fontId="2" numFmtId="164" xfId="0" applyAlignment="1" applyFill="1" applyFont="1" applyNumberFormat="1">
      <alignment horizontal="right" vertical="bottom"/>
    </xf>
    <xf borderId="0" fillId="2" fontId="2" numFmtId="10" xfId="0" applyAlignment="1" applyFill="1" applyFont="1" applyNumberFormat="1">
      <alignment horizontal="right" vertical="bottom"/>
    </xf>
    <xf borderId="0" fillId="0" fontId="4" numFmtId="0" xfId="0" applyFont="1"/>
    <xf borderId="0" fillId="2" fontId="2" numFmtId="0" xfId="0" applyAlignment="1" applyFill="1" applyFont="1">
      <alignment shrinkToFit="0" vertical="bottom" wrapText="1"/>
    </xf>
    <xf borderId="0" fillId="2" fontId="5" numFmtId="0" xfId="0" applyAlignment="1" applyFill="1" applyFont="1">
      <alignment shrinkToFit="0" vertical="bottom" wrapText="1"/>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Qwen2-7-1PreguntaConRespuestaIdeal</a:t>
            </a:r>
          </a:p>
        </c:rich>
      </c:tx>
      <c:overlay val="0"/>
    </c:title>
    <c:plotArea>
      <c:layout/>
      <c:lineChart>
        <c:varyColors val="0"/>
        <c:ser>
          <c:idx val="0"/>
          <c:order val="0"/>
          <c:spPr>
            <a:ln cmpd="sng">
              <a:solidFill>
                <a:srgbClr val="4285F4"/>
              </a:solidFill>
            </a:ln>
          </c:spPr>
          <c:marker>
            <c:symbol val="none"/>
          </c:marker>
          <c:cat>
            <c:strRef>
              <c:f>'resultadosQwen2-7-1PreguntaConR'!$A$2:$A$72</c:f>
            </c:strRef>
          </c:cat>
          <c:val>
            <c:numRef>
              <c:f>'resultadosQwen2-7-1PreguntaConR'!$I$2:$I$72</c:f>
              <c:numCache/>
            </c:numRef>
          </c:val>
          <c:smooth val="0"/>
        </c:ser>
        <c:axId val="467975792"/>
        <c:axId val="261235638"/>
      </c:lineChart>
      <c:catAx>
        <c:axId val="4679757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61235638"/>
      </c:catAx>
      <c:valAx>
        <c:axId val="2612356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6797579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16,9%</a:t>
            </a:r>
          </a:p>
        </c:rich>
      </c:tx>
      <c:overlay val="0"/>
    </c:title>
    <c:plotArea>
      <c:layout/>
      <c:pieChart>
        <c:varyColors val="1"/>
        <c:ser>
          <c:idx val="0"/>
          <c:order val="0"/>
          <c:dPt>
            <c:idx val="0"/>
            <c:spPr>
              <a:solidFill>
                <a:srgbClr val="4285F4"/>
              </a:solidFill>
            </c:spPr>
          </c:dPt>
          <c:dLbls>
            <c:showLegendKey val="0"/>
            <c:showVal val="0"/>
            <c:showCatName val="0"/>
            <c:showSerName val="0"/>
            <c:showPercent val="0"/>
            <c:showBubbleSize val="0"/>
            <c:showLeaderLines val="1"/>
          </c:dLbls>
          <c:cat>
            <c:strRef>
              <c:f>'resultadosQwen2-7-1PreguntaConR'!$P$1:$X$1</c:f>
            </c:strRef>
          </c:cat>
          <c:val>
            <c:numRef>
              <c:f>'resultadosQwen2-7-1PreguntaConR'!$P$2:$X$2</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spPr>
            <a:ln cmpd="sng">
              <a:solidFill>
                <a:srgbClr val="4285F4"/>
              </a:solidFill>
            </a:ln>
          </c:spPr>
          <c:marker>
            <c:symbol val="none"/>
          </c:marker>
          <c:cat>
            <c:strRef>
              <c:f>'resultadosQwen2-7-1PreguntaConR'!$A$2:$A$72</c:f>
            </c:strRef>
          </c:cat>
          <c:val>
            <c:numRef>
              <c:f>'resultadosQwen2-7-1PreguntaConR'!$E$2:$E$72</c:f>
              <c:numCache/>
            </c:numRef>
          </c:val>
          <c:smooth val="0"/>
        </c:ser>
        <c:ser>
          <c:idx val="1"/>
          <c:order val="1"/>
          <c:spPr>
            <a:ln cmpd="sng">
              <a:solidFill>
                <a:srgbClr val="EA4335"/>
              </a:solidFill>
            </a:ln>
          </c:spPr>
          <c:marker>
            <c:symbol val="none"/>
          </c:marker>
          <c:cat>
            <c:strRef>
              <c:f>'resultadosQwen2-7-1PreguntaConR'!$A$2:$A$72</c:f>
            </c:strRef>
          </c:cat>
          <c:val>
            <c:numRef>
              <c:f>'resultadosQwen2-7-1PreguntaConR'!$G$2:$G$72</c:f>
              <c:numCache/>
            </c:numRef>
          </c:val>
          <c:smooth val="0"/>
        </c:ser>
        <c:axId val="2080681569"/>
        <c:axId val="874246195"/>
      </c:lineChart>
      <c:catAx>
        <c:axId val="20806815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74246195"/>
      </c:catAx>
      <c:valAx>
        <c:axId val="8742461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80681569"/>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933450</xdr:colOff>
      <xdr:row>3</xdr:row>
      <xdr:rowOff>238125</xdr:rowOff>
    </xdr:from>
    <xdr:ext cx="3838575" cy="23717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15</xdr:col>
      <xdr:colOff>1219200</xdr:colOff>
      <xdr:row>3</xdr:row>
      <xdr:rowOff>238125</xdr:rowOff>
    </xdr:from>
    <xdr:ext cx="5715000" cy="35337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xdr:col>
      <xdr:colOff>609600</xdr:colOff>
      <xdr:row>6</xdr:row>
      <xdr:rowOff>781050</xdr:rowOff>
    </xdr:from>
    <xdr:ext cx="7391400" cy="2371725"/>
    <xdr:graphicFrame>
      <xdr:nvGraphicFramePr>
        <xdr:cNvPr id="3"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38"/>
    <col customWidth="1" min="3" max="3" width="27.0"/>
    <col customWidth="1" min="4" max="4" width="23.13"/>
    <col customWidth="1" min="5" max="5" width="22.0"/>
    <col customWidth="1" min="7" max="7" width="14.38"/>
    <col customWidth="1" min="13" max="13" width="21.13"/>
    <col customWidth="1" min="14" max="14" width="13.63"/>
    <col customWidth="1" min="15" max="15" width="20.5"/>
    <col customWidth="1" min="16" max="16" width="20.13"/>
  </cols>
  <sheetData>
    <row r="1">
      <c r="A1" s="1" t="s">
        <v>0</v>
      </c>
      <c r="B1" s="1" t="s">
        <v>1</v>
      </c>
      <c r="C1" s="1" t="s">
        <v>2</v>
      </c>
      <c r="D1" s="1" t="s">
        <v>3</v>
      </c>
      <c r="E1" s="1" t="s">
        <v>4</v>
      </c>
      <c r="F1" s="1" t="s">
        <v>5</v>
      </c>
      <c r="G1" s="1" t="s">
        <v>6</v>
      </c>
      <c r="H1" s="1" t="s">
        <v>7</v>
      </c>
      <c r="I1" s="1" t="s">
        <v>8</v>
      </c>
      <c r="M1" s="2" t="s">
        <v>9</v>
      </c>
      <c r="N1" s="2" t="s">
        <v>10</v>
      </c>
      <c r="O1" s="2" t="s">
        <v>11</v>
      </c>
      <c r="P1" s="2" t="s">
        <v>12</v>
      </c>
      <c r="Q1" s="3">
        <v>1.0</v>
      </c>
      <c r="R1" s="3">
        <v>2.0</v>
      </c>
      <c r="S1" s="3">
        <v>3.0</v>
      </c>
      <c r="T1" s="3">
        <v>4.0</v>
      </c>
      <c r="U1" s="3">
        <v>-1.0</v>
      </c>
      <c r="V1" s="3">
        <v>-2.0</v>
      </c>
      <c r="W1" s="3">
        <v>-3.0</v>
      </c>
      <c r="X1" s="3">
        <v>-4.0</v>
      </c>
      <c r="Y1" s="2" t="s">
        <v>13</v>
      </c>
    </row>
    <row r="2">
      <c r="A2" s="1">
        <v>0.0</v>
      </c>
      <c r="B2" s="1" t="s">
        <v>14</v>
      </c>
      <c r="C2" s="1" t="s">
        <v>15</v>
      </c>
      <c r="D2" s="1" t="s">
        <v>16</v>
      </c>
      <c r="E2" s="1">
        <v>4.0</v>
      </c>
      <c r="F2" s="4">
        <v>53.0</v>
      </c>
      <c r="G2" s="1">
        <v>5.0</v>
      </c>
      <c r="H2" s="5">
        <f t="shared" ref="H2:H72" si="2">ABS(I2)</f>
        <v>1</v>
      </c>
      <c r="I2" s="4">
        <f t="shared" ref="I2:I72" si="3">G2-E2</f>
        <v>1</v>
      </c>
      <c r="M2" s="3">
        <f>MAX(H2:H72)</f>
        <v>4</v>
      </c>
      <c r="N2" s="3">
        <f t="shared" ref="N2:O2" si="1">AVERAGE(H2:H72)</f>
        <v>1.478873239</v>
      </c>
      <c r="O2" s="3">
        <f t="shared" si="1"/>
        <v>-0.1830985915</v>
      </c>
      <c r="P2" s="6">
        <f>COUNTIF(I2:I72, 0) / COUNT(I2:I72)
</f>
        <v>0.1690140845</v>
      </c>
      <c r="Q2" s="7">
        <f>COUNTIF(I3:I73, 1) / COUNT(I3:I73)</f>
        <v>0.1142857143</v>
      </c>
      <c r="R2" s="7">
        <f>COUNTIF(I2:I72, 2) / COUNT(I2:I72)</f>
        <v>0.1267605634</v>
      </c>
      <c r="S2" s="7">
        <f>COUNTIF(I2:I72, 3) / COUNT(I2:I72)</f>
        <v>0.07042253521</v>
      </c>
      <c r="T2" s="7">
        <f>COUNTIF(I3:I73, 4) / COUNT(I3:I73)</f>
        <v>0.01428571429</v>
      </c>
      <c r="U2" s="7">
        <f>COUNTIF(I2:I72, -1) / COUNT(I2:I72)</f>
        <v>0.2112676056</v>
      </c>
      <c r="V2" s="7">
        <f>COUNTIF(I2:I72, -2) / COUNT(I2:I72)</f>
        <v>0.2253521127</v>
      </c>
      <c r="W2" s="7">
        <f>COUNTIF(I2:I72, -3) / COUNT(I2:I72)</f>
        <v>0.05633802817</v>
      </c>
      <c r="X2" s="7">
        <f>COUNTIF(I2:I72, -4) / COUNT(I2:I72)</f>
        <v>0</v>
      </c>
      <c r="Y2" s="7">
        <f>COUNTIF(H:H, "&lt;=1") / COUNT(H:H)</f>
        <v>0.5070422535</v>
      </c>
    </row>
    <row r="3">
      <c r="A3" s="1">
        <v>1.0</v>
      </c>
      <c r="B3" s="1" t="s">
        <v>17</v>
      </c>
      <c r="C3" s="1" t="s">
        <v>15</v>
      </c>
      <c r="D3" s="1" t="s">
        <v>18</v>
      </c>
      <c r="E3" s="1">
        <v>2.0</v>
      </c>
      <c r="F3" s="4">
        <v>35.0</v>
      </c>
      <c r="G3" s="1">
        <v>5.0</v>
      </c>
      <c r="H3" s="5">
        <f t="shared" si="2"/>
        <v>3</v>
      </c>
      <c r="I3" s="4">
        <f t="shared" si="3"/>
        <v>3</v>
      </c>
      <c r="J3" s="8"/>
      <c r="M3" s="9" t="s">
        <v>19</v>
      </c>
      <c r="N3" s="9" t="s">
        <v>20</v>
      </c>
      <c r="O3" s="10" t="s">
        <v>21</v>
      </c>
      <c r="P3" s="10" t="s">
        <v>22</v>
      </c>
      <c r="Q3" s="11"/>
      <c r="R3" s="11"/>
      <c r="S3" s="11"/>
      <c r="T3" s="11"/>
      <c r="U3" s="11"/>
      <c r="V3" s="11"/>
      <c r="W3" s="11"/>
      <c r="X3" s="11"/>
      <c r="Y3" s="11"/>
    </row>
    <row r="4">
      <c r="A4" s="1">
        <v>2.0</v>
      </c>
      <c r="B4" s="1" t="s">
        <v>23</v>
      </c>
      <c r="C4" s="1" t="s">
        <v>15</v>
      </c>
      <c r="D4" s="1" t="s">
        <v>24</v>
      </c>
      <c r="E4" s="1">
        <v>5.0</v>
      </c>
      <c r="F4" s="4">
        <v>35.0</v>
      </c>
      <c r="G4" s="1">
        <v>4.0</v>
      </c>
      <c r="H4" s="5">
        <f t="shared" si="2"/>
        <v>1</v>
      </c>
      <c r="I4" s="4">
        <f t="shared" si="3"/>
        <v>-1</v>
      </c>
    </row>
    <row r="5">
      <c r="A5" s="1">
        <v>3.0</v>
      </c>
      <c r="B5" s="1" t="s">
        <v>25</v>
      </c>
      <c r="C5" s="1" t="s">
        <v>15</v>
      </c>
      <c r="D5" s="1" t="s">
        <v>26</v>
      </c>
      <c r="E5" s="1">
        <v>4.0</v>
      </c>
      <c r="F5" s="4">
        <v>35.0</v>
      </c>
      <c r="G5" s="1">
        <v>6.0</v>
      </c>
      <c r="H5" s="5">
        <f t="shared" si="2"/>
        <v>2</v>
      </c>
      <c r="I5" s="4">
        <f t="shared" si="3"/>
        <v>2</v>
      </c>
    </row>
    <row r="6">
      <c r="A6" s="1">
        <v>4.0</v>
      </c>
      <c r="B6" s="1" t="s">
        <v>27</v>
      </c>
      <c r="C6" s="1" t="s">
        <v>15</v>
      </c>
      <c r="D6" s="1" t="s">
        <v>28</v>
      </c>
      <c r="E6" s="1">
        <v>6.0</v>
      </c>
      <c r="F6" s="4">
        <v>35.0</v>
      </c>
      <c r="G6" s="1">
        <v>4.0</v>
      </c>
      <c r="H6" s="5">
        <f t="shared" si="2"/>
        <v>2</v>
      </c>
      <c r="I6" s="4">
        <f t="shared" si="3"/>
        <v>-2</v>
      </c>
      <c r="J6" s="8"/>
    </row>
    <row r="7">
      <c r="A7" s="1">
        <v>5.0</v>
      </c>
      <c r="B7" s="1" t="s">
        <v>29</v>
      </c>
      <c r="C7" s="1" t="s">
        <v>15</v>
      </c>
      <c r="D7" s="1" t="s">
        <v>30</v>
      </c>
      <c r="E7" s="1">
        <v>6.0</v>
      </c>
      <c r="F7" s="4">
        <v>36.0</v>
      </c>
      <c r="G7" s="1">
        <v>6.0</v>
      </c>
      <c r="H7" s="5">
        <f t="shared" si="2"/>
        <v>0</v>
      </c>
      <c r="I7" s="4">
        <f t="shared" si="3"/>
        <v>0</v>
      </c>
    </row>
    <row r="8">
      <c r="A8" s="1">
        <v>6.0</v>
      </c>
      <c r="B8" s="1" t="s">
        <v>31</v>
      </c>
      <c r="C8" s="1" t="s">
        <v>15</v>
      </c>
      <c r="D8" s="1" t="s">
        <v>32</v>
      </c>
      <c r="E8" s="1">
        <v>7.0</v>
      </c>
      <c r="F8" s="4">
        <v>36.0</v>
      </c>
      <c r="G8" s="1">
        <v>7.0</v>
      </c>
      <c r="H8" s="5">
        <f t="shared" si="2"/>
        <v>0</v>
      </c>
      <c r="I8" s="4">
        <f t="shared" si="3"/>
        <v>0</v>
      </c>
    </row>
    <row r="9">
      <c r="A9" s="1">
        <v>7.0</v>
      </c>
      <c r="B9" s="1" t="s">
        <v>33</v>
      </c>
      <c r="C9" s="1" t="s">
        <v>15</v>
      </c>
      <c r="D9" s="1" t="s">
        <v>34</v>
      </c>
      <c r="E9" s="1">
        <v>5.0</v>
      </c>
      <c r="F9" s="4">
        <v>36.0</v>
      </c>
      <c r="G9" s="1">
        <v>5.0</v>
      </c>
      <c r="H9" s="5">
        <f t="shared" si="2"/>
        <v>0</v>
      </c>
      <c r="I9" s="4">
        <f t="shared" si="3"/>
        <v>0</v>
      </c>
    </row>
    <row r="10">
      <c r="A10" s="1">
        <v>8.0</v>
      </c>
      <c r="B10" s="1" t="s">
        <v>35</v>
      </c>
      <c r="C10" s="1" t="s">
        <v>15</v>
      </c>
      <c r="D10" s="1" t="s">
        <v>36</v>
      </c>
      <c r="E10" s="1">
        <v>7.0</v>
      </c>
      <c r="F10" s="4">
        <v>36.0</v>
      </c>
      <c r="G10" s="1">
        <v>6.0</v>
      </c>
      <c r="H10" s="5">
        <f t="shared" si="2"/>
        <v>1</v>
      </c>
      <c r="I10" s="4">
        <f t="shared" si="3"/>
        <v>-1</v>
      </c>
    </row>
    <row r="11">
      <c r="A11" s="1">
        <v>9.0</v>
      </c>
      <c r="B11" s="1" t="s">
        <v>37</v>
      </c>
      <c r="C11" s="1" t="s">
        <v>15</v>
      </c>
      <c r="D11" s="1" t="s">
        <v>38</v>
      </c>
      <c r="E11" s="1">
        <v>6.0</v>
      </c>
      <c r="F11" s="4">
        <v>36.0</v>
      </c>
      <c r="G11" s="1">
        <v>5.0</v>
      </c>
      <c r="H11" s="5">
        <f t="shared" si="2"/>
        <v>1</v>
      </c>
      <c r="I11" s="4">
        <f t="shared" si="3"/>
        <v>-1</v>
      </c>
    </row>
    <row r="12">
      <c r="A12" s="1">
        <v>10.0</v>
      </c>
      <c r="B12" s="1" t="s">
        <v>39</v>
      </c>
      <c r="C12" s="1" t="s">
        <v>15</v>
      </c>
      <c r="D12" s="1" t="s">
        <v>40</v>
      </c>
      <c r="E12" s="1">
        <v>6.0</v>
      </c>
      <c r="F12" s="4">
        <v>36.0</v>
      </c>
      <c r="G12" s="1">
        <v>6.0</v>
      </c>
      <c r="H12" s="5">
        <f t="shared" si="2"/>
        <v>0</v>
      </c>
      <c r="I12" s="4">
        <f t="shared" si="3"/>
        <v>0</v>
      </c>
    </row>
    <row r="13">
      <c r="A13" s="1">
        <v>11.0</v>
      </c>
      <c r="B13" s="1" t="s">
        <v>41</v>
      </c>
      <c r="C13" s="1" t="s">
        <v>15</v>
      </c>
      <c r="D13" s="1" t="s">
        <v>42</v>
      </c>
      <c r="E13" s="1">
        <v>6.0</v>
      </c>
      <c r="F13" s="4">
        <v>35.0</v>
      </c>
      <c r="G13" s="1">
        <v>5.0</v>
      </c>
      <c r="H13" s="5">
        <f t="shared" si="2"/>
        <v>1</v>
      </c>
      <c r="I13" s="4">
        <f t="shared" si="3"/>
        <v>-1</v>
      </c>
    </row>
    <row r="14">
      <c r="A14" s="1">
        <v>12.0</v>
      </c>
      <c r="B14" s="1" t="s">
        <v>43</v>
      </c>
      <c r="C14" s="1" t="s">
        <v>15</v>
      </c>
      <c r="D14" s="1" t="s">
        <v>44</v>
      </c>
      <c r="E14" s="1">
        <v>8.0</v>
      </c>
      <c r="F14" s="4">
        <v>36.0</v>
      </c>
      <c r="G14" s="1">
        <v>7.0</v>
      </c>
      <c r="H14" s="5">
        <f t="shared" si="2"/>
        <v>1</v>
      </c>
      <c r="I14" s="4">
        <f t="shared" si="3"/>
        <v>-1</v>
      </c>
    </row>
    <row r="15">
      <c r="A15" s="1">
        <v>13.0</v>
      </c>
      <c r="B15" s="1" t="s">
        <v>45</v>
      </c>
      <c r="C15" s="1" t="s">
        <v>15</v>
      </c>
      <c r="D15" s="1" t="s">
        <v>46</v>
      </c>
      <c r="E15" s="1">
        <v>5.0</v>
      </c>
      <c r="F15" s="4">
        <v>36.0</v>
      </c>
      <c r="G15" s="1">
        <v>5.0</v>
      </c>
      <c r="H15" s="5">
        <f t="shared" si="2"/>
        <v>0</v>
      </c>
      <c r="I15" s="4">
        <f t="shared" si="3"/>
        <v>0</v>
      </c>
    </row>
    <row r="16">
      <c r="A16" s="1">
        <v>14.0</v>
      </c>
      <c r="B16" s="1" t="s">
        <v>47</v>
      </c>
      <c r="C16" s="1" t="s">
        <v>15</v>
      </c>
      <c r="D16" s="1" t="s">
        <v>48</v>
      </c>
      <c r="E16" s="1">
        <v>7.0</v>
      </c>
      <c r="F16" s="4">
        <v>35.0</v>
      </c>
      <c r="G16" s="1">
        <v>6.0</v>
      </c>
      <c r="H16" s="5">
        <f t="shared" si="2"/>
        <v>1</v>
      </c>
      <c r="I16" s="4">
        <f t="shared" si="3"/>
        <v>-1</v>
      </c>
    </row>
    <row r="17">
      <c r="A17" s="1">
        <v>15.0</v>
      </c>
      <c r="B17" s="1" t="s">
        <v>49</v>
      </c>
      <c r="C17" s="1" t="s">
        <v>15</v>
      </c>
      <c r="D17" s="1" t="s">
        <v>50</v>
      </c>
      <c r="E17" s="1">
        <v>2.0</v>
      </c>
      <c r="F17" s="4">
        <v>36.0</v>
      </c>
      <c r="G17" s="1">
        <v>4.0</v>
      </c>
      <c r="H17" s="5">
        <f t="shared" si="2"/>
        <v>2</v>
      </c>
      <c r="I17" s="4">
        <f t="shared" si="3"/>
        <v>2</v>
      </c>
    </row>
    <row r="18">
      <c r="A18" s="1">
        <v>16.0</v>
      </c>
      <c r="B18" s="1" t="s">
        <v>51</v>
      </c>
      <c r="C18" s="1" t="s">
        <v>15</v>
      </c>
      <c r="D18" s="1" t="s">
        <v>52</v>
      </c>
      <c r="E18" s="1">
        <v>7.0</v>
      </c>
      <c r="F18" s="4">
        <v>36.0</v>
      </c>
      <c r="G18" s="1">
        <v>6.0</v>
      </c>
      <c r="H18" s="5">
        <f t="shared" si="2"/>
        <v>1</v>
      </c>
      <c r="I18" s="4">
        <f t="shared" si="3"/>
        <v>-1</v>
      </c>
    </row>
    <row r="19">
      <c r="A19" s="1">
        <v>17.0</v>
      </c>
      <c r="B19" s="1" t="s">
        <v>53</v>
      </c>
      <c r="C19" s="1" t="s">
        <v>15</v>
      </c>
      <c r="D19" s="1" t="s">
        <v>54</v>
      </c>
      <c r="E19" s="1">
        <v>9.0</v>
      </c>
      <c r="F19" s="4">
        <v>36.0</v>
      </c>
      <c r="G19" s="1">
        <v>7.0</v>
      </c>
      <c r="H19" s="5">
        <f t="shared" si="2"/>
        <v>2</v>
      </c>
      <c r="I19" s="4">
        <f t="shared" si="3"/>
        <v>-2</v>
      </c>
    </row>
    <row r="20">
      <c r="A20" s="1">
        <v>18.0</v>
      </c>
      <c r="B20" s="1" t="s">
        <v>55</v>
      </c>
      <c r="C20" s="1" t="s">
        <v>15</v>
      </c>
      <c r="D20" s="1" t="s">
        <v>56</v>
      </c>
      <c r="E20" s="1">
        <v>7.0</v>
      </c>
      <c r="F20" s="4">
        <v>36.0</v>
      </c>
      <c r="G20" s="1">
        <v>6.0</v>
      </c>
      <c r="H20" s="5">
        <f t="shared" si="2"/>
        <v>1</v>
      </c>
      <c r="I20" s="4">
        <f t="shared" si="3"/>
        <v>-1</v>
      </c>
    </row>
    <row r="21">
      <c r="A21" s="1">
        <v>19.0</v>
      </c>
      <c r="B21" s="1" t="s">
        <v>57</v>
      </c>
      <c r="C21" s="1" t="s">
        <v>15</v>
      </c>
      <c r="D21" s="1" t="s">
        <v>58</v>
      </c>
      <c r="E21" s="1">
        <v>0.0</v>
      </c>
      <c r="F21" s="4">
        <v>35.0</v>
      </c>
      <c r="G21" s="1">
        <v>3.0</v>
      </c>
      <c r="H21" s="5">
        <f t="shared" si="2"/>
        <v>3</v>
      </c>
      <c r="I21" s="4">
        <f t="shared" si="3"/>
        <v>3</v>
      </c>
    </row>
    <row r="22">
      <c r="A22" s="1">
        <v>20.0</v>
      </c>
      <c r="B22" s="1" t="s">
        <v>59</v>
      </c>
      <c r="C22" s="1" t="s">
        <v>15</v>
      </c>
      <c r="D22" s="1" t="s">
        <v>60</v>
      </c>
      <c r="E22" s="1">
        <v>8.0</v>
      </c>
      <c r="F22" s="4">
        <v>36.0</v>
      </c>
      <c r="G22" s="1">
        <v>7.0</v>
      </c>
      <c r="H22" s="5">
        <f t="shared" si="2"/>
        <v>1</v>
      </c>
      <c r="I22" s="4">
        <f t="shared" si="3"/>
        <v>-1</v>
      </c>
    </row>
    <row r="23">
      <c r="A23" s="1">
        <v>21.0</v>
      </c>
      <c r="B23" s="1" t="s">
        <v>61</v>
      </c>
      <c r="C23" s="1" t="s">
        <v>15</v>
      </c>
      <c r="D23" s="1" t="s">
        <v>62</v>
      </c>
      <c r="E23" s="1">
        <v>4.0</v>
      </c>
      <c r="F23" s="4">
        <v>35.0</v>
      </c>
      <c r="G23" s="1">
        <v>5.0</v>
      </c>
      <c r="H23" s="5">
        <f t="shared" si="2"/>
        <v>1</v>
      </c>
      <c r="I23" s="4">
        <f t="shared" si="3"/>
        <v>1</v>
      </c>
    </row>
    <row r="24">
      <c r="A24" s="1">
        <v>22.0</v>
      </c>
      <c r="B24" s="1" t="s">
        <v>63</v>
      </c>
      <c r="C24" s="1" t="s">
        <v>15</v>
      </c>
      <c r="D24" s="1" t="s">
        <v>64</v>
      </c>
      <c r="E24" s="1">
        <v>7.0</v>
      </c>
      <c r="F24" s="4">
        <v>36.0</v>
      </c>
      <c r="G24" s="1">
        <v>5.0</v>
      </c>
      <c r="H24" s="5">
        <f t="shared" si="2"/>
        <v>2</v>
      </c>
      <c r="I24" s="4">
        <f t="shared" si="3"/>
        <v>-2</v>
      </c>
    </row>
    <row r="25">
      <c r="A25" s="1">
        <v>23.0</v>
      </c>
      <c r="B25" s="1" t="s">
        <v>65</v>
      </c>
      <c r="C25" s="1" t="s">
        <v>15</v>
      </c>
      <c r="D25" s="1" t="s">
        <v>66</v>
      </c>
      <c r="E25" s="1">
        <v>1.0</v>
      </c>
      <c r="F25" s="4">
        <v>35.0</v>
      </c>
      <c r="G25" s="1">
        <v>2.0</v>
      </c>
      <c r="H25" s="5">
        <f t="shared" si="2"/>
        <v>1</v>
      </c>
      <c r="I25" s="4">
        <f t="shared" si="3"/>
        <v>1</v>
      </c>
    </row>
    <row r="26">
      <c r="A26" s="1">
        <v>24.0</v>
      </c>
      <c r="B26" s="1" t="s">
        <v>67</v>
      </c>
      <c r="C26" s="1" t="s">
        <v>15</v>
      </c>
      <c r="D26" s="1" t="s">
        <v>68</v>
      </c>
      <c r="E26" s="1">
        <v>0.0</v>
      </c>
      <c r="F26" s="4">
        <v>35.0</v>
      </c>
      <c r="G26" s="1">
        <v>2.0</v>
      </c>
      <c r="H26" s="5">
        <f t="shared" si="2"/>
        <v>2</v>
      </c>
      <c r="I26" s="4">
        <f t="shared" si="3"/>
        <v>2</v>
      </c>
    </row>
    <row r="27">
      <c r="A27" s="1">
        <v>25.0</v>
      </c>
      <c r="B27" s="1" t="s">
        <v>69</v>
      </c>
      <c r="C27" s="1" t="s">
        <v>15</v>
      </c>
      <c r="D27" s="1" t="s">
        <v>70</v>
      </c>
      <c r="E27" s="1">
        <v>7.0</v>
      </c>
      <c r="F27" s="4">
        <v>35.0</v>
      </c>
      <c r="G27" s="1">
        <v>5.0</v>
      </c>
      <c r="H27" s="5">
        <f t="shared" si="2"/>
        <v>2</v>
      </c>
      <c r="I27" s="4">
        <f t="shared" si="3"/>
        <v>-2</v>
      </c>
    </row>
    <row r="28">
      <c r="A28" s="1">
        <v>26.0</v>
      </c>
      <c r="B28" s="1" t="s">
        <v>71</v>
      </c>
      <c r="C28" s="1" t="s">
        <v>15</v>
      </c>
      <c r="D28" s="1" t="s">
        <v>72</v>
      </c>
      <c r="E28" s="1">
        <v>7.0</v>
      </c>
      <c r="F28" s="4">
        <v>35.0</v>
      </c>
      <c r="G28" s="1">
        <v>5.0</v>
      </c>
      <c r="H28" s="5">
        <f t="shared" si="2"/>
        <v>2</v>
      </c>
      <c r="I28" s="4">
        <f t="shared" si="3"/>
        <v>-2</v>
      </c>
    </row>
    <row r="29">
      <c r="A29" s="1">
        <v>27.0</v>
      </c>
      <c r="B29" s="1" t="s">
        <v>73</v>
      </c>
      <c r="C29" s="1" t="s">
        <v>15</v>
      </c>
      <c r="D29" s="1" t="s">
        <v>74</v>
      </c>
      <c r="E29" s="1">
        <v>4.0</v>
      </c>
      <c r="F29" s="4">
        <v>35.0</v>
      </c>
      <c r="G29" s="1">
        <v>4.0</v>
      </c>
      <c r="H29" s="5">
        <f t="shared" si="2"/>
        <v>0</v>
      </c>
      <c r="I29" s="4">
        <f t="shared" si="3"/>
        <v>0</v>
      </c>
    </row>
    <row r="30">
      <c r="A30" s="1">
        <v>28.0</v>
      </c>
      <c r="B30" s="1" t="s">
        <v>75</v>
      </c>
      <c r="C30" s="1" t="s">
        <v>15</v>
      </c>
      <c r="D30" s="1" t="s">
        <v>76</v>
      </c>
      <c r="E30" s="1">
        <v>4.0</v>
      </c>
      <c r="F30" s="4">
        <v>35.0</v>
      </c>
      <c r="G30" s="1">
        <v>4.0</v>
      </c>
      <c r="H30" s="5">
        <f t="shared" si="2"/>
        <v>0</v>
      </c>
      <c r="I30" s="4">
        <f t="shared" si="3"/>
        <v>0</v>
      </c>
    </row>
    <row r="31">
      <c r="A31" s="1">
        <v>29.0</v>
      </c>
      <c r="B31" s="1" t="s">
        <v>77</v>
      </c>
      <c r="C31" s="1" t="s">
        <v>15</v>
      </c>
      <c r="D31" s="1" t="s">
        <v>78</v>
      </c>
      <c r="E31" s="1">
        <v>3.0</v>
      </c>
      <c r="F31" s="4">
        <v>35.0</v>
      </c>
      <c r="G31" s="1">
        <v>5.0</v>
      </c>
      <c r="H31" s="5">
        <f t="shared" si="2"/>
        <v>2</v>
      </c>
      <c r="I31" s="4">
        <f t="shared" si="3"/>
        <v>2</v>
      </c>
    </row>
    <row r="32">
      <c r="A32" s="1">
        <v>30.0</v>
      </c>
      <c r="B32" s="1" t="s">
        <v>79</v>
      </c>
      <c r="C32" s="1" t="s">
        <v>15</v>
      </c>
      <c r="D32" s="1" t="s">
        <v>80</v>
      </c>
      <c r="E32" s="1">
        <v>9.0</v>
      </c>
      <c r="F32" s="4">
        <v>36.0</v>
      </c>
      <c r="G32" s="1">
        <v>7.0</v>
      </c>
      <c r="H32" s="5">
        <f t="shared" si="2"/>
        <v>2</v>
      </c>
      <c r="I32" s="4">
        <f t="shared" si="3"/>
        <v>-2</v>
      </c>
    </row>
    <row r="33">
      <c r="A33" s="1">
        <v>31.0</v>
      </c>
      <c r="B33" s="1" t="s">
        <v>81</v>
      </c>
      <c r="C33" s="1" t="s">
        <v>15</v>
      </c>
      <c r="D33" s="1" t="s">
        <v>82</v>
      </c>
      <c r="E33" s="1">
        <v>8.0</v>
      </c>
      <c r="F33" s="4">
        <v>35.0</v>
      </c>
      <c r="G33" s="1">
        <v>5.0</v>
      </c>
      <c r="H33" s="5">
        <f t="shared" si="2"/>
        <v>3</v>
      </c>
      <c r="I33" s="4">
        <f t="shared" si="3"/>
        <v>-3</v>
      </c>
    </row>
    <row r="34">
      <c r="A34" s="1">
        <v>32.0</v>
      </c>
      <c r="B34" s="1" t="s">
        <v>83</v>
      </c>
      <c r="C34" s="1" t="s">
        <v>15</v>
      </c>
      <c r="D34" s="1" t="s">
        <v>84</v>
      </c>
      <c r="E34" s="1">
        <v>8.0</v>
      </c>
      <c r="F34" s="4">
        <v>36.0</v>
      </c>
      <c r="G34" s="1">
        <v>6.0</v>
      </c>
      <c r="H34" s="5">
        <f t="shared" si="2"/>
        <v>2</v>
      </c>
      <c r="I34" s="4">
        <f t="shared" si="3"/>
        <v>-2</v>
      </c>
    </row>
    <row r="35">
      <c r="A35" s="1">
        <v>33.0</v>
      </c>
      <c r="B35" s="1" t="s">
        <v>85</v>
      </c>
      <c r="C35" s="1" t="s">
        <v>15</v>
      </c>
      <c r="D35" s="1" t="s">
        <v>86</v>
      </c>
      <c r="E35" s="1">
        <v>9.0</v>
      </c>
      <c r="F35" s="4">
        <v>36.0</v>
      </c>
      <c r="G35" s="1">
        <v>7.0</v>
      </c>
      <c r="H35" s="5">
        <f t="shared" si="2"/>
        <v>2</v>
      </c>
      <c r="I35" s="4">
        <f t="shared" si="3"/>
        <v>-2</v>
      </c>
    </row>
    <row r="36">
      <c r="A36" s="1">
        <v>34.0</v>
      </c>
      <c r="B36" s="1" t="s">
        <v>87</v>
      </c>
      <c r="C36" s="1" t="s">
        <v>15</v>
      </c>
      <c r="D36" s="1" t="s">
        <v>88</v>
      </c>
      <c r="E36" s="1">
        <v>7.0</v>
      </c>
      <c r="F36" s="4">
        <v>36.0</v>
      </c>
      <c r="G36" s="1">
        <v>4.0</v>
      </c>
      <c r="H36" s="5">
        <f t="shared" si="2"/>
        <v>3</v>
      </c>
      <c r="I36" s="4">
        <f t="shared" si="3"/>
        <v>-3</v>
      </c>
    </row>
    <row r="37">
      <c r="A37" s="1">
        <v>35.0</v>
      </c>
      <c r="B37" s="1" t="s">
        <v>89</v>
      </c>
      <c r="C37" s="1" t="s">
        <v>15</v>
      </c>
      <c r="D37" s="1" t="s">
        <v>90</v>
      </c>
      <c r="E37" s="1">
        <v>6.0</v>
      </c>
      <c r="F37" s="4">
        <v>35.0</v>
      </c>
      <c r="G37" s="1">
        <v>4.0</v>
      </c>
      <c r="H37" s="5">
        <f t="shared" si="2"/>
        <v>2</v>
      </c>
      <c r="I37" s="4">
        <f t="shared" si="3"/>
        <v>-2</v>
      </c>
    </row>
    <row r="38">
      <c r="A38" s="1">
        <v>36.0</v>
      </c>
      <c r="B38" s="1" t="s">
        <v>91</v>
      </c>
      <c r="C38" s="1" t="s">
        <v>15</v>
      </c>
      <c r="D38" s="1" t="s">
        <v>92</v>
      </c>
      <c r="E38" s="1">
        <v>6.0</v>
      </c>
      <c r="F38" s="4">
        <v>35.0</v>
      </c>
      <c r="G38" s="1">
        <v>5.0</v>
      </c>
      <c r="H38" s="5">
        <f t="shared" si="2"/>
        <v>1</v>
      </c>
      <c r="I38" s="4">
        <f t="shared" si="3"/>
        <v>-1</v>
      </c>
    </row>
    <row r="39">
      <c r="A39" s="1">
        <v>37.0</v>
      </c>
      <c r="B39" s="1" t="s">
        <v>93</v>
      </c>
      <c r="C39" s="1" t="s">
        <v>15</v>
      </c>
      <c r="D39" s="1" t="s">
        <v>94</v>
      </c>
      <c r="E39" s="1">
        <v>8.0</v>
      </c>
      <c r="F39" s="4">
        <v>36.0</v>
      </c>
      <c r="G39" s="1">
        <v>6.0</v>
      </c>
      <c r="H39" s="5">
        <f t="shared" si="2"/>
        <v>2</v>
      </c>
      <c r="I39" s="4">
        <f t="shared" si="3"/>
        <v>-2</v>
      </c>
    </row>
    <row r="40">
      <c r="A40" s="1">
        <v>38.0</v>
      </c>
      <c r="B40" s="1" t="s">
        <v>95</v>
      </c>
      <c r="C40" s="1" t="s">
        <v>15</v>
      </c>
      <c r="D40" s="1" t="s">
        <v>96</v>
      </c>
      <c r="E40" s="1">
        <v>8.0</v>
      </c>
      <c r="F40" s="4">
        <v>35.0</v>
      </c>
      <c r="G40" s="1">
        <v>6.0</v>
      </c>
      <c r="H40" s="5">
        <f t="shared" si="2"/>
        <v>2</v>
      </c>
      <c r="I40" s="4">
        <f t="shared" si="3"/>
        <v>-2</v>
      </c>
    </row>
    <row r="41">
      <c r="A41" s="1">
        <v>39.0</v>
      </c>
      <c r="B41" s="1" t="s">
        <v>97</v>
      </c>
      <c r="C41" s="1" t="s">
        <v>15</v>
      </c>
      <c r="D41" s="1" t="s">
        <v>98</v>
      </c>
      <c r="E41" s="1">
        <v>1.0</v>
      </c>
      <c r="F41" s="4">
        <v>35.0</v>
      </c>
      <c r="G41" s="1">
        <v>4.0</v>
      </c>
      <c r="H41" s="5">
        <f t="shared" si="2"/>
        <v>3</v>
      </c>
      <c r="I41" s="4">
        <f t="shared" si="3"/>
        <v>3</v>
      </c>
    </row>
    <row r="42">
      <c r="A42" s="1">
        <v>40.0</v>
      </c>
      <c r="B42" s="1" t="s">
        <v>99</v>
      </c>
      <c r="C42" s="1" t="s">
        <v>15</v>
      </c>
      <c r="D42" s="1" t="s">
        <v>100</v>
      </c>
      <c r="E42" s="1">
        <v>8.0</v>
      </c>
      <c r="F42" s="4">
        <v>36.0</v>
      </c>
      <c r="G42" s="1">
        <v>6.0</v>
      </c>
      <c r="H42" s="5">
        <f t="shared" si="2"/>
        <v>2</v>
      </c>
      <c r="I42" s="4">
        <f t="shared" si="3"/>
        <v>-2</v>
      </c>
    </row>
    <row r="43">
      <c r="A43" s="1">
        <v>41.0</v>
      </c>
      <c r="B43" s="1" t="s">
        <v>101</v>
      </c>
      <c r="C43" s="1" t="s">
        <v>15</v>
      </c>
      <c r="D43" s="1" t="s">
        <v>102</v>
      </c>
      <c r="E43" s="1">
        <v>7.0</v>
      </c>
      <c r="F43" s="4">
        <v>37.0</v>
      </c>
      <c r="G43" s="1">
        <v>6.0</v>
      </c>
      <c r="H43" s="5">
        <f t="shared" si="2"/>
        <v>1</v>
      </c>
      <c r="I43" s="4">
        <f t="shared" si="3"/>
        <v>-1</v>
      </c>
    </row>
    <row r="44">
      <c r="A44" s="1">
        <v>42.0</v>
      </c>
      <c r="B44" s="1" t="s">
        <v>103</v>
      </c>
      <c r="C44" s="1" t="s">
        <v>15</v>
      </c>
      <c r="D44" s="1" t="s">
        <v>104</v>
      </c>
      <c r="E44" s="1">
        <v>6.0</v>
      </c>
      <c r="F44" s="4">
        <v>45.0</v>
      </c>
      <c r="G44" s="1">
        <v>5.0</v>
      </c>
      <c r="H44" s="5">
        <f t="shared" si="2"/>
        <v>1</v>
      </c>
      <c r="I44" s="4">
        <f t="shared" si="3"/>
        <v>-1</v>
      </c>
    </row>
    <row r="45">
      <c r="A45" s="1">
        <v>43.0</v>
      </c>
      <c r="B45" s="1" t="s">
        <v>105</v>
      </c>
      <c r="C45" s="1" t="s">
        <v>15</v>
      </c>
      <c r="D45" s="1" t="s">
        <v>106</v>
      </c>
      <c r="E45" s="1">
        <v>9.0</v>
      </c>
      <c r="F45" s="4">
        <v>36.0</v>
      </c>
      <c r="G45" s="1">
        <v>6.0</v>
      </c>
      <c r="H45" s="5">
        <f t="shared" si="2"/>
        <v>3</v>
      </c>
      <c r="I45" s="4">
        <f t="shared" si="3"/>
        <v>-3</v>
      </c>
    </row>
    <row r="46">
      <c r="A46" s="1">
        <v>44.0</v>
      </c>
      <c r="B46" s="1" t="s">
        <v>107</v>
      </c>
      <c r="C46" s="1" t="s">
        <v>15</v>
      </c>
      <c r="D46" s="1" t="s">
        <v>108</v>
      </c>
      <c r="E46" s="1">
        <v>3.0</v>
      </c>
      <c r="F46" s="4">
        <v>41.0</v>
      </c>
      <c r="G46" s="1">
        <v>5.0</v>
      </c>
      <c r="H46" s="5">
        <f t="shared" si="2"/>
        <v>2</v>
      </c>
      <c r="I46" s="4">
        <f t="shared" si="3"/>
        <v>2</v>
      </c>
    </row>
    <row r="47">
      <c r="A47" s="1">
        <v>45.0</v>
      </c>
      <c r="B47" s="1" t="s">
        <v>109</v>
      </c>
      <c r="C47" s="1" t="s">
        <v>15</v>
      </c>
      <c r="D47" s="1" t="s">
        <v>110</v>
      </c>
      <c r="E47" s="1">
        <v>8.0</v>
      </c>
      <c r="F47" s="4">
        <v>36.0</v>
      </c>
      <c r="G47" s="1">
        <v>7.0</v>
      </c>
      <c r="H47" s="5">
        <f t="shared" si="2"/>
        <v>1</v>
      </c>
      <c r="I47" s="4">
        <f t="shared" si="3"/>
        <v>-1</v>
      </c>
    </row>
    <row r="48">
      <c r="A48" s="1">
        <v>46.0</v>
      </c>
      <c r="B48" s="1" t="s">
        <v>111</v>
      </c>
      <c r="C48" s="1" t="s">
        <v>15</v>
      </c>
      <c r="D48" s="1" t="s">
        <v>112</v>
      </c>
      <c r="E48" s="1">
        <v>3.0</v>
      </c>
      <c r="F48" s="4">
        <v>35.0</v>
      </c>
      <c r="G48" s="1">
        <v>5.0</v>
      </c>
      <c r="H48" s="5">
        <f t="shared" si="2"/>
        <v>2</v>
      </c>
      <c r="I48" s="4">
        <f t="shared" si="3"/>
        <v>2</v>
      </c>
    </row>
    <row r="49">
      <c r="A49" s="1">
        <v>47.0</v>
      </c>
      <c r="B49" s="1" t="s">
        <v>113</v>
      </c>
      <c r="C49" s="1" t="s">
        <v>15</v>
      </c>
      <c r="D49" s="1" t="s">
        <v>114</v>
      </c>
      <c r="E49" s="1">
        <v>2.0</v>
      </c>
      <c r="F49" s="4">
        <v>35.0</v>
      </c>
      <c r="G49" s="1">
        <v>3.0</v>
      </c>
      <c r="H49" s="5">
        <f t="shared" si="2"/>
        <v>1</v>
      </c>
      <c r="I49" s="4">
        <f t="shared" si="3"/>
        <v>1</v>
      </c>
    </row>
    <row r="50">
      <c r="A50" s="1">
        <v>48.0</v>
      </c>
      <c r="B50" s="1" t="s">
        <v>115</v>
      </c>
      <c r="C50" s="1" t="s">
        <v>15</v>
      </c>
      <c r="D50" s="1" t="s">
        <v>116</v>
      </c>
      <c r="E50" s="1">
        <v>2.0</v>
      </c>
      <c r="F50" s="4">
        <v>35.0</v>
      </c>
      <c r="G50" s="1">
        <v>4.0</v>
      </c>
      <c r="H50" s="5">
        <f t="shared" si="2"/>
        <v>2</v>
      </c>
      <c r="I50" s="4">
        <f t="shared" si="3"/>
        <v>2</v>
      </c>
    </row>
    <row r="51">
      <c r="A51" s="1">
        <v>49.0</v>
      </c>
      <c r="B51" s="1" t="s">
        <v>117</v>
      </c>
      <c r="C51" s="1" t="s">
        <v>15</v>
      </c>
      <c r="D51" s="1" t="s">
        <v>118</v>
      </c>
      <c r="E51" s="1">
        <v>8.0</v>
      </c>
      <c r="F51" s="4">
        <v>35.0</v>
      </c>
      <c r="G51" s="1">
        <v>6.0</v>
      </c>
      <c r="H51" s="5">
        <f t="shared" si="2"/>
        <v>2</v>
      </c>
      <c r="I51" s="4">
        <f t="shared" si="3"/>
        <v>-2</v>
      </c>
    </row>
    <row r="52">
      <c r="A52" s="1">
        <v>50.0</v>
      </c>
      <c r="B52" s="1" t="s">
        <v>119</v>
      </c>
      <c r="C52" s="1" t="s">
        <v>15</v>
      </c>
      <c r="D52" s="1" t="s">
        <v>120</v>
      </c>
      <c r="E52" s="1">
        <v>8.0</v>
      </c>
      <c r="F52" s="4">
        <v>35.0</v>
      </c>
      <c r="G52" s="1">
        <v>6.0</v>
      </c>
      <c r="H52" s="5">
        <f t="shared" si="2"/>
        <v>2</v>
      </c>
      <c r="I52" s="4">
        <f t="shared" si="3"/>
        <v>-2</v>
      </c>
    </row>
    <row r="53">
      <c r="A53" s="1">
        <v>51.0</v>
      </c>
      <c r="B53" s="1" t="s">
        <v>121</v>
      </c>
      <c r="C53" s="1" t="s">
        <v>15</v>
      </c>
      <c r="D53" s="1" t="s">
        <v>122</v>
      </c>
      <c r="E53" s="1">
        <v>4.0</v>
      </c>
      <c r="F53" s="4">
        <v>35.0</v>
      </c>
      <c r="G53" s="1">
        <v>5.0</v>
      </c>
      <c r="H53" s="5">
        <f t="shared" si="2"/>
        <v>1</v>
      </c>
      <c r="I53" s="4">
        <f t="shared" si="3"/>
        <v>1</v>
      </c>
    </row>
    <row r="54">
      <c r="A54" s="1">
        <v>52.0</v>
      </c>
      <c r="B54" s="1" t="s">
        <v>123</v>
      </c>
      <c r="C54" s="1" t="s">
        <v>15</v>
      </c>
      <c r="D54" s="1" t="s">
        <v>124</v>
      </c>
      <c r="E54" s="1">
        <v>7.0</v>
      </c>
      <c r="F54" s="4">
        <v>36.0</v>
      </c>
      <c r="G54" s="1">
        <v>5.0</v>
      </c>
      <c r="H54" s="5">
        <f t="shared" si="2"/>
        <v>2</v>
      </c>
      <c r="I54" s="4">
        <f t="shared" si="3"/>
        <v>-2</v>
      </c>
    </row>
    <row r="55">
      <c r="A55" s="1">
        <v>53.0</v>
      </c>
      <c r="B55" s="1" t="s">
        <v>125</v>
      </c>
      <c r="C55" s="1" t="s">
        <v>15</v>
      </c>
      <c r="D55" s="1" t="s">
        <v>126</v>
      </c>
      <c r="E55" s="1">
        <v>5.0</v>
      </c>
      <c r="F55" s="4">
        <v>36.0</v>
      </c>
      <c r="G55" s="1">
        <v>5.0</v>
      </c>
      <c r="H55" s="5">
        <f t="shared" si="2"/>
        <v>0</v>
      </c>
      <c r="I55" s="4">
        <f t="shared" si="3"/>
        <v>0</v>
      </c>
    </row>
    <row r="56">
      <c r="A56" s="1">
        <v>54.0</v>
      </c>
      <c r="B56" s="1" t="s">
        <v>127</v>
      </c>
      <c r="C56" s="1" t="s">
        <v>15</v>
      </c>
      <c r="D56" s="1" t="s">
        <v>128</v>
      </c>
      <c r="E56" s="1">
        <v>5.0</v>
      </c>
      <c r="F56" s="4">
        <v>36.0</v>
      </c>
      <c r="G56" s="1">
        <v>6.0</v>
      </c>
      <c r="H56" s="5">
        <f t="shared" si="2"/>
        <v>1</v>
      </c>
      <c r="I56" s="4">
        <f t="shared" si="3"/>
        <v>1</v>
      </c>
    </row>
    <row r="57">
      <c r="A57" s="1">
        <v>55.0</v>
      </c>
      <c r="B57" s="1" t="s">
        <v>129</v>
      </c>
      <c r="C57" s="1" t="s">
        <v>15</v>
      </c>
      <c r="D57" s="1" t="s">
        <v>130</v>
      </c>
      <c r="E57" s="1">
        <v>9.0</v>
      </c>
      <c r="F57" s="4">
        <v>36.0</v>
      </c>
      <c r="G57" s="1">
        <v>6.0</v>
      </c>
      <c r="H57" s="5">
        <f t="shared" si="2"/>
        <v>3</v>
      </c>
      <c r="I57" s="4">
        <f t="shared" si="3"/>
        <v>-3</v>
      </c>
    </row>
    <row r="58">
      <c r="A58" s="1">
        <v>56.0</v>
      </c>
      <c r="B58" s="1" t="s">
        <v>131</v>
      </c>
      <c r="C58" s="1" t="s">
        <v>15</v>
      </c>
      <c r="D58" s="1" t="s">
        <v>132</v>
      </c>
      <c r="E58" s="1">
        <v>4.0</v>
      </c>
      <c r="F58" s="4">
        <v>35.0</v>
      </c>
      <c r="G58" s="1">
        <v>5.0</v>
      </c>
      <c r="H58" s="5">
        <f t="shared" si="2"/>
        <v>1</v>
      </c>
      <c r="I58" s="4">
        <f t="shared" si="3"/>
        <v>1</v>
      </c>
    </row>
    <row r="59">
      <c r="A59" s="1">
        <v>57.0</v>
      </c>
      <c r="B59" s="1" t="s">
        <v>133</v>
      </c>
      <c r="C59" s="1" t="s">
        <v>15</v>
      </c>
      <c r="D59" s="1" t="s">
        <v>134</v>
      </c>
      <c r="E59" s="1">
        <v>0.0</v>
      </c>
      <c r="F59" s="4">
        <v>35.0</v>
      </c>
      <c r="G59" s="1">
        <v>0.0</v>
      </c>
      <c r="H59" s="5">
        <f t="shared" si="2"/>
        <v>0</v>
      </c>
      <c r="I59" s="4">
        <f t="shared" si="3"/>
        <v>0</v>
      </c>
    </row>
    <row r="60">
      <c r="A60" s="1">
        <v>58.0</v>
      </c>
      <c r="B60" s="1" t="s">
        <v>135</v>
      </c>
      <c r="C60" s="1" t="s">
        <v>15</v>
      </c>
      <c r="D60" s="1" t="s">
        <v>136</v>
      </c>
      <c r="E60" s="1">
        <v>2.0</v>
      </c>
      <c r="F60" s="4">
        <v>35.0</v>
      </c>
      <c r="G60" s="1">
        <v>5.0</v>
      </c>
      <c r="H60" s="5">
        <f t="shared" si="2"/>
        <v>3</v>
      </c>
      <c r="I60" s="4">
        <f t="shared" si="3"/>
        <v>3</v>
      </c>
    </row>
    <row r="61">
      <c r="A61" s="1">
        <v>59.0</v>
      </c>
      <c r="B61" s="1" t="s">
        <v>137</v>
      </c>
      <c r="C61" s="1" t="s">
        <v>15</v>
      </c>
      <c r="D61" s="1" t="s">
        <v>138</v>
      </c>
      <c r="E61" s="1">
        <v>3.0</v>
      </c>
      <c r="F61" s="4">
        <v>35.0</v>
      </c>
      <c r="G61" s="1">
        <v>4.0</v>
      </c>
      <c r="H61" s="5">
        <f t="shared" si="2"/>
        <v>1</v>
      </c>
      <c r="I61" s="4">
        <f t="shared" si="3"/>
        <v>1</v>
      </c>
    </row>
    <row r="62">
      <c r="A62" s="1">
        <v>60.0</v>
      </c>
      <c r="B62" s="1" t="s">
        <v>139</v>
      </c>
      <c r="C62" s="1" t="s">
        <v>15</v>
      </c>
      <c r="D62" s="1" t="s">
        <v>140</v>
      </c>
      <c r="E62" s="1">
        <v>1.0</v>
      </c>
      <c r="F62" s="4">
        <v>35.0</v>
      </c>
      <c r="G62" s="1">
        <v>5.0</v>
      </c>
      <c r="H62" s="5">
        <f t="shared" si="2"/>
        <v>4</v>
      </c>
      <c r="I62" s="4">
        <f t="shared" si="3"/>
        <v>4</v>
      </c>
    </row>
    <row r="63">
      <c r="A63" s="1">
        <v>61.0</v>
      </c>
      <c r="B63" s="1" t="s">
        <v>141</v>
      </c>
      <c r="C63" s="1" t="s">
        <v>15</v>
      </c>
      <c r="D63" s="1" t="s">
        <v>142</v>
      </c>
      <c r="E63" s="1">
        <v>9.0</v>
      </c>
      <c r="F63" s="4">
        <v>36.0</v>
      </c>
      <c r="G63" s="1">
        <v>7.0</v>
      </c>
      <c r="H63" s="5">
        <f t="shared" si="2"/>
        <v>2</v>
      </c>
      <c r="I63" s="4">
        <f t="shared" si="3"/>
        <v>-2</v>
      </c>
    </row>
    <row r="64">
      <c r="A64" s="1">
        <v>62.0</v>
      </c>
      <c r="B64" s="1" t="s">
        <v>143</v>
      </c>
      <c r="C64" s="1" t="s">
        <v>15</v>
      </c>
      <c r="D64" s="1" t="s">
        <v>144</v>
      </c>
      <c r="E64" s="1">
        <v>3.0</v>
      </c>
      <c r="F64" s="4">
        <v>36.0</v>
      </c>
      <c r="G64" s="1">
        <v>5.0</v>
      </c>
      <c r="H64" s="5">
        <f t="shared" si="2"/>
        <v>2</v>
      </c>
      <c r="I64" s="4">
        <f t="shared" si="3"/>
        <v>2</v>
      </c>
    </row>
    <row r="65">
      <c r="A65" s="1">
        <v>63.0</v>
      </c>
      <c r="B65" s="1" t="s">
        <v>145</v>
      </c>
      <c r="C65" s="1" t="s">
        <v>15</v>
      </c>
      <c r="D65" s="1" t="s">
        <v>146</v>
      </c>
      <c r="E65" s="1">
        <v>2.0</v>
      </c>
      <c r="F65" s="4">
        <v>35.0</v>
      </c>
      <c r="G65" s="1">
        <v>5.0</v>
      </c>
      <c r="H65" s="5">
        <f t="shared" si="2"/>
        <v>3</v>
      </c>
      <c r="I65" s="4">
        <f t="shared" si="3"/>
        <v>3</v>
      </c>
    </row>
    <row r="66">
      <c r="A66" s="1">
        <v>64.0</v>
      </c>
      <c r="B66" s="1" t="s">
        <v>147</v>
      </c>
      <c r="C66" s="1" t="s">
        <v>15</v>
      </c>
      <c r="D66" s="1" t="s">
        <v>148</v>
      </c>
      <c r="E66" s="1">
        <v>0.0</v>
      </c>
      <c r="F66" s="4">
        <v>35.0</v>
      </c>
      <c r="G66" s="1">
        <v>0.0</v>
      </c>
      <c r="H66" s="5">
        <f t="shared" si="2"/>
        <v>0</v>
      </c>
      <c r="I66" s="4">
        <f t="shared" si="3"/>
        <v>0</v>
      </c>
    </row>
    <row r="67">
      <c r="A67" s="1">
        <v>65.0</v>
      </c>
      <c r="B67" s="1" t="s">
        <v>149</v>
      </c>
      <c r="C67" s="1" t="s">
        <v>15</v>
      </c>
      <c r="D67" s="1" t="s">
        <v>150</v>
      </c>
      <c r="E67" s="1">
        <v>0.0</v>
      </c>
      <c r="F67" s="4">
        <v>35.0</v>
      </c>
      <c r="G67" s="1">
        <v>0.0</v>
      </c>
      <c r="H67" s="5">
        <f t="shared" si="2"/>
        <v>0</v>
      </c>
      <c r="I67" s="4">
        <f t="shared" si="3"/>
        <v>0</v>
      </c>
    </row>
    <row r="68">
      <c r="A68" s="1">
        <v>66.0</v>
      </c>
      <c r="B68" s="1" t="s">
        <v>151</v>
      </c>
      <c r="C68" s="1" t="s">
        <v>15</v>
      </c>
      <c r="D68" s="1" t="s">
        <v>152</v>
      </c>
      <c r="E68" s="1">
        <v>4.0</v>
      </c>
      <c r="F68" s="4">
        <v>35.0</v>
      </c>
      <c r="G68" s="1">
        <v>5.0</v>
      </c>
      <c r="H68" s="5">
        <f t="shared" si="2"/>
        <v>1</v>
      </c>
      <c r="I68" s="4">
        <f t="shared" si="3"/>
        <v>1</v>
      </c>
    </row>
    <row r="69">
      <c r="A69" s="1">
        <v>67.0</v>
      </c>
      <c r="B69" s="1" t="s">
        <v>153</v>
      </c>
      <c r="C69" s="1" t="s">
        <v>15</v>
      </c>
      <c r="D69" s="1" t="s">
        <v>154</v>
      </c>
      <c r="E69" s="1">
        <v>6.0</v>
      </c>
      <c r="F69" s="4">
        <v>35.0</v>
      </c>
      <c r="G69" s="1">
        <v>5.0</v>
      </c>
      <c r="H69" s="5">
        <f t="shared" si="2"/>
        <v>1</v>
      </c>
      <c r="I69" s="4">
        <f t="shared" si="3"/>
        <v>-1</v>
      </c>
    </row>
    <row r="70">
      <c r="A70" s="1">
        <v>68.0</v>
      </c>
      <c r="B70" s="1" t="s">
        <v>155</v>
      </c>
      <c r="C70" s="1" t="s">
        <v>15</v>
      </c>
      <c r="D70" s="1" t="s">
        <v>156</v>
      </c>
      <c r="E70" s="1">
        <v>8.0</v>
      </c>
      <c r="F70" s="4">
        <v>36.0</v>
      </c>
      <c r="G70" s="1">
        <v>7.0</v>
      </c>
      <c r="H70" s="5">
        <f t="shared" si="2"/>
        <v>1</v>
      </c>
      <c r="I70" s="4">
        <f t="shared" si="3"/>
        <v>-1</v>
      </c>
    </row>
    <row r="71">
      <c r="A71" s="1">
        <v>69.0</v>
      </c>
      <c r="B71" s="1" t="s">
        <v>157</v>
      </c>
      <c r="C71" s="1" t="s">
        <v>15</v>
      </c>
      <c r="D71" s="1" t="s">
        <v>158</v>
      </c>
      <c r="E71" s="1">
        <v>5.0</v>
      </c>
      <c r="F71" s="4">
        <v>35.0</v>
      </c>
      <c r="G71" s="1">
        <v>5.0</v>
      </c>
      <c r="H71" s="5">
        <f t="shared" si="2"/>
        <v>0</v>
      </c>
      <c r="I71" s="4">
        <f t="shared" si="3"/>
        <v>0</v>
      </c>
    </row>
    <row r="72">
      <c r="A72" s="1">
        <v>70.0</v>
      </c>
      <c r="B72" s="1" t="s">
        <v>159</v>
      </c>
      <c r="C72" s="1" t="s">
        <v>15</v>
      </c>
      <c r="D72" s="1" t="s">
        <v>160</v>
      </c>
      <c r="E72" s="1">
        <v>0.0</v>
      </c>
      <c r="F72" s="4">
        <v>35.0</v>
      </c>
      <c r="G72" s="1">
        <v>2.0</v>
      </c>
      <c r="H72" s="5">
        <f t="shared" si="2"/>
        <v>2</v>
      </c>
      <c r="I72" s="4">
        <f t="shared" si="3"/>
        <v>2</v>
      </c>
    </row>
    <row r="73">
      <c r="F73" s="4">
        <f>AVERAGE(F2:F72)</f>
        <v>35.91549296</v>
      </c>
    </row>
  </sheetData>
  <drawing r:id="rId1"/>
</worksheet>
</file>