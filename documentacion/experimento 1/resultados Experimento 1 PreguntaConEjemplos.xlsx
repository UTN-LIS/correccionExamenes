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Ej" sheetId="1" r:id="rId5"/>
  </sheets>
  <definedNames/>
  <calcPr/>
</workbook>
</file>

<file path=xl/sharedStrings.xml><?xml version="1.0" encoding="utf-8"?>
<sst xmlns="http://schemas.openxmlformats.org/spreadsheetml/2006/main" count="230" uniqueCount="160">
  <si>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</si>
  <si>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</si>
  <si>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</si>
  <si>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</si>
  <si>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</si>
  <si>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</si>
  <si>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</si>
  <si>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</si>
  <si>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</si>
  <si>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</si>
  <si>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</si>
  <si>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</si>
  <si>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</si>
  <si>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</si>
  <si>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
Ejemplos de correcciones: 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 Evaluacion: Nota: 9 Justificacion: Describes bien qué son las aserciones, cómo se usan en los tests y por qué son clave para comprobar el correcto funcionamiento del código, mencionando ejemplos de igualdad, nulidad y booleanos. Te falta relacionarlas explícitamente con TDD y su papel como fuente de retroalimentación inmediata sobre el cumplimiento de requisitos, y podrías matizar mejor otros tipos de aserciones (por ejemplo, excepciones). Por eso no llega al 10. 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 Evaluacion: Nota: 6 Justificacion: Reconoces que las aserciones comparan valores/objetos y que, si fallan, el test también falla, lo cual es correcto. Sin embargo, te quedas corto: no explicas que sirven para comprobar resultados esperados del código bajo prueba, ni su papel como mecanismo de feedback en TDD, ni mencionas tipos de aserciones (igualdad, nulidad, excepciones). La respuesta es correcta pero demasiado superficial para el nivel esperado. Respuesta: Se pueden utilizar por ejemplo cuando un campo no puede ser nulo, poniendo @NOTNULL para evitar campos que no se rellenen y sean obligatorios, saltando el error correspondiente para solucionarlo. Evaluacion: Nota: 2, Justificacion: Se pueden utilizar por ejemplo cuando un campo no puede ser nulo, poniendo @NOTNULL para evitar campos que no se rellenen y sean obligatorios, saltando el error correspondiente para solucionarlo.</t>
  </si>
  <si>
    <t>Evaluación:
Nota: 4
Justificación: Reconoces que las aserciones se usan en los tests para validar su funcionamiento, lo cual es correcto. Sin embargo, la descripción es muy general y no se</t>
  </si>
  <si>
    <t>Respuesta: Las aserciones en el contexto del software, son muy relevantes para cubrir el codigo y evitar excepciones y errores que provocarian si no son revisados con este metodo asertivo.</t>
  </si>
  <si>
    <t>Evaluación:
Nota: 4
Justificación: La respuesta reconoce la importancia de las aserciones en la detección de errores y excepciones, lo cual es correcto. Sin embargo, la descripción es bastante gen</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</si>
  <si>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</si>
  <si>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</si>
  <si>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</si>
  <si>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</si>
  <si>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</si>
  <si>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la importancia de las aserciones en los tests, pero presenta algunas inexactitudes y omisiones significativas.
- **Conceptos Correctos**: Reconoc</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</si>
  <si>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</si>
  <si>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reconoce que las aserciones son herramientas de test que validan si los tests están correctos, lo cual es una idea parcialmente correcta. Sin embargo,</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</si>
  <si>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</si>
  <si>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reconoce que las aserciones se utilizan para verificar si un test funciona correctamente o no, lo cual es una idea correcta. Sin embargo, la descripción es bastante</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</si>
  <si>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</si>
  <si>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algunos elementos correctos, pero carece de profundidad y precisión en varios aspectos:
Conceptos correctamente mencionados:
- Se reconoce que las aserciones</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</si>
  <si>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</si>
  <si>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completa en términos de la funcionalidad de las aserciones y su uso en la arquitectura AAA. Menciona correctamente que las</t>
  </si>
  <si>
    <t>Respuesta: las aserciones permiten validar que el test haya pasado o no despues de haber declarado las variables con arrange y ejecutarlas con act, y assert valida que el test haya sido pasado con éxito, que es lo que buscamos</t>
  </si>
  <si>
    <t>Evaluación:
Nota: 5
Justificación: 
La respuesta reconoce que las aserciones se utilizan para validar si un test ha pasado o no, lo cual es correcto. Sin embargo, hay varios aspectos que f</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</si>
  <si>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</si>
  <si>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7
Justificación: La respuesta identifica correctamente que las aserciones miden el resultado obtenido contra el esperado y que, en caso de no coincidir, generan un error que hará</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</si>
  <si>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</si>
  <si>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5
Justificación: La respuesta contiene elementos correctos, pero carece de profundidad y precisión. Menciona que las aserciones son validaciones que comprueban si una afirmación es correct</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</si>
  <si>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</si>
  <si>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7
Justificación: La respuesta reconoce correctamente que las aserciones permiten comprobar si una condición es verdadera y menciona un ejemplo específico usando `AssertTrue`. También señala correctamente que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</si>
  <si>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</si>
  <si>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6
Justificación: La respuesta reconoce que las aserciones se utilizan para validar y comparar objetos o valores, y que si una aserción falla, el test también fallará. Esto</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</si>
  <si>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</si>
  <si>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menciona correctamente que las aserciones son fundamentales en el desarrollo de pruebas, y da un buen ejemplo de cómo `assertEqual` se utiliza para verificar si un resultado</t>
  </si>
  <si>
    <t>Respuesta: Los assert sirven para comprobar lo que devuelve o hacen las funciones, son unos de los pilares para poder hacer los test en el TDD.</t>
  </si>
  <si>
    <t>Evaluación:
Nota: 5
Justificación: La respuesta reconoce correctamente que los asserts se utilizan para verificar lo que devuelven o realizan las funciones y que son fundamentales para realizar pruebas en TDD. Sin embargo</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</si>
  <si>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</si>
  <si>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que las aserciones se utilizan para comparar resultados, lo cual es correcto. Sin embargo, la descripción es bastante general y no abarca todos</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</si>
  <si>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</si>
  <si>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intenta abordar algunos puntos relevantes sobre las aserciones, como su importancia para asegurar que el código se ejecute correctamente y para garantizar la cobertura</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</si>
  <si>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</si>
  <si>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contiene algunos elementos correctos, como la idea de que las aserciones se utilizan para validar resultados específicos de las funciones y su importancia para confirmar que los tests</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</si>
  <si>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</si>
  <si>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7
Justificación: La respuesta reconoce que las aserciones son comparaciones entre valores introducidos y deseados, y menciona correctamente que son fundamentales para los test unitarios y la ver</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</si>
  <si>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</si>
  <si>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7
Justificación: La respuesta reconoce correctamente que las aserciones se utilizan para manejar entradas inválidas y excepciones, como la división por cero, y destaca su import</t>
  </si>
  <si>
    <t>Respuesta: Las podemos usar en diferentes modos:
* Para clases.
* Para integraciones.
* Para tets.</t>
  </si>
  <si>
    <t>Evaluación:
Nota: 3
Justificación: 
- **Conceptos Correctos**: La respuesta reconoce que las aserciones pueden utilizarse en pruebas (tests), aunque no se proporciona una explicación detallada de</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</si>
  <si>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</si>
  <si>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7
Justificación: La respuesta contiene elementos correctos y relevantes sobre aserciones y su uso en pruebas, pero presenta algunos errores y carencias.
Conceptos correctos mencionados:
- Def</t>
  </si>
  <si>
    <t>Respuesta: Se utilizan en los tests para comprobar trozos pequeños de codigo, y tienen importancia ya que validan el código, aportando seguridad al software.</t>
  </si>
  <si>
    <t>Evaluación:
Nota: 4
Justificación: Reconoces que las aserciones se utilizan en los tests para comprobar partes del código, lo cual es correcto. También mencionas que validan el código y</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</si>
  <si>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</si>
  <si>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5
Justificación: La respuesta reconoce correctamente que las aserciones se utilizan en los tests para comprobar fragmentos de código, aunque podría ser más preciso decir que se utilizan para verificar</t>
  </si>
  <si>
    <t>Respuesta: assert.equals sirve para introducir valores en los parámetros a la hora de hacer tests</t>
  </si>
  <si>
    <t>Evaluación:
Nota: 3
Justificación: La respuesta identifica correctamente que `assert.assertEquals` (no `assert.equals`) se utiliza para comparar valores en pruebas unitarias, lo cual es correcto. Sin embargo, la</t>
  </si>
  <si>
    <t>Respuesta: .</t>
  </si>
  <si>
    <t>Nota: 2
Justificación: La respuesta proporcionada es demasiado breve y carece de detalles cruciales sobre cómo se utilizan las aserciones en los tests y por qué son importantes. Menciona solo un ejemplo muy específico y</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</si>
  <si>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</si>
  <si>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correctamente que las aserciones se utilizan para comparar los resultados obtenidos con los esperados, lo cual es un concepto básico y correcto. También indica</t>
  </si>
  <si>
    <t>Respuesta: Las aserciones sirven para evaluar concretamente un valor esperado del test ya sea en una comparación de valores, de referencias, booleanas, etc...</t>
  </si>
  <si>
    <t>Evaluación:
Nota: 4
Justificación: La respuesta reconoce que las aserciones se utilizan para evaluar valores esperados en diferentes tipos de comparaciones, lo cual es correcto. Sin embargo, la respuesta es bastante</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</si>
  <si>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</si>
  <si>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4
Justificación: La respuesta reconoce la existencia de diferentes tipos de aserciones y menciona correctamente `AssertionEquals`, explicando que este tipo de aserción compara el resultado esperado con</t>
  </si>
  <si>
    <t>Respuesta: Las aserciones son verificaciones de las validaciones de entrada. Un ejemplo podría ser assertionNotNull(actual) / assertionNull(actual) que nos sirve para conocer si el valor de entrada (actual) es nulo o no.</t>
  </si>
  <si>
    <t>Evaluación:
Nota: 4
Justificación: La respuesta contiene información relevante sobre cómo se utilizan las aserciones, específicamente en relación con verificar si un valor es nulo o no. Sin embargo, la respuesta carece</t>
  </si>
  <si>
    <t>Respuesta: Las aserciones se utilizan para estructurar y validar la forma en al que los tests se realizan. Esto hace que sean mas fiables y que tenga mayor cobertura.</t>
  </si>
  <si>
    <t>Evaluación:
Nota: 4
Justificación: La respuesta reconoce que las aserciones se utilizan para mejorar la fiabilidad y la cobertura de los tests, lo cual es correcto. Sin embargo, la respuesta es muy</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</si>
  <si>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</si>
  <si>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7
Justificación: La respuesta proporciona una descripción general correcta sobre el propósito de las aserciones en los tests y menciona correctamente algunos tipos de aserciones como `assertEquals`, `assertThrows</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</si>
  <si>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</si>
  <si>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reconoce que las aserciones son elementos cruciales en los tests, destacando su función de validar o invalidar un test. Sin embargo, la explicación es bastante superficial</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</si>
  <si>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</si>
  <si>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reconoce correctamente que las aserciones se utilizan para verificar que el código bajo prueba produce los resultados esperados, citando `assertEquals` como un ejemplo. También se menc</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</si>
  <si>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</si>
  <si>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reconoce que las aserciones se utilizan en los tests para comprobar escenarios, y menciona correctamente que se pueden usar para comparaciones básicas como iguald</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</si>
  <si>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</si>
  <si>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**Nota:** 4
**Justificación:** 
- **Conceptos Correctos Mencionados:** 
  - Reconoces correctamente que las aserciones se utilizan en los tests.
  - Identificas correctamente `assertEquals`,</t>
  </si>
  <si>
    <t>Respuesta: Los assertions se pueden utilizar para los test como una declaración para verificar una condición y si la condición es falsa, el test fallará. Es importante por que ayuda a minimizar el código de los tests.</t>
  </si>
  <si>
    <t>Evaluación:
Nota: 5
Justificación: La respuesta reconoce que las aserciones se utilizan para verificar condiciones en los tests, y que si la condición es falsa, el test fallará. Esto es correcto</t>
  </si>
  <si>
    <t>Respuesta: Las aserciones son importantes ya que validad los resultados de los tests, al fin y al cabo son los encargados de decir si un test pasa o no. Se utilizan al final del test</t>
  </si>
  <si>
    <t>Evaluación:
Nota: 4
Justificación: La respuesta reconoce que las aserciones son fundamentales para determinar si un test pasa o falla, lo cual es correcto. Sin embargo, hay varios aspectos que f</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</si>
  <si>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</si>
  <si>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menciona correctamente que las aserciones pueden utilizarse para verificar rápidamente si ciertos métodos funcionan como se espera, utilizando un ejemplo concreto de una suma</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</si>
  <si>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</si>
  <si>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reconoce que las aserciones permiten comprobar si una condición se cumple y que si no se cumple, el test falla. Menciona que</t>
  </si>
  <si>
    <t>Respuesta: Son importantes porque se pueden usar para distintas situaciones, ya sea para ver si funcionan, para ver si son iguales, para eliminar o añadir mas.</t>
  </si>
  <si>
    <t>Nota: 3
Justificación: Reconoces que las aserciones son útiles en varios escenarios, lo cual es parcialmente correcto. Sin embargo, la respuesta es muy general y no se centra en el uso específico</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</si>
  <si>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</si>
  <si>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7
Justificación: La respuesta contiene varios elementos correctos y relevantes, pero también presenta algunos errores y omisiones.
Conceptos correctamente mencionados:
- Las aserciones son una parte fundamental en</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</si>
  <si>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</si>
  <si>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5
Justificación: La respuesta reconoce la importancia de las aserciones y menciona algunos tipos de aserciones como @AssertEqual, @AssertTrue, @AssertFalse, @AssertNotNull y</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</si>
  <si>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</si>
  <si>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En la respuesta se menciona correctamente que las aserciones se utilizan para verificar si los datos introducidos son correctos y que si no lo son, el test fallará</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</si>
  <si>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</si>
  <si>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5
Justificación: 
- **Conceptos Correctos:** Has identificado correctamente que las aserciones son condiciones para verificar algo y que si no se cumplen, el test fallará. También has reconoc</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</si>
  <si>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</si>
  <si>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reconoce que las aserciones pueden ayudar a anticiparse a posibles errores basándose en lo que introduce el usuario, lo cual es parcialmente correcto en el</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</si>
  <si>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</si>
  <si>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es bastante precisa y completa en varios aspectos. Menciona correctamente la estructura AAA (Arrange-Act-Assert) y cómo se utilizan las aserciones para verificar</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</si>
  <si>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</si>
  <si>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reconoce parcialmente el propósito de las aserciones en los tests, destacando que ayudan a validar datos y a prevenir errores internos, lo cual es correct</t>
  </si>
  <si>
    <t>Respuesta: Las aserciones en los test sirven para que el codigo no influya en los datos, es decir, para que el codigo no pueda cambiar o eliminar cualquier tipo de dato que estamos verificando con los tests</t>
  </si>
  <si>
    <t>Evaluación:
Nota: 3
Justificación: La respuesta intenta describir el propósito de las aserciones, pero contiene varios errores y omisiones importantes. Primero, se menciona que las aserciones ayudan a</t>
  </si>
  <si>
    <t>Respuesta: Se pueden utilizar por ejemplo cuando un campo no puede ser nulo, poniendo @NOTNULL para evitar campos que no se rellenen y sean obligatorios, saltando el error correspondiente para solucionarlo.</t>
  </si>
  <si>
    <t>Nota: 2
Justificación: La respuesta proporcionada no aborda correctamente la pregunta. En ella, se menciona el uso de `@NOTNULL`, que es una anotación que se usa en frameworks como Hibernate para asegurar que</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</si>
  <si>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</si>
  <si>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6
Justificación: La respuesta reconoce que las aserciones se utilizan en los tests para comparar valores, datos o resultados, y proporciona un ejemplo básico de cómo se pueden usar para verificar que</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</si>
  <si>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</si>
  <si>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5
Justificación: 
En tu respuesta, has identificado correctamente que las aserciones se utilizan para verificar el correcto funcionamiento de las funciones creadas. También has señalado que permiten com</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</si>
  <si>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</si>
  <si>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menciona que las aserciones devuelven valores booleanos, lo cual es correcto. También reconoce que su uso ayuda en el desarrollo de código limpio y seguro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</si>
  <si>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</si>
  <si>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5
Justificación: La respuesta menciona dos tipos básicos de aserciones, `assertionsEqual` y `assertionsTrue`, y proporciona un ejemplo para cada uno. Esto es correcto en</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</si>
  <si>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</si>
  <si>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5
Justificación: La respuesta reconoce que las aserciones se utilizan para verificar si ciertas condiciones son verdaderas o falsas, y que si un test falla, significa que es f</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</si>
  <si>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</si>
  <si>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5
Justificación: La respuesta reconoce que las aserciones permiten comprobar la validez de variables o datos y que son importantes para verificar que los tests funcionen correctamente. Sin embargo, la</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</si>
  <si>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</si>
  <si>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7
Justificación: La respuesta reconoce correctamente que las aserciones comprueban si una condición es verdadera o no y que se utilizan en los tests para comparar el valor real con el</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</si>
  <si>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</si>
  <si>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5
Justificación: La respuesta contiene elementos correctos, como la mención de `Assert.Equals()` y la idea de que los asserts son fundamentales para garantizar que el código funciona correctamente. Sin embargo,</t>
  </si>
  <si>
    <t>Respuesta: No lo se :(</t>
  </si>
  <si>
    <t>Evaluación:
Nota: 0
Justificación: La respuesta proporcionada es completamente incorrecta y vacía, no se mencionan ni siquiera aspectos básicos sobre el tema. Es importante que el estudiante revise la defin</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</si>
  <si>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</si>
  <si>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5
Justificación: 
- **Conceptos Correctos**: Has mencionado correctamente que las aserciones se utilizan para validar datos y has identificado correctamente dos tipos de anotaciones (ej.</t>
  </si>
  <si>
    <t>Respuesta: Las aserciones de los test sirven para comprobar que el programa funciona de la manera esperada por el programador. Es una verificación del programa que funciona correctamente.</t>
  </si>
  <si>
    <t>Evaluación:
Nota: 4
Justificación: La respuesta reconoce que las aserciones en los tests tienen como objetivo verificar que el programa funcione de la manera esperada, lo cual es correcto. Sin embargo, la explic</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</si>
  <si>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</si>
  <si>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4
Justificación: 
- La respuesta menciona que las aserciones se declaran antes del test, aunque no es exactamente así (las aserciones se usan dentro del cuerpo del test,</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</si>
  <si>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</si>
  <si>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8
Justificación: La respuesta es bastante precisa y completa en términos de la descripción de lo que son las aserciones y cómo se utilizan en los tests. Menciona correctamente el uso</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</si>
  <si>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</si>
  <si>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5
Justificación: 
En tu respuesta se menciona correctamente que las aserciones se utilizan para validar datos en diferentes tipos de pruebas, lo cual es correcto. También has identificado correctamente dos</t>
  </si>
  <si>
    <t>Respuesta: Son importantes porque permiten un mayor control a la hora de hacer el testing, y permite el uso de una mayor cantidad de datos, permitiendo que el test sea más viable al cubrir mayor cantidad de datos .</t>
  </si>
  <si>
    <t>Evaluación:
Nota: 4
Justificación: La respuesta reconoce que las aserciones son útiles para aumentar el control en pruebas y cubrir una mayor cantidad de datos, lo cual es parcialmente correcto.</t>
  </si>
  <si>
    <t>Respuesta: No
se
la
respuesta</t>
  </si>
  <si>
    <t>Nota: 0
Justificación: La respuesta es completamente incorrecta y vacía, no contiene ninguna información relevante sobre el uso de las aserciones en los tests ni sus importancias.</t>
  </si>
  <si>
    <t>Respuesta: NO SE</t>
  </si>
  <si>
    <t>Nota: 0
Justificación: La respuesta proporcionada es simplemente "NO SE", lo cual no aporta ninguna información relevante sobre cómo se utilizan las aserciones en los tests ni por qué son importantes. Esta respuesta no</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</si>
  <si>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</si>
  <si>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reconoce que las aserciones pueden utilizarse en pruebas utilizando bibliotecas como Jakarta, menciona un ejemplo específico de `assertEquals` y explica brevemente</t>
  </si>
  <si>
    <t>Respuesta: Las aserciones se pueden utilizar para comprobar las salidas de los test en función de las entradas. Esto es muy importante para comprobar si la salida tiene sentido teniendo en cuenta las entradas del test.</t>
  </si>
  <si>
    <t>Evaluación:
Nota: 5
Justificación: La respuesta reconoce parcialmente la función de las aserciones en los tests, especificando que se utilizan para comprobar las salidas en función de las entradas.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</si>
  <si>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</si>
  <si>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7
Justificación: La respuesta proporciona una descripción general correcta de qué son las aserciones y cómo se utilizan en pruebas. Menciona correctamente que las aserciones se utilizan</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</si>
  <si>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</si>
  <si>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5
Justificación: La respuesta reconoce la importancia de las aserciones en los tests, lo cual es correcto. Sin embargo, la explicación es muy general y falta detalle sobre cómo se utiliz</t>
  </si>
  <si>
    <t>Respuesta: digo lo mismo que en la anterior pregunta</t>
  </si>
  <si>
    <t>Evaluación:
Nota: 1
Justificación: La respuesta es muy similar a la anterior y carece de contenido relevante sobre cómo se utilizan las aserciones en los tests y por qué son importantes. No se proporciona ninguna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</si>
</sst>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ill="1" applyFont="1">
      <alignment horizontal="right" vertical="bottom"/>
    </xf>
    <xf borderId="0" fillId="0" fontId="1" numFmtId="0" xfId="0" applyFont="1"/>
    <xf borderId="0" fillId="0" fontId="2" numFmtId="0" xfId="0" applyAlignment="1" applyFont="1">
      <alignment horizontal="right" vertical="bottom"/>
    </xf>
    <xf borderId="0" fillId="2" fontId="2" numFmtId="2" xfId="0" applyAlignment="1" applyFill="1" applyFont="1" applyNumberFormat="1">
      <alignment horizontal="right" vertical="bottom"/>
    </xf>
    <xf borderId="0" fillId="2" fontId="2" numFmtId="9" xfId="0" applyAlignment="1" applyFill="1" applyFont="1" applyNumberFormat="1">
      <alignment horizontal="right" vertical="bottom"/>
    </xf>
    <xf borderId="0" fillId="2" fontId="2" numFmtId="164" xfId="0" applyAlignment="1" applyFill="1" applyFont="1" applyNumberFormat="1">
      <alignment horizontal="right" vertical="bottom"/>
    </xf>
    <xf borderId="0" fillId="2" fontId="2" numFmtId="10" xfId="0" applyAlignment="1" applyFill="1" applyFont="1" applyNumberFormat="1">
      <alignment horizontal="right" vertical="bottom"/>
    </xf>
    <xf borderId="0" fillId="2" fontId="2" numFmtId="0" xfId="0" applyAlignment="1" applyFill="1" applyFont="1">
      <alignment shrinkToFit="0" vertical="bottom" wrapText="1"/>
    </xf>
    <xf borderId="0" fillId="2" fontId="3" numFmtId="0" xfId="0" applyAlignment="1" applyFill="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a:t>
            </a:r>
          </a:p>
        </c:rich>
      </c:tx>
      <c:overlay val="0"/>
    </c:title>
    <c:plotArea>
      <c:layout/>
      <c:lineChart>
        <c:varyColors val="0"/>
        <c:ser>
          <c:idx val="0"/>
          <c:order val="0"/>
          <c:spPr>
            <a:ln cmpd="sng">
              <a:solidFill>
                <a:srgbClr val="4285F4"/>
              </a:solidFill>
            </a:ln>
          </c:spPr>
          <c:marker>
            <c:symbol val="none"/>
          </c:marker>
          <c:cat>
            <c:strRef>
              <c:f>'resultadosQwen2-71PreguntaConEj'!$A$1:$A$72</c:f>
            </c:strRef>
          </c:cat>
          <c:val>
            <c:numRef>
              <c:f>'resultadosQwen2-71PreguntaConEj'!$H$1:$H$72</c:f>
              <c:numCache/>
            </c:numRef>
          </c:val>
          <c:smooth val="0"/>
        </c:ser>
        <c:axId val="1104780229"/>
        <c:axId val="1830830310"/>
      </c:lineChart>
      <c:catAx>
        <c:axId val="11047802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0830310"/>
      </c:catAx>
      <c:valAx>
        <c:axId val="18308303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25%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478022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238125</xdr:colOff>
      <xdr:row>3</xdr:row>
      <xdr:rowOff>228600</xdr:rowOff>
    </xdr:from>
    <xdr:ext cx="4029075" cy="2486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H1" s="2" t="s">
        <v>6</v>
      </c>
      <c r="I1" s="2" t="s">
        <v>7</v>
      </c>
      <c r="M1" s="3" t="s">
        <v>8</v>
      </c>
      <c r="N1" s="3" t="s">
        <v>9</v>
      </c>
      <c r="O1" s="3" t="s">
        <v>10</v>
      </c>
      <c r="P1" s="3" t="s">
        <v>11</v>
      </c>
      <c r="Q1" s="4">
        <v>1.0</v>
      </c>
      <c r="R1" s="4">
        <v>2.0</v>
      </c>
      <c r="S1" s="4">
        <v>3.0</v>
      </c>
      <c r="T1" s="4">
        <v>4.0</v>
      </c>
      <c r="U1" s="4">
        <v>5.0</v>
      </c>
      <c r="V1" s="4">
        <v>-1.0</v>
      </c>
      <c r="W1" s="4">
        <v>-2.0</v>
      </c>
      <c r="X1" s="4">
        <v>-3.0</v>
      </c>
      <c r="Y1" s="4">
        <v>-4.0</v>
      </c>
      <c r="Z1" s="4">
        <v>-5.0</v>
      </c>
      <c r="AA1" s="3" t="s">
        <v>12</v>
      </c>
    </row>
    <row r="2">
      <c r="A2" s="1">
        <v>0.0</v>
      </c>
      <c r="B2" s="1" t="s">
        <v>13</v>
      </c>
      <c r="C2" s="1" t="s">
        <v>14</v>
      </c>
      <c r="D2" s="1" t="s">
        <v>15</v>
      </c>
      <c r="E2" s="1">
        <v>4.0</v>
      </c>
      <c r="F2" s="5">
        <v>38.0</v>
      </c>
      <c r="G2" s="5">
        <v>4.0</v>
      </c>
      <c r="H2" s="6">
        <f t="shared" ref="H2:H72" si="2">ABS(I2)</f>
        <v>0</v>
      </c>
      <c r="I2" s="6">
        <f t="shared" ref="I2:I72" si="3">E2-G2</f>
        <v>0</v>
      </c>
      <c r="M2" s="4">
        <f>MAX(H1:H90)</f>
        <v>4</v>
      </c>
      <c r="N2" s="7">
        <f t="shared" ref="N2:O2" si="1">AVERAGE(H1:H72)</f>
        <v>1.309859155</v>
      </c>
      <c r="O2" s="7">
        <f t="shared" si="1"/>
        <v>0.3802816901</v>
      </c>
      <c r="P2" s="8">
        <f>COUNTIF(I2:I101, 0) / COUNT(I2:I101)
</f>
        <v>0.2535211268</v>
      </c>
      <c r="Q2" s="9">
        <f>COUNTIF(I2:I72, 1) / COUNT(I2:I72)</f>
        <v>0.1971830986</v>
      </c>
      <c r="R2" s="10">
        <f>COUNTIF(I2:I72, 2) / COUNT(I2:I72)</f>
        <v>0.1830985915</v>
      </c>
      <c r="S2" s="10">
        <f>COUNTIF(I2:I72, 3) / COUNT(I2:I72)</f>
        <v>0.05633802817</v>
      </c>
      <c r="T2" s="10">
        <f>COUNTIF(I2:I72, 4) / COUNT(I2:I72)</f>
        <v>0.02816901408</v>
      </c>
      <c r="U2" s="10">
        <f>COUNTIF(I2:I72, 5) / COUNT(I2:I72)</f>
        <v>0</v>
      </c>
      <c r="V2" s="10">
        <f>COUNTIF(I2:I72, -1) / COUNT(I2:I72)</f>
        <v>0.1408450704</v>
      </c>
      <c r="W2" s="10">
        <f>COUNTIF(I2:I72, -2) / COUNT(I2:I72)</f>
        <v>0.0985915493</v>
      </c>
      <c r="X2" s="10">
        <f>COUNTIF(I2:I72, -3) / COUNT(I2:I72)</f>
        <v>0.04225352113</v>
      </c>
      <c r="Y2" s="10">
        <f>COUNTIF(H2:H72, -4) / COUNT(H2:H72)</f>
        <v>0</v>
      </c>
      <c r="Z2" s="10">
        <f>COUNTIF(I2:I72, -5) / COUNT(I2:I72)</f>
        <v>0</v>
      </c>
      <c r="AA2" s="10">
        <f>COUNTIF(H:H, "&lt;=1") / COUNT(H:H)</f>
        <v>0.5915492958</v>
      </c>
    </row>
    <row r="3" ht="57.75" customHeight="1">
      <c r="A3" s="1">
        <v>1.0</v>
      </c>
      <c r="B3" s="1" t="s">
        <v>16</v>
      </c>
      <c r="C3" s="1" t="s">
        <v>14</v>
      </c>
      <c r="D3" s="1" t="s">
        <v>17</v>
      </c>
      <c r="E3" s="1">
        <v>2.0</v>
      </c>
      <c r="F3" s="5">
        <v>38.0</v>
      </c>
      <c r="G3" s="5">
        <v>4.0</v>
      </c>
      <c r="H3" s="6">
        <f t="shared" si="2"/>
        <v>2</v>
      </c>
      <c r="I3" s="6">
        <f t="shared" si="3"/>
        <v>-2</v>
      </c>
      <c r="M3" s="11" t="s">
        <v>18</v>
      </c>
      <c r="N3" s="11" t="s">
        <v>19</v>
      </c>
      <c r="O3" s="12" t="s">
        <v>20</v>
      </c>
      <c r="P3" s="12" t="s">
        <v>21</v>
      </c>
      <c r="Q3" s="13">
        <f>SUM(Q2:T2)</f>
        <v>0.4647887324</v>
      </c>
      <c r="R3" s="14">
        <f>SUM(V2:X2)</f>
        <v>0.2816901408</v>
      </c>
      <c r="S3" s="2"/>
      <c r="T3" s="2"/>
      <c r="U3" s="2"/>
      <c r="V3" s="2"/>
      <c r="W3" s="2"/>
      <c r="X3" s="2"/>
      <c r="Y3" s="2"/>
      <c r="Z3" s="2"/>
      <c r="AA3" s="2"/>
    </row>
    <row r="4">
      <c r="A4" s="1">
        <v>2.0</v>
      </c>
      <c r="B4" s="1" t="s">
        <v>22</v>
      </c>
      <c r="C4" s="1" t="s">
        <v>14</v>
      </c>
      <c r="D4" s="1" t="s">
        <v>23</v>
      </c>
      <c r="E4" s="1">
        <v>5.0</v>
      </c>
      <c r="F4" s="5">
        <v>38.0</v>
      </c>
      <c r="G4" s="5">
        <v>4.0</v>
      </c>
      <c r="H4" s="6">
        <f t="shared" si="2"/>
        <v>1</v>
      </c>
      <c r="I4" s="6">
        <f t="shared" si="3"/>
        <v>1</v>
      </c>
    </row>
    <row r="5">
      <c r="A5" s="1">
        <v>3.0</v>
      </c>
      <c r="B5" s="1" t="s">
        <v>24</v>
      </c>
      <c r="C5" s="1" t="s">
        <v>14</v>
      </c>
      <c r="D5" s="1" t="s">
        <v>25</v>
      </c>
      <c r="E5" s="1">
        <v>4.0</v>
      </c>
      <c r="F5" s="5">
        <v>39.0</v>
      </c>
      <c r="G5" s="5">
        <v>5.0</v>
      </c>
      <c r="H5" s="6">
        <f t="shared" si="2"/>
        <v>1</v>
      </c>
      <c r="I5" s="6">
        <f t="shared" si="3"/>
        <v>-1</v>
      </c>
    </row>
    <row r="6">
      <c r="A6" s="1">
        <v>4.0</v>
      </c>
      <c r="B6" s="1" t="s">
        <v>26</v>
      </c>
      <c r="C6" s="1" t="s">
        <v>14</v>
      </c>
      <c r="D6" s="1" t="s">
        <v>27</v>
      </c>
      <c r="E6" s="1">
        <v>6.0</v>
      </c>
      <c r="F6" s="5">
        <v>39.0</v>
      </c>
      <c r="G6" s="5">
        <v>4.0</v>
      </c>
      <c r="H6" s="6">
        <f t="shared" si="2"/>
        <v>2</v>
      </c>
      <c r="I6" s="6">
        <f t="shared" si="3"/>
        <v>2</v>
      </c>
    </row>
    <row r="7">
      <c r="A7" s="1">
        <v>5.0</v>
      </c>
      <c r="B7" s="1" t="s">
        <v>28</v>
      </c>
      <c r="C7" s="1" t="s">
        <v>14</v>
      </c>
      <c r="D7" s="1" t="s">
        <v>29</v>
      </c>
      <c r="E7" s="1">
        <v>6.0</v>
      </c>
      <c r="F7" s="5">
        <v>39.0</v>
      </c>
      <c r="G7" s="5">
        <v>5.0</v>
      </c>
      <c r="H7" s="6">
        <f t="shared" si="2"/>
        <v>1</v>
      </c>
      <c r="I7" s="6">
        <f t="shared" si="3"/>
        <v>1</v>
      </c>
    </row>
    <row r="8">
      <c r="A8" s="1">
        <v>6.0</v>
      </c>
      <c r="B8" s="1" t="s">
        <v>30</v>
      </c>
      <c r="C8" s="1" t="s">
        <v>14</v>
      </c>
      <c r="D8" s="1" t="s">
        <v>31</v>
      </c>
      <c r="E8" s="1">
        <v>7.0</v>
      </c>
      <c r="F8" s="5">
        <v>39.0</v>
      </c>
      <c r="G8" s="5">
        <v>7.0</v>
      </c>
      <c r="H8" s="6">
        <f t="shared" si="2"/>
        <v>0</v>
      </c>
      <c r="I8" s="6">
        <f t="shared" si="3"/>
        <v>0</v>
      </c>
    </row>
    <row r="9">
      <c r="A9" s="1">
        <v>7.0</v>
      </c>
      <c r="B9" s="1" t="s">
        <v>32</v>
      </c>
      <c r="C9" s="1" t="s">
        <v>14</v>
      </c>
      <c r="D9" s="1" t="s">
        <v>33</v>
      </c>
      <c r="E9" s="1">
        <v>5.0</v>
      </c>
      <c r="F9" s="5">
        <v>38.0</v>
      </c>
      <c r="G9" s="5">
        <v>5.0</v>
      </c>
      <c r="H9" s="6">
        <f t="shared" si="2"/>
        <v>0</v>
      </c>
      <c r="I9" s="6">
        <f t="shared" si="3"/>
        <v>0</v>
      </c>
    </row>
    <row r="10">
      <c r="A10" s="1">
        <v>8.0</v>
      </c>
      <c r="B10" s="1" t="s">
        <v>34</v>
      </c>
      <c r="C10" s="1" t="s">
        <v>14</v>
      </c>
      <c r="D10" s="1" t="s">
        <v>35</v>
      </c>
      <c r="E10" s="1">
        <v>7.0</v>
      </c>
      <c r="F10" s="5">
        <v>38.0</v>
      </c>
      <c r="G10" s="5">
        <v>7.0</v>
      </c>
      <c r="H10" s="6">
        <f t="shared" si="2"/>
        <v>0</v>
      </c>
      <c r="I10" s="6">
        <f t="shared" si="3"/>
        <v>0</v>
      </c>
    </row>
    <row r="11">
      <c r="A11" s="1">
        <v>9.0</v>
      </c>
      <c r="B11" s="1" t="s">
        <v>36</v>
      </c>
      <c r="C11" s="1" t="s">
        <v>14</v>
      </c>
      <c r="D11" s="1" t="s">
        <v>37</v>
      </c>
      <c r="E11" s="1">
        <v>6.0</v>
      </c>
      <c r="F11" s="5">
        <v>38.0</v>
      </c>
      <c r="G11" s="5">
        <v>5.0</v>
      </c>
      <c r="H11" s="6">
        <f t="shared" si="2"/>
        <v>1</v>
      </c>
      <c r="I11" s="6">
        <f t="shared" si="3"/>
        <v>1</v>
      </c>
    </row>
    <row r="12">
      <c r="A12" s="1">
        <v>10.0</v>
      </c>
      <c r="B12" s="1" t="s">
        <v>38</v>
      </c>
      <c r="C12" s="1" t="s">
        <v>14</v>
      </c>
      <c r="D12" s="1" t="s">
        <v>39</v>
      </c>
      <c r="E12" s="1">
        <v>6.0</v>
      </c>
      <c r="F12" s="5">
        <v>38.0</v>
      </c>
      <c r="G12" s="5">
        <v>7.0</v>
      </c>
      <c r="H12" s="6">
        <f t="shared" si="2"/>
        <v>1</v>
      </c>
      <c r="I12" s="6">
        <f t="shared" si="3"/>
        <v>-1</v>
      </c>
    </row>
    <row r="13">
      <c r="A13" s="1">
        <v>11.0</v>
      </c>
      <c r="B13" s="1" t="s">
        <v>40</v>
      </c>
      <c r="C13" s="1" t="s">
        <v>14</v>
      </c>
      <c r="D13" s="1" t="s">
        <v>41</v>
      </c>
      <c r="E13" s="1">
        <v>6.0</v>
      </c>
      <c r="F13" s="5">
        <v>38.0</v>
      </c>
      <c r="G13" s="5">
        <v>6.0</v>
      </c>
      <c r="H13" s="6">
        <f t="shared" si="2"/>
        <v>0</v>
      </c>
      <c r="I13" s="6">
        <f t="shared" si="3"/>
        <v>0</v>
      </c>
    </row>
    <row r="14">
      <c r="A14" s="1">
        <v>12.0</v>
      </c>
      <c r="B14" s="1" t="s">
        <v>42</v>
      </c>
      <c r="C14" s="1" t="s">
        <v>14</v>
      </c>
      <c r="D14" s="1" t="s">
        <v>43</v>
      </c>
      <c r="E14" s="1">
        <v>8.0</v>
      </c>
      <c r="F14" s="5">
        <v>38.0</v>
      </c>
      <c r="G14" s="5">
        <v>7.0</v>
      </c>
      <c r="H14" s="6">
        <f t="shared" si="2"/>
        <v>1</v>
      </c>
      <c r="I14" s="6">
        <f t="shared" si="3"/>
        <v>1</v>
      </c>
    </row>
    <row r="15">
      <c r="A15" s="1">
        <v>13.0</v>
      </c>
      <c r="B15" s="1" t="s">
        <v>44</v>
      </c>
      <c r="C15" s="1" t="s">
        <v>14</v>
      </c>
      <c r="D15" s="1" t="s">
        <v>45</v>
      </c>
      <c r="E15" s="1">
        <v>5.0</v>
      </c>
      <c r="F15" s="5">
        <v>38.0</v>
      </c>
      <c r="G15" s="5">
        <v>5.0</v>
      </c>
      <c r="H15" s="6">
        <f t="shared" si="2"/>
        <v>0</v>
      </c>
      <c r="I15" s="6">
        <f t="shared" si="3"/>
        <v>0</v>
      </c>
    </row>
    <row r="16">
      <c r="A16" s="1">
        <v>14.0</v>
      </c>
      <c r="B16" s="1" t="s">
        <v>46</v>
      </c>
      <c r="C16" s="1" t="s">
        <v>14</v>
      </c>
      <c r="D16" s="1" t="s">
        <v>47</v>
      </c>
      <c r="E16" s="1">
        <v>7.0</v>
      </c>
      <c r="F16" s="5">
        <v>38.0</v>
      </c>
      <c r="G16" s="5">
        <v>5.0</v>
      </c>
      <c r="H16" s="6">
        <f t="shared" si="2"/>
        <v>2</v>
      </c>
      <c r="I16" s="6">
        <f t="shared" si="3"/>
        <v>2</v>
      </c>
    </row>
    <row r="17">
      <c r="A17" s="1">
        <v>15.0</v>
      </c>
      <c r="B17" s="1" t="s">
        <v>48</v>
      </c>
      <c r="C17" s="1" t="s">
        <v>14</v>
      </c>
      <c r="D17" s="1" t="s">
        <v>49</v>
      </c>
      <c r="E17" s="1">
        <v>2.0</v>
      </c>
      <c r="F17" s="5">
        <v>38.0</v>
      </c>
      <c r="G17" s="5">
        <v>4.0</v>
      </c>
      <c r="H17" s="6">
        <f t="shared" si="2"/>
        <v>2</v>
      </c>
      <c r="I17" s="6">
        <f t="shared" si="3"/>
        <v>-2</v>
      </c>
    </row>
    <row r="18">
      <c r="A18" s="1">
        <v>16.0</v>
      </c>
      <c r="B18" s="1" t="s">
        <v>50</v>
      </c>
      <c r="C18" s="1" t="s">
        <v>14</v>
      </c>
      <c r="D18" s="1" t="s">
        <v>51</v>
      </c>
      <c r="E18" s="1">
        <v>7.0</v>
      </c>
      <c r="F18" s="5">
        <v>38.0</v>
      </c>
      <c r="G18" s="5">
        <v>5.0</v>
      </c>
      <c r="H18" s="6">
        <f t="shared" si="2"/>
        <v>2</v>
      </c>
      <c r="I18" s="6">
        <f t="shared" si="3"/>
        <v>2</v>
      </c>
    </row>
    <row r="19">
      <c r="A19" s="1">
        <v>17.0</v>
      </c>
      <c r="B19" s="1" t="s">
        <v>52</v>
      </c>
      <c r="C19" s="1" t="s">
        <v>14</v>
      </c>
      <c r="D19" s="1" t="s">
        <v>53</v>
      </c>
      <c r="E19" s="1">
        <v>9.0</v>
      </c>
      <c r="F19" s="5">
        <v>38.0</v>
      </c>
      <c r="G19" s="5">
        <v>7.0</v>
      </c>
      <c r="H19" s="6">
        <f t="shared" si="2"/>
        <v>2</v>
      </c>
      <c r="I19" s="6">
        <f t="shared" si="3"/>
        <v>2</v>
      </c>
    </row>
    <row r="20">
      <c r="A20" s="1">
        <v>18.0</v>
      </c>
      <c r="B20" s="1" t="s">
        <v>54</v>
      </c>
      <c r="C20" s="1" t="s">
        <v>14</v>
      </c>
      <c r="D20" s="1" t="s">
        <v>55</v>
      </c>
      <c r="E20" s="1">
        <v>7.0</v>
      </c>
      <c r="F20" s="5">
        <v>38.0</v>
      </c>
      <c r="G20" s="5">
        <v>7.0</v>
      </c>
      <c r="H20" s="6">
        <f t="shared" si="2"/>
        <v>0</v>
      </c>
      <c r="I20" s="6">
        <f t="shared" si="3"/>
        <v>0</v>
      </c>
    </row>
    <row r="21">
      <c r="A21" s="1">
        <v>19.0</v>
      </c>
      <c r="B21" s="1" t="s">
        <v>56</v>
      </c>
      <c r="C21" s="1" t="s">
        <v>14</v>
      </c>
      <c r="D21" s="1" t="s">
        <v>57</v>
      </c>
      <c r="E21" s="1">
        <v>0.0</v>
      </c>
      <c r="F21" s="5">
        <v>38.0</v>
      </c>
      <c r="G21" s="5">
        <v>3.0</v>
      </c>
      <c r="H21" s="6">
        <f t="shared" si="2"/>
        <v>3</v>
      </c>
      <c r="I21" s="6">
        <f t="shared" si="3"/>
        <v>-3</v>
      </c>
    </row>
    <row r="22">
      <c r="A22" s="1">
        <v>20.0</v>
      </c>
      <c r="B22" s="1" t="s">
        <v>58</v>
      </c>
      <c r="C22" s="1" t="s">
        <v>14</v>
      </c>
      <c r="D22" s="1" t="s">
        <v>59</v>
      </c>
      <c r="E22" s="1">
        <v>8.0</v>
      </c>
      <c r="F22" s="5">
        <v>38.0</v>
      </c>
      <c r="G22" s="5">
        <v>7.0</v>
      </c>
      <c r="H22" s="6">
        <f t="shared" si="2"/>
        <v>1</v>
      </c>
      <c r="I22" s="6">
        <f t="shared" si="3"/>
        <v>1</v>
      </c>
    </row>
    <row r="23">
      <c r="A23" s="1">
        <v>21.0</v>
      </c>
      <c r="B23" s="1" t="s">
        <v>60</v>
      </c>
      <c r="C23" s="1" t="s">
        <v>14</v>
      </c>
      <c r="D23" s="1" t="s">
        <v>61</v>
      </c>
      <c r="E23" s="1">
        <v>4.0</v>
      </c>
      <c r="F23" s="5">
        <v>38.0</v>
      </c>
      <c r="G23" s="5">
        <v>4.0</v>
      </c>
      <c r="H23" s="6">
        <f t="shared" si="2"/>
        <v>0</v>
      </c>
      <c r="I23" s="6">
        <f t="shared" si="3"/>
        <v>0</v>
      </c>
    </row>
    <row r="24">
      <c r="A24" s="1">
        <v>22.0</v>
      </c>
      <c r="B24" s="1" t="s">
        <v>62</v>
      </c>
      <c r="C24" s="1" t="s">
        <v>14</v>
      </c>
      <c r="D24" s="1" t="s">
        <v>63</v>
      </c>
      <c r="E24" s="1">
        <v>7.0</v>
      </c>
      <c r="F24" s="5">
        <v>38.0</v>
      </c>
      <c r="G24" s="5">
        <v>5.0</v>
      </c>
      <c r="H24" s="6">
        <f t="shared" si="2"/>
        <v>2</v>
      </c>
      <c r="I24" s="6">
        <f t="shared" si="3"/>
        <v>2</v>
      </c>
    </row>
    <row r="25">
      <c r="A25" s="1">
        <v>23.0</v>
      </c>
      <c r="B25" s="1" t="s">
        <v>64</v>
      </c>
      <c r="C25" s="1" t="s">
        <v>14</v>
      </c>
      <c r="D25" s="1" t="s">
        <v>65</v>
      </c>
      <c r="E25" s="1">
        <v>1.0</v>
      </c>
      <c r="F25" s="5">
        <v>38.0</v>
      </c>
      <c r="G25" s="5">
        <v>3.0</v>
      </c>
      <c r="H25" s="6">
        <f t="shared" si="2"/>
        <v>2</v>
      </c>
      <c r="I25" s="6">
        <f t="shared" si="3"/>
        <v>-2</v>
      </c>
    </row>
    <row r="26">
      <c r="A26" s="1">
        <v>24.0</v>
      </c>
      <c r="B26" s="1" t="s">
        <v>66</v>
      </c>
      <c r="C26" s="1" t="s">
        <v>14</v>
      </c>
      <c r="D26" s="1" t="s">
        <v>67</v>
      </c>
      <c r="E26" s="1">
        <v>0.0</v>
      </c>
      <c r="F26" s="5">
        <v>38.0</v>
      </c>
      <c r="G26" s="5">
        <v>2.0</v>
      </c>
      <c r="H26" s="6">
        <f t="shared" si="2"/>
        <v>2</v>
      </c>
      <c r="I26" s="6">
        <f t="shared" si="3"/>
        <v>-2</v>
      </c>
    </row>
    <row r="27">
      <c r="A27" s="1">
        <v>25.0</v>
      </c>
      <c r="B27" s="1" t="s">
        <v>68</v>
      </c>
      <c r="C27" s="1" t="s">
        <v>14</v>
      </c>
      <c r="D27" s="1" t="s">
        <v>69</v>
      </c>
      <c r="E27" s="1">
        <v>7.0</v>
      </c>
      <c r="F27" s="5">
        <v>38.0</v>
      </c>
      <c r="G27" s="5">
        <v>5.0</v>
      </c>
      <c r="H27" s="6">
        <f t="shared" si="2"/>
        <v>2</v>
      </c>
      <c r="I27" s="6">
        <f t="shared" si="3"/>
        <v>2</v>
      </c>
    </row>
    <row r="28">
      <c r="A28" s="1">
        <v>26.0</v>
      </c>
      <c r="B28" s="1" t="s">
        <v>70</v>
      </c>
      <c r="C28" s="1" t="s">
        <v>14</v>
      </c>
      <c r="D28" s="1" t="s">
        <v>71</v>
      </c>
      <c r="E28" s="1">
        <v>7.0</v>
      </c>
      <c r="F28" s="5">
        <v>38.0</v>
      </c>
      <c r="G28" s="5">
        <v>4.0</v>
      </c>
      <c r="H28" s="6">
        <f t="shared" si="2"/>
        <v>3</v>
      </c>
      <c r="I28" s="6">
        <f t="shared" si="3"/>
        <v>3</v>
      </c>
    </row>
    <row r="29">
      <c r="A29" s="1">
        <v>27.0</v>
      </c>
      <c r="B29" s="1" t="s">
        <v>72</v>
      </c>
      <c r="C29" s="1" t="s">
        <v>14</v>
      </c>
      <c r="D29" s="1" t="s">
        <v>73</v>
      </c>
      <c r="E29" s="1">
        <v>4.0</v>
      </c>
      <c r="F29" s="5">
        <v>38.0</v>
      </c>
      <c r="G29" s="5">
        <v>4.0</v>
      </c>
      <c r="H29" s="6">
        <f t="shared" si="2"/>
        <v>0</v>
      </c>
      <c r="I29" s="6">
        <f t="shared" si="3"/>
        <v>0</v>
      </c>
    </row>
    <row r="30">
      <c r="A30" s="1">
        <v>28.0</v>
      </c>
      <c r="B30" s="1" t="s">
        <v>74</v>
      </c>
      <c r="C30" s="1" t="s">
        <v>14</v>
      </c>
      <c r="D30" s="1" t="s">
        <v>75</v>
      </c>
      <c r="E30" s="1">
        <v>4.0</v>
      </c>
      <c r="F30" s="5">
        <v>38.0</v>
      </c>
      <c r="G30" s="5">
        <v>4.0</v>
      </c>
      <c r="H30" s="6">
        <f t="shared" si="2"/>
        <v>0</v>
      </c>
      <c r="I30" s="6">
        <f t="shared" si="3"/>
        <v>0</v>
      </c>
    </row>
    <row r="31">
      <c r="A31" s="1">
        <v>29.0</v>
      </c>
      <c r="B31" s="1" t="s">
        <v>76</v>
      </c>
      <c r="C31" s="1" t="s">
        <v>14</v>
      </c>
      <c r="D31" s="1" t="s">
        <v>77</v>
      </c>
      <c r="E31" s="1">
        <v>3.0</v>
      </c>
      <c r="F31" s="5">
        <v>38.0</v>
      </c>
      <c r="G31" s="5">
        <v>4.0</v>
      </c>
      <c r="H31" s="6">
        <f t="shared" si="2"/>
        <v>1</v>
      </c>
      <c r="I31" s="6">
        <f t="shared" si="3"/>
        <v>-1</v>
      </c>
    </row>
    <row r="32">
      <c r="A32" s="1">
        <v>30.0</v>
      </c>
      <c r="B32" s="1" t="s">
        <v>78</v>
      </c>
      <c r="C32" s="1" t="s">
        <v>14</v>
      </c>
      <c r="D32" s="1" t="s">
        <v>79</v>
      </c>
      <c r="E32" s="1">
        <v>9.0</v>
      </c>
      <c r="F32" s="5">
        <v>38.0</v>
      </c>
      <c r="G32" s="5">
        <v>7.0</v>
      </c>
      <c r="H32" s="6">
        <f t="shared" si="2"/>
        <v>2</v>
      </c>
      <c r="I32" s="6">
        <f t="shared" si="3"/>
        <v>2</v>
      </c>
    </row>
    <row r="33">
      <c r="A33" s="1">
        <v>31.0</v>
      </c>
      <c r="B33" s="1" t="s">
        <v>80</v>
      </c>
      <c r="C33" s="1" t="s">
        <v>14</v>
      </c>
      <c r="D33" s="1" t="s">
        <v>81</v>
      </c>
      <c r="E33" s="1">
        <v>8.0</v>
      </c>
      <c r="F33" s="5">
        <v>38.0</v>
      </c>
      <c r="G33" s="5">
        <v>4.0</v>
      </c>
      <c r="H33" s="6">
        <f t="shared" si="2"/>
        <v>4</v>
      </c>
      <c r="I33" s="6">
        <f t="shared" si="3"/>
        <v>4</v>
      </c>
    </row>
    <row r="34">
      <c r="A34" s="1">
        <v>32.0</v>
      </c>
      <c r="B34" s="1" t="s">
        <v>82</v>
      </c>
      <c r="C34" s="1" t="s">
        <v>14</v>
      </c>
      <c r="D34" s="1" t="s">
        <v>83</v>
      </c>
      <c r="E34" s="1">
        <v>8.0</v>
      </c>
      <c r="F34" s="5">
        <v>38.0</v>
      </c>
      <c r="G34" s="5">
        <v>7.0</v>
      </c>
      <c r="H34" s="6">
        <f t="shared" si="2"/>
        <v>1</v>
      </c>
      <c r="I34" s="6">
        <f t="shared" si="3"/>
        <v>1</v>
      </c>
    </row>
    <row r="35">
      <c r="A35" s="1">
        <v>33.0</v>
      </c>
      <c r="B35" s="1" t="s">
        <v>84</v>
      </c>
      <c r="C35" s="1" t="s">
        <v>14</v>
      </c>
      <c r="D35" s="1" t="s">
        <v>85</v>
      </c>
      <c r="E35" s="1">
        <v>9.0</v>
      </c>
      <c r="F35" s="5">
        <v>38.0</v>
      </c>
      <c r="G35" s="5">
        <v>7.0</v>
      </c>
      <c r="H35" s="6">
        <f t="shared" si="2"/>
        <v>2</v>
      </c>
      <c r="I35" s="6">
        <f t="shared" si="3"/>
        <v>2</v>
      </c>
    </row>
    <row r="36">
      <c r="A36" s="1">
        <v>34.0</v>
      </c>
      <c r="B36" s="1" t="s">
        <v>86</v>
      </c>
      <c r="C36" s="1" t="s">
        <v>14</v>
      </c>
      <c r="D36" s="1" t="s">
        <v>87</v>
      </c>
      <c r="E36" s="1">
        <v>7.0</v>
      </c>
      <c r="F36" s="5">
        <v>38.0</v>
      </c>
      <c r="G36" s="1">
        <v>4.0</v>
      </c>
      <c r="H36" s="6">
        <f t="shared" si="2"/>
        <v>3</v>
      </c>
      <c r="I36" s="6">
        <f t="shared" si="3"/>
        <v>3</v>
      </c>
    </row>
    <row r="37">
      <c r="A37" s="1">
        <v>35.0</v>
      </c>
      <c r="B37" s="1" t="s">
        <v>88</v>
      </c>
      <c r="C37" s="1" t="s">
        <v>14</v>
      </c>
      <c r="D37" s="1" t="s">
        <v>89</v>
      </c>
      <c r="E37" s="1">
        <v>6.0</v>
      </c>
      <c r="F37" s="5">
        <v>38.0</v>
      </c>
      <c r="G37" s="5">
        <v>5.0</v>
      </c>
      <c r="H37" s="6">
        <f t="shared" si="2"/>
        <v>1</v>
      </c>
      <c r="I37" s="6">
        <f t="shared" si="3"/>
        <v>1</v>
      </c>
    </row>
    <row r="38">
      <c r="A38" s="1">
        <v>36.0</v>
      </c>
      <c r="B38" s="1" t="s">
        <v>90</v>
      </c>
      <c r="C38" s="1" t="s">
        <v>14</v>
      </c>
      <c r="D38" s="1" t="s">
        <v>91</v>
      </c>
      <c r="E38" s="1">
        <v>6.0</v>
      </c>
      <c r="F38" s="5">
        <v>38.0</v>
      </c>
      <c r="G38" s="5">
        <v>4.0</v>
      </c>
      <c r="H38" s="6">
        <f t="shared" si="2"/>
        <v>2</v>
      </c>
      <c r="I38" s="6">
        <f t="shared" si="3"/>
        <v>2</v>
      </c>
    </row>
    <row r="39">
      <c r="A39" s="1">
        <v>37.0</v>
      </c>
      <c r="B39" s="1" t="s">
        <v>92</v>
      </c>
      <c r="C39" s="1" t="s">
        <v>14</v>
      </c>
      <c r="D39" s="1" t="s">
        <v>93</v>
      </c>
      <c r="E39" s="1">
        <v>8.0</v>
      </c>
      <c r="F39" s="5">
        <v>38.0</v>
      </c>
      <c r="G39" s="5">
        <v>7.0</v>
      </c>
      <c r="H39" s="6">
        <f t="shared" si="2"/>
        <v>1</v>
      </c>
      <c r="I39" s="6">
        <f t="shared" si="3"/>
        <v>1</v>
      </c>
    </row>
    <row r="40">
      <c r="A40" s="1">
        <v>38.0</v>
      </c>
      <c r="B40" s="1" t="s">
        <v>94</v>
      </c>
      <c r="C40" s="1" t="s">
        <v>14</v>
      </c>
      <c r="D40" s="1" t="s">
        <v>95</v>
      </c>
      <c r="E40" s="1">
        <v>8.0</v>
      </c>
      <c r="F40" s="5">
        <v>38.0</v>
      </c>
      <c r="G40" s="5">
        <v>5.0</v>
      </c>
      <c r="H40" s="6">
        <f t="shared" si="2"/>
        <v>3</v>
      </c>
      <c r="I40" s="6">
        <f t="shared" si="3"/>
        <v>3</v>
      </c>
    </row>
    <row r="41">
      <c r="A41" s="1">
        <v>39.0</v>
      </c>
      <c r="B41" s="1" t="s">
        <v>96</v>
      </c>
      <c r="C41" s="1" t="s">
        <v>14</v>
      </c>
      <c r="D41" s="1" t="s">
        <v>97</v>
      </c>
      <c r="E41" s="1">
        <v>1.0</v>
      </c>
      <c r="F41" s="5">
        <v>38.0</v>
      </c>
      <c r="G41" s="5">
        <v>3.0</v>
      </c>
      <c r="H41" s="6">
        <f t="shared" si="2"/>
        <v>2</v>
      </c>
      <c r="I41" s="6">
        <f t="shared" si="3"/>
        <v>-2</v>
      </c>
    </row>
    <row r="42">
      <c r="A42" s="1">
        <v>40.0</v>
      </c>
      <c r="B42" s="1" t="s">
        <v>98</v>
      </c>
      <c r="C42" s="1" t="s">
        <v>14</v>
      </c>
      <c r="D42" s="1" t="s">
        <v>99</v>
      </c>
      <c r="E42" s="1">
        <v>8.0</v>
      </c>
      <c r="F42" s="5">
        <v>38.0</v>
      </c>
      <c r="G42" s="5">
        <v>7.0</v>
      </c>
      <c r="H42" s="6">
        <f t="shared" si="2"/>
        <v>1</v>
      </c>
      <c r="I42" s="6">
        <f t="shared" si="3"/>
        <v>1</v>
      </c>
    </row>
    <row r="43">
      <c r="A43" s="1">
        <v>41.0</v>
      </c>
      <c r="B43" s="1" t="s">
        <v>100</v>
      </c>
      <c r="C43" s="1" t="s">
        <v>14</v>
      </c>
      <c r="D43" s="1" t="s">
        <v>101</v>
      </c>
      <c r="E43" s="1">
        <v>7.0</v>
      </c>
      <c r="F43" s="5">
        <v>38.0</v>
      </c>
      <c r="G43" s="5">
        <v>5.0</v>
      </c>
      <c r="H43" s="6">
        <f t="shared" si="2"/>
        <v>2</v>
      </c>
      <c r="I43" s="6">
        <f t="shared" si="3"/>
        <v>2</v>
      </c>
    </row>
    <row r="44">
      <c r="A44" s="1">
        <v>42.0</v>
      </c>
      <c r="B44" s="1" t="s">
        <v>102</v>
      </c>
      <c r="C44" s="1" t="s">
        <v>14</v>
      </c>
      <c r="D44" s="1" t="s">
        <v>103</v>
      </c>
      <c r="E44" s="1">
        <v>6.0</v>
      </c>
      <c r="F44" s="5">
        <v>38.0</v>
      </c>
      <c r="G44" s="5">
        <v>5.0</v>
      </c>
      <c r="H44" s="6">
        <f t="shared" si="2"/>
        <v>1</v>
      </c>
      <c r="I44" s="6">
        <f t="shared" si="3"/>
        <v>1</v>
      </c>
    </row>
    <row r="45">
      <c r="A45" s="1">
        <v>43.0</v>
      </c>
      <c r="B45" s="1" t="s">
        <v>104</v>
      </c>
      <c r="C45" s="1" t="s">
        <v>14</v>
      </c>
      <c r="D45" s="1" t="s">
        <v>105</v>
      </c>
      <c r="E45" s="1">
        <v>9.0</v>
      </c>
      <c r="F45" s="5">
        <v>38.0</v>
      </c>
      <c r="G45" s="5">
        <v>5.0</v>
      </c>
      <c r="H45" s="6">
        <f t="shared" si="2"/>
        <v>4</v>
      </c>
      <c r="I45" s="6">
        <f t="shared" si="3"/>
        <v>4</v>
      </c>
    </row>
    <row r="46">
      <c r="A46" s="1">
        <v>44.0</v>
      </c>
      <c r="B46" s="1" t="s">
        <v>106</v>
      </c>
      <c r="C46" s="1" t="s">
        <v>14</v>
      </c>
      <c r="D46" s="1" t="s">
        <v>107</v>
      </c>
      <c r="E46" s="1">
        <v>3.0</v>
      </c>
      <c r="F46" s="5">
        <v>38.0</v>
      </c>
      <c r="G46" s="5">
        <v>4.0</v>
      </c>
      <c r="H46" s="6">
        <f t="shared" si="2"/>
        <v>1</v>
      </c>
      <c r="I46" s="6">
        <f t="shared" si="3"/>
        <v>-1</v>
      </c>
    </row>
    <row r="47">
      <c r="A47" s="1">
        <v>45.0</v>
      </c>
      <c r="B47" s="1" t="s">
        <v>108</v>
      </c>
      <c r="C47" s="1" t="s">
        <v>14</v>
      </c>
      <c r="D47" s="1" t="s">
        <v>109</v>
      </c>
      <c r="E47" s="1">
        <v>8.0</v>
      </c>
      <c r="F47" s="5">
        <v>38.0</v>
      </c>
      <c r="G47" s="5">
        <v>7.0</v>
      </c>
      <c r="H47" s="6">
        <f t="shared" si="2"/>
        <v>1</v>
      </c>
      <c r="I47" s="6">
        <f t="shared" si="3"/>
        <v>1</v>
      </c>
    </row>
    <row r="48">
      <c r="A48" s="1">
        <v>46.0</v>
      </c>
      <c r="B48" s="1" t="s">
        <v>110</v>
      </c>
      <c r="C48" s="1" t="s">
        <v>14</v>
      </c>
      <c r="D48" s="1" t="s">
        <v>111</v>
      </c>
      <c r="E48" s="1">
        <v>3.0</v>
      </c>
      <c r="F48" s="5">
        <v>38.0</v>
      </c>
      <c r="G48" s="5">
        <v>4.0</v>
      </c>
      <c r="H48" s="6">
        <f t="shared" si="2"/>
        <v>1</v>
      </c>
      <c r="I48" s="6">
        <f t="shared" si="3"/>
        <v>-1</v>
      </c>
    </row>
    <row r="49">
      <c r="A49" s="1">
        <v>47.0</v>
      </c>
      <c r="B49" s="1" t="s">
        <v>112</v>
      </c>
      <c r="C49" s="1" t="s">
        <v>14</v>
      </c>
      <c r="D49" s="1" t="s">
        <v>113</v>
      </c>
      <c r="E49" s="1">
        <v>2.0</v>
      </c>
      <c r="F49" s="5">
        <v>38.0</v>
      </c>
      <c r="G49" s="5">
        <v>3.0</v>
      </c>
      <c r="H49" s="6">
        <f t="shared" si="2"/>
        <v>1</v>
      </c>
      <c r="I49" s="6">
        <f t="shared" si="3"/>
        <v>-1</v>
      </c>
    </row>
    <row r="50">
      <c r="A50" s="1">
        <v>48.0</v>
      </c>
      <c r="B50" s="1" t="s">
        <v>114</v>
      </c>
      <c r="C50" s="1" t="s">
        <v>14</v>
      </c>
      <c r="D50" s="1" t="s">
        <v>115</v>
      </c>
      <c r="E50" s="1">
        <v>2.0</v>
      </c>
      <c r="F50" s="5">
        <v>38.0</v>
      </c>
      <c r="G50" s="5">
        <v>2.0</v>
      </c>
      <c r="H50" s="6">
        <f t="shared" si="2"/>
        <v>0</v>
      </c>
      <c r="I50" s="6">
        <f t="shared" si="3"/>
        <v>0</v>
      </c>
    </row>
    <row r="51">
      <c r="A51" s="1">
        <v>49.0</v>
      </c>
      <c r="B51" s="1" t="s">
        <v>116</v>
      </c>
      <c r="C51" s="1" t="s">
        <v>14</v>
      </c>
      <c r="D51" s="1" t="s">
        <v>117</v>
      </c>
      <c r="E51" s="1">
        <v>8.0</v>
      </c>
      <c r="F51" s="5">
        <v>38.0</v>
      </c>
      <c r="G51" s="5">
        <v>6.0</v>
      </c>
      <c r="H51" s="6">
        <f t="shared" si="2"/>
        <v>2</v>
      </c>
      <c r="I51" s="6">
        <f t="shared" si="3"/>
        <v>2</v>
      </c>
    </row>
    <row r="52">
      <c r="A52" s="1">
        <v>50.0</v>
      </c>
      <c r="B52" s="1" t="s">
        <v>118</v>
      </c>
      <c r="C52" s="1" t="s">
        <v>14</v>
      </c>
      <c r="D52" s="1" t="s">
        <v>119</v>
      </c>
      <c r="E52" s="1">
        <v>8.0</v>
      </c>
      <c r="F52" s="5">
        <v>38.0</v>
      </c>
      <c r="G52" s="5">
        <v>5.0</v>
      </c>
      <c r="H52" s="6">
        <f t="shared" si="2"/>
        <v>3</v>
      </c>
      <c r="I52" s="6">
        <f t="shared" si="3"/>
        <v>3</v>
      </c>
    </row>
    <row r="53">
      <c r="A53" s="1">
        <v>51.0</v>
      </c>
      <c r="B53" s="1" t="s">
        <v>120</v>
      </c>
      <c r="C53" s="1" t="s">
        <v>14</v>
      </c>
      <c r="D53" s="1" t="s">
        <v>121</v>
      </c>
      <c r="E53" s="1">
        <v>4.0</v>
      </c>
      <c r="F53" s="5">
        <v>38.0</v>
      </c>
      <c r="G53" s="5">
        <v>4.0</v>
      </c>
      <c r="H53" s="6">
        <f t="shared" si="2"/>
        <v>0</v>
      </c>
      <c r="I53" s="6">
        <f t="shared" si="3"/>
        <v>0</v>
      </c>
    </row>
    <row r="54">
      <c r="A54" s="1">
        <v>52.0</v>
      </c>
      <c r="B54" s="1" t="s">
        <v>122</v>
      </c>
      <c r="C54" s="1" t="s">
        <v>14</v>
      </c>
      <c r="D54" s="1" t="s">
        <v>123</v>
      </c>
      <c r="E54" s="1">
        <v>7.0</v>
      </c>
      <c r="F54" s="5">
        <v>38.0</v>
      </c>
      <c r="G54" s="5">
        <v>5.0</v>
      </c>
      <c r="H54" s="6">
        <f t="shared" si="2"/>
        <v>2</v>
      </c>
      <c r="I54" s="6">
        <f t="shared" si="3"/>
        <v>2</v>
      </c>
    </row>
    <row r="55">
      <c r="A55" s="1">
        <v>53.0</v>
      </c>
      <c r="B55" s="1" t="s">
        <v>124</v>
      </c>
      <c r="C55" s="1" t="s">
        <v>14</v>
      </c>
      <c r="D55" s="1" t="s">
        <v>125</v>
      </c>
      <c r="E55" s="1">
        <v>5.0</v>
      </c>
      <c r="F55" s="5">
        <v>38.0</v>
      </c>
      <c r="G55" s="5">
        <v>5.0</v>
      </c>
      <c r="H55" s="6">
        <f t="shared" si="2"/>
        <v>0</v>
      </c>
      <c r="I55" s="6">
        <f t="shared" si="3"/>
        <v>0</v>
      </c>
    </row>
    <row r="56">
      <c r="A56" s="1">
        <v>54.0</v>
      </c>
      <c r="B56" s="1" t="s">
        <v>126</v>
      </c>
      <c r="C56" s="1" t="s">
        <v>14</v>
      </c>
      <c r="D56" s="1" t="s">
        <v>127</v>
      </c>
      <c r="E56" s="1">
        <v>5.0</v>
      </c>
      <c r="F56" s="5">
        <v>38.0</v>
      </c>
      <c r="G56" s="5">
        <v>5.0</v>
      </c>
      <c r="H56" s="6">
        <f t="shared" si="2"/>
        <v>0</v>
      </c>
      <c r="I56" s="6">
        <f t="shared" si="3"/>
        <v>0</v>
      </c>
    </row>
    <row r="57">
      <c r="A57" s="1">
        <v>55.0</v>
      </c>
      <c r="B57" s="1" t="s">
        <v>128</v>
      </c>
      <c r="C57" s="1" t="s">
        <v>14</v>
      </c>
      <c r="D57" s="1" t="s">
        <v>129</v>
      </c>
      <c r="E57" s="1">
        <v>9.0</v>
      </c>
      <c r="F57" s="5">
        <v>38.0</v>
      </c>
      <c r="G57" s="5">
        <v>7.0</v>
      </c>
      <c r="H57" s="6">
        <f t="shared" si="2"/>
        <v>2</v>
      </c>
      <c r="I57" s="6">
        <f t="shared" si="3"/>
        <v>2</v>
      </c>
    </row>
    <row r="58">
      <c r="A58" s="1">
        <v>56.0</v>
      </c>
      <c r="B58" s="1" t="s">
        <v>130</v>
      </c>
      <c r="C58" s="1" t="s">
        <v>14</v>
      </c>
      <c r="D58" s="1" t="s">
        <v>131</v>
      </c>
      <c r="E58" s="1">
        <v>4.0</v>
      </c>
      <c r="F58" s="5">
        <v>38.0</v>
      </c>
      <c r="G58" s="5">
        <v>5.0</v>
      </c>
      <c r="H58" s="6">
        <f t="shared" si="2"/>
        <v>1</v>
      </c>
      <c r="I58" s="6">
        <f t="shared" si="3"/>
        <v>-1</v>
      </c>
    </row>
    <row r="59">
      <c r="A59" s="1">
        <v>57.0</v>
      </c>
      <c r="B59" s="1" t="s">
        <v>132</v>
      </c>
      <c r="C59" s="1" t="s">
        <v>14</v>
      </c>
      <c r="D59" s="1" t="s">
        <v>133</v>
      </c>
      <c r="E59" s="1">
        <v>0.0</v>
      </c>
      <c r="F59" s="5">
        <v>38.0</v>
      </c>
      <c r="G59" s="5">
        <v>0.0</v>
      </c>
      <c r="H59" s="6">
        <f t="shared" si="2"/>
        <v>0</v>
      </c>
      <c r="I59" s="6">
        <f t="shared" si="3"/>
        <v>0</v>
      </c>
    </row>
    <row r="60">
      <c r="A60" s="1">
        <v>58.0</v>
      </c>
      <c r="B60" s="1" t="s">
        <v>134</v>
      </c>
      <c r="C60" s="1" t="s">
        <v>14</v>
      </c>
      <c r="D60" s="1" t="s">
        <v>135</v>
      </c>
      <c r="E60" s="1">
        <v>2.0</v>
      </c>
      <c r="F60" s="5">
        <v>38.0</v>
      </c>
      <c r="G60" s="5">
        <v>5.0</v>
      </c>
      <c r="H60" s="6">
        <f t="shared" si="2"/>
        <v>3</v>
      </c>
      <c r="I60" s="6">
        <f t="shared" si="3"/>
        <v>-3</v>
      </c>
    </row>
    <row r="61">
      <c r="A61" s="1">
        <v>59.0</v>
      </c>
      <c r="B61" s="1" t="s">
        <v>136</v>
      </c>
      <c r="C61" s="1" t="s">
        <v>14</v>
      </c>
      <c r="D61" s="1" t="s">
        <v>137</v>
      </c>
      <c r="E61" s="1">
        <v>3.0</v>
      </c>
      <c r="F61" s="5">
        <v>38.0</v>
      </c>
      <c r="G61" s="5">
        <v>4.0</v>
      </c>
      <c r="H61" s="6">
        <f t="shared" si="2"/>
        <v>1</v>
      </c>
      <c r="I61" s="6">
        <f t="shared" si="3"/>
        <v>-1</v>
      </c>
    </row>
    <row r="62">
      <c r="A62" s="1">
        <v>60.0</v>
      </c>
      <c r="B62" s="1" t="s">
        <v>138</v>
      </c>
      <c r="C62" s="1" t="s">
        <v>14</v>
      </c>
      <c r="D62" s="1" t="s">
        <v>139</v>
      </c>
      <c r="E62" s="1">
        <v>1.0</v>
      </c>
      <c r="F62" s="5">
        <v>38.0</v>
      </c>
      <c r="G62" s="5">
        <v>4.0</v>
      </c>
      <c r="H62" s="6">
        <f t="shared" si="2"/>
        <v>3</v>
      </c>
      <c r="I62" s="6">
        <f t="shared" si="3"/>
        <v>-3</v>
      </c>
    </row>
    <row r="63">
      <c r="A63" s="1">
        <v>61.0</v>
      </c>
      <c r="B63" s="1" t="s">
        <v>140</v>
      </c>
      <c r="C63" s="1" t="s">
        <v>14</v>
      </c>
      <c r="D63" s="1" t="s">
        <v>141</v>
      </c>
      <c r="E63" s="1">
        <v>9.0</v>
      </c>
      <c r="F63" s="5">
        <v>38.0</v>
      </c>
      <c r="G63" s="5">
        <v>8.0</v>
      </c>
      <c r="H63" s="6">
        <f t="shared" si="2"/>
        <v>1</v>
      </c>
      <c r="I63" s="6">
        <f t="shared" si="3"/>
        <v>1</v>
      </c>
    </row>
    <row r="64">
      <c r="A64" s="1">
        <v>62.0</v>
      </c>
      <c r="B64" s="1" t="s">
        <v>142</v>
      </c>
      <c r="C64" s="1" t="s">
        <v>14</v>
      </c>
      <c r="D64" s="1" t="s">
        <v>143</v>
      </c>
      <c r="E64" s="1">
        <v>3.0</v>
      </c>
      <c r="F64" s="5">
        <v>38.0</v>
      </c>
      <c r="G64" s="5">
        <v>5.0</v>
      </c>
      <c r="H64" s="6">
        <f t="shared" si="2"/>
        <v>2</v>
      </c>
      <c r="I64" s="6">
        <f t="shared" si="3"/>
        <v>-2</v>
      </c>
    </row>
    <row r="65">
      <c r="A65" s="1">
        <v>63.0</v>
      </c>
      <c r="B65" s="1" t="s">
        <v>144</v>
      </c>
      <c r="C65" s="1" t="s">
        <v>14</v>
      </c>
      <c r="D65" s="1" t="s">
        <v>145</v>
      </c>
      <c r="E65" s="1">
        <v>2.0</v>
      </c>
      <c r="F65" s="5">
        <v>38.0</v>
      </c>
      <c r="G65" s="5">
        <v>4.0</v>
      </c>
      <c r="H65" s="6">
        <f t="shared" si="2"/>
        <v>2</v>
      </c>
      <c r="I65" s="6">
        <f t="shared" si="3"/>
        <v>-2</v>
      </c>
    </row>
    <row r="66">
      <c r="A66" s="1">
        <v>64.0</v>
      </c>
      <c r="B66" s="1" t="s">
        <v>146</v>
      </c>
      <c r="C66" s="1" t="s">
        <v>14</v>
      </c>
      <c r="D66" s="1" t="s">
        <v>147</v>
      </c>
      <c r="E66" s="1">
        <v>0.0</v>
      </c>
      <c r="F66" s="5">
        <v>32.0</v>
      </c>
      <c r="G66" s="5">
        <v>0.0</v>
      </c>
      <c r="H66" s="6">
        <f t="shared" si="2"/>
        <v>0</v>
      </c>
      <c r="I66" s="6">
        <f t="shared" si="3"/>
        <v>0</v>
      </c>
    </row>
    <row r="67">
      <c r="A67" s="1">
        <v>65.0</v>
      </c>
      <c r="B67" s="1" t="s">
        <v>148</v>
      </c>
      <c r="C67" s="1" t="s">
        <v>14</v>
      </c>
      <c r="D67" s="1" t="s">
        <v>149</v>
      </c>
      <c r="E67" s="1">
        <v>0.0</v>
      </c>
      <c r="F67" s="5">
        <v>38.0</v>
      </c>
      <c r="G67" s="5">
        <v>0.0</v>
      </c>
      <c r="H67" s="6">
        <f t="shared" si="2"/>
        <v>0</v>
      </c>
      <c r="I67" s="6">
        <f t="shared" si="3"/>
        <v>0</v>
      </c>
    </row>
    <row r="68">
      <c r="A68" s="1">
        <v>66.0</v>
      </c>
      <c r="B68" s="1" t="s">
        <v>150</v>
      </c>
      <c r="C68" s="1" t="s">
        <v>14</v>
      </c>
      <c r="D68" s="1" t="s">
        <v>151</v>
      </c>
      <c r="E68" s="1">
        <v>4.0</v>
      </c>
      <c r="F68" s="5">
        <v>38.0</v>
      </c>
      <c r="G68" s="5">
        <v>5.0</v>
      </c>
      <c r="H68" s="6">
        <f t="shared" si="2"/>
        <v>1</v>
      </c>
      <c r="I68" s="6">
        <f t="shared" si="3"/>
        <v>-1</v>
      </c>
    </row>
    <row r="69">
      <c r="A69" s="1">
        <v>67.0</v>
      </c>
      <c r="B69" s="1" t="s">
        <v>152</v>
      </c>
      <c r="C69" s="1" t="s">
        <v>14</v>
      </c>
      <c r="D69" s="1" t="s">
        <v>153</v>
      </c>
      <c r="E69" s="1">
        <v>6.0</v>
      </c>
      <c r="F69" s="5">
        <v>38.0</v>
      </c>
      <c r="G69" s="5">
        <v>5.0</v>
      </c>
      <c r="H69" s="6">
        <f t="shared" si="2"/>
        <v>1</v>
      </c>
      <c r="I69" s="6">
        <f t="shared" si="3"/>
        <v>1</v>
      </c>
    </row>
    <row r="70">
      <c r="A70" s="1">
        <v>68.0</v>
      </c>
      <c r="B70" s="1" t="s">
        <v>154</v>
      </c>
      <c r="C70" s="1" t="s">
        <v>14</v>
      </c>
      <c r="D70" s="1" t="s">
        <v>155</v>
      </c>
      <c r="E70" s="1">
        <v>8.0</v>
      </c>
      <c r="F70" s="5">
        <v>38.0</v>
      </c>
      <c r="G70" s="5">
        <v>7.0</v>
      </c>
      <c r="H70" s="6">
        <f t="shared" si="2"/>
        <v>1</v>
      </c>
      <c r="I70" s="6">
        <f t="shared" si="3"/>
        <v>1</v>
      </c>
    </row>
    <row r="71">
      <c r="A71" s="1">
        <v>69.0</v>
      </c>
      <c r="B71" s="1" t="s">
        <v>156</v>
      </c>
      <c r="C71" s="1" t="s">
        <v>14</v>
      </c>
      <c r="D71" s="1" t="s">
        <v>157</v>
      </c>
      <c r="E71" s="1">
        <v>5.0</v>
      </c>
      <c r="F71" s="5">
        <v>38.0</v>
      </c>
      <c r="G71" s="5">
        <v>5.0</v>
      </c>
      <c r="H71" s="6">
        <f t="shared" si="2"/>
        <v>0</v>
      </c>
      <c r="I71" s="6">
        <f t="shared" si="3"/>
        <v>0</v>
      </c>
    </row>
    <row r="72">
      <c r="A72" s="1">
        <v>70.0</v>
      </c>
      <c r="B72" s="1" t="s">
        <v>158</v>
      </c>
      <c r="C72" s="1" t="s">
        <v>14</v>
      </c>
      <c r="D72" s="1" t="s">
        <v>159</v>
      </c>
      <c r="E72" s="1">
        <v>0.0</v>
      </c>
      <c r="F72" s="5">
        <v>38.0</v>
      </c>
      <c r="G72" s="5">
        <v>1.0</v>
      </c>
      <c r="H72" s="6">
        <f t="shared" si="2"/>
        <v>1</v>
      </c>
      <c r="I72" s="6">
        <f t="shared" si="3"/>
        <v>-1</v>
      </c>
    </row>
  </sheetData>
  <drawing r:id="rId1"/>
</worksheet>
</file>