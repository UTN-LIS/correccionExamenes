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<sst xmlns="http://schemas.openxmlformats.org/spreadsheetml/2006/main" count="230" uniqueCount="160">
  <si>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</si>
  <si>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</si>
  <si>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</si>
  <si>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</si>
  <si>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</si>
  <si>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</si>
  <si>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</si>
  <si>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</si>
  <si>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</si>
  <si>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</si>
  <si>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</si>
  <si>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</si>
  <si>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</si>
  <si>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</si>
  <si>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t>
  </si>
  <si>
    <t>Evaluación: Nota: 4
Justificación: La respuesta intenta describir cómo se utilizan las aserciones en los tests, pero presenta varios errores y falta información crucial.
- **Errores**: La respuesta confunde las</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</si>
  <si>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</si>
  <si>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el software, mencionando que ayudan a cubrir el código y a evitar excepciones y errores. Sin embargo</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</si>
  <si>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</si>
  <si>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</si>
  <si>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</si>
  <si>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</si>
  <si>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</si>
  <si>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que las aserciones son importantes para validar los tests, lo cual es correcto. Sin embargo, la explicación es bastante genérica y no proporciona detalles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</si>
  <si>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</si>
  <si>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explicar el propósito de las aserciones y cómo ayudan a verificar la precisión de los tests, lo cual es correcto en parte. Sin embargo,</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</si>
  <si>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</si>
  <si>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describir el propósito de las aserciones, pero hay varios errores y falta mucha información para ser considerada completa y precisa.
1. **Precisión Concept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</si>
  <si>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</si>
  <si>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algunos elementos correctos sobre aserciones, pero presenta varios errores y carencias importantes. 
Correctos:
- Menciona que las aserciones son validaciones</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</si>
  <si>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</si>
  <si>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detallada. Menciona correctamente que las aserciones se usan para validar entradas en los tests, específicamente en la parte "Assert</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</si>
  <si>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</si>
  <si>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relacionar las aserciones con el proceso de escritura de pruebas de software, pero hay varios errores y falta de precisión en la descripción.
-</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</si>
  <si>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</si>
  <si>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tiene elementos correctos, como la idea de que las aserciones miden el resultado obtenido contra el esperado y que su objetivo es detectar si un test ha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</si>
  <si>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</si>
  <si>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reconoce parcialmente que las aserciones son una forma de validación, pero contiene varios errores y falta información crucial.
- **Precisión Conceptual:** Menciona</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</si>
  <si>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</si>
  <si>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correctamente que las aserciones en los tests permiten verificar si una condición es verdadera, y proporciona un ejemplo concreto utilizando `AssertTrue`.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</si>
  <si>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</si>
  <si>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identifica correctamente que las aserciones se utilizan para validar y comparar objetos o valores en los tests, y que si una aserción falla, el test</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</si>
  <si>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</si>
  <si>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elementos correctos y relevantes sobre el uso de aserciones en pruebas de software. Menciona correctamente que las aserciones son importantes para especificar el</t>
  </si>
  <si>
    <t>Respuesta: Los assert sirven para comprobar lo que devuelve o hacen las funciones, son unos de los pilares para poder hacer los test en el TDD.</t>
  </si>
  <si>
    <t>Evaluación: Nota: 5
Justificación: La respuesta reconoce correctamente que las aserciones se utilizan para verificar lo que devuelven o realizan las funciones y menciona que son fundamentales en el desarrollo guiado</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</si>
  <si>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</si>
  <si>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correctamente que las aserciones se utilizan para comparar resultados y que esto es útil para mejorar tanto el código como los tests. Sin embargo, la explicación</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</si>
  <si>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</si>
  <si>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el tema de las aserciones en los tests, pero presenta varios errores y falta información clave. 
Los puntos correctos incluyen:
- Recon</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</si>
  <si>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</si>
  <si>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intenta explicar cómo se pueden utilizar las aserciones en los tests y por qué son importantes, aunque contiene varios errores y carece de claridad.
Se menciona</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</si>
  <si>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</si>
  <si>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identifica correctamente que las aserciones se utilizan para comparar valores y que forman parte de los test unitarios. Menciona que tienen como objetivo compro</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</si>
  <si>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</si>
  <si>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5
Justificación: La respuesta contiene elementos correctos sobre el uso de aserciones en pruebas y su importancia para la robustez del software. Específicamente, menciona el uso de</t>
  </si>
  <si>
    <t>Respuesta: Las podemos usar en diferentes modos:
* Para clases.
* Para integraciones.
* Para tets.</t>
  </si>
  <si>
    <t>Evaluación: Nota: 3
Justificación: La respuesta intenta describir el uso de las aserciones en contextos relacionados con el desarrollo de software, pero carece de precisión y completitud. Menciona</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</si>
  <si>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</si>
  <si>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proporciona una explicación generalmente correcta sobre las aserciones y su uso en pruebas de software. Menciona que las aserciones son declaraciones que</t>
  </si>
  <si>
    <t>Respuesta: Se utilizan en los tests para comprobar trozos pequeños de codigo, y tienen importancia ya que validan el código, aportando seguridad al software.</t>
  </si>
  <si>
    <t>Evaluación:
Nota: 4
Justificación: La respuesta reconoce que las aserciones se usan para comprobar partes del código en los tests, lo cual es correcto. También menciona que son importantes para validar el</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</si>
  <si>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</si>
  <si>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reconoce parcialmente el uso de aserciones en los tests y menciona que comproban valores, lo cual es correcto. Sin embargo, hay varios aspect</t>
  </si>
  <si>
    <t>Respuesta: assert.equals sirve para introducir valores en los parámetros a la hora de hacer tests</t>
  </si>
  <si>
    <t>Evaluación: Nota: 3
Justificación: La respuesta menciona un método específico (assert.equals), pero no proporciona una descripción clara de cómo se utilizan las aserciones en los tests ni por qué son importantes</t>
  </si>
  <si>
    <t>Respuesta: .</t>
  </si>
  <si>
    <t>Evaluación: Nota: 4
Justificación: La respuesta reconoce que las aserciones se utilizan en los tests, aunque la explicación es bastante general y falta detalle. Menciona que son importantes para detectar errores</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</si>
  <si>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</si>
  <si>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que las aserciones se usan para comprobar que los resultados obtenidos en un test coinciden con los esperados, lo cual es correcto.</t>
  </si>
  <si>
    <t>Respuesta: Las aserciones sirven para evaluar concretamente un valor esperado del test ya sea en una comparación de valores, de referencias, booleanas, etc...</t>
  </si>
  <si>
    <t>Evaluación:
Nota: 5
Justificación: La respuesta reconoce que las aserciones se utilizan para evaluar valores esperados en diferentes contextos, como comparaciones de valores, referencias y booleanas. Sin embargo,</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</si>
  <si>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</si>
  <si>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comienza bien al mencionar que existen diferentes tipos de aserciones, aunque solo menciona uno (AssertionEquals) de manera imprecisa y potencialmente incorrect</t>
  </si>
  <si>
    <t>Respuesta: Las aserciones son verificaciones de las validaciones de entrada. Un ejemplo podría ser assertionNotNull(actual) / assertionNull(actual) que nos sirve para conocer si el valor de entrada (actual) es nulo o no.</t>
  </si>
  <si>
    <t>Evaluación:
Nota: 5
Justificación: 
La respuesta identifica correctamente que las aserciones se utilizan para verificar las validaciones de entrada, y proporciona un ejemplo apropiado utilizando `assertionNotNull` y `</t>
  </si>
  <si>
    <t>Respuesta: Las aserciones se utilizan para estructurar y validar la forma en al que los tests se realizan. Esto hace que sean mas fiables y que tenga mayor cobertura.</t>
  </si>
  <si>
    <t>Evaluación:
Nota: 4
Justificación: La respuesta identifica correctamente que las aserciones se utilizan para mejorar la fiabilidad y la cobertura de los tests. Sin embargo, la explicación es bastante genérica y no</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</si>
  <si>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</si>
  <si>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7
Justificación: La respuesta es generalmente precisa y aborda varios aspectos importantes sobre las aserciones en pruebas de software. Menciona correctamente que las aserciones se utilizan para</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</si>
  <si>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</si>
  <si>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parte fundamental de los tests y que tienen la función de validar o invalidar los mismos. Sin embargo, hay varios errores y falta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</si>
  <si>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</si>
  <si>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es correcta en varios aspectos fundamentales. Menciona correctamente que las aserciones se usan para verificar que el resultado del código coincida con lo esperado</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</si>
  <si>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</si>
  <si>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reconoce correctamente que las aserciones se utilizan en pruebas para comprobar diferentes escenarios y comparaciones. Menciona correctamente que las aserciones pueden</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</si>
  <si>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</si>
  <si>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 **Conceptos Correctos:** La respuesta menciona correctamente que las aserciones se pueden usar en los tests para verificar si los valores esperados coinciden con los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</si>
  <si>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</si>
  <si>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identifica correctamente que las aserciones se usan en tests para verificar condiciones y que si estas son falsas, el test fallará. Sin embargo, hay varios aspect</t>
  </si>
  <si>
    <t>Respuesta: Las aserciones son importantes ya que validad los resultados de los tests, al fin y al cabo son los encargados de decir si un test pasa o no. Se utilizan al final del test</t>
  </si>
  <si>
    <t>Evaluación: Nota: 4
Justificación: La respuesta reconoce la importancia de las aserciones en los tests, destacando que son responsables de determinar si un test ha pasado o no. Sin embargo, la</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</si>
  <si>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</si>
  <si>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describe correctamente un uso práctico de las aserciones, especificando que se pueden emplear para verificar rápidamente que ciertos métodos funcionen como se espera.</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</si>
  <si>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</si>
  <si>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reconoce que las aserciones permiten comprobar si una condición se cumple, y que si no se cumple, el test falla. Esto es correct</t>
  </si>
  <si>
    <t>Respuesta: Son importantes porque se pueden usar para distintas situaciones, ya sea para ver si funcionan, para ver si son iguales, para eliminar o añadir mas.</t>
  </si>
  <si>
    <t>Evaluación:
Nota: 3
Justificación: 
La respuesta indica que las aserciones son útiles en varios contextos, pero no es precisa en su descripción. Menciona correctamente que las aserciones se utilizan</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</si>
  <si>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</si>
  <si>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7
Justificación: 
La respuesta contiene información correcta sobre el propósito de las aserciones en pruebas y proporciona un ejemplo de uso. Menciona correctamente que las aserciones verifican</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</si>
  <si>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</si>
  <si>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identifica correctamente que las aserciones son útiles en varios contextos dentro del código y menciona algunas etiquetas típicas asociadas a ellas, como @Assert</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</si>
  <si>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</si>
  <si>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identifica correctamente que las aserciones se utilizan para verificar si los datos son correctos y que un test fallará si las aserciones no se cumplen.</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</si>
  <si>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</si>
  <si>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7
Justificación: La respuesta proporciona una explicación generalmente correcta sobre las aserciones y su uso en pruebas. Identifica correctamente que las aserciones se usan para verificar si</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</si>
  <si>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</si>
  <si>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lo cual es un concepto diferente al de las aserciones en</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</si>
  <si>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</si>
  <si>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contiene elementos correctos y relevantes sobre el uso de aserciones en los tests, como su implementación en el patrón AAA (Arrange-Act-Assert).</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</si>
  <si>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</si>
  <si>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reconoce parcialmente el propósito de las aserciones, señalando que ayudan a validar datos y a evitar errores internos. Sin embargo, hay varios aspectos</t>
  </si>
  <si>
    <t>Respuesta: Las aserciones en los test sirven para que el codigo no influya en los datos, es decir, para que el codigo no pueda cambiar o eliminar cualquier tipo de dato que estamos verificando con los tests</t>
  </si>
  <si>
    <t>Evaluación: Nota: 3
Justificación: La respuesta intenta explicar el propósito de las aserciones, pero hay varios errores y falta información crucial.
- **Errores detectados**: 
  - La explicación es</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</si>
  <si>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</si>
  <si>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que se utilizan para asegurar que ciertos campos no sean nulos</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</si>
  <si>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</si>
  <si>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correctamente que las aserciones se utilizan para comparar valores, datos o resultados en los tests. Proporciona un ejemplo básico de cómo se puede usar</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</si>
  <si>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</si>
  <si>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La respuesta reconoce la importancia de las aserciones en el proceso de verificación del correcto funcionamiento de las funciones, aunque de manera bastante generalizada. Menciona correctamente</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</si>
  <si>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</si>
  <si>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y destacan su utilidad en el desarrollo de código limpio y seguro, lo cual es correcto.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</si>
  <si>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</si>
  <si>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5
Justificación: La respuesta intenta describir cómo se utilizan las aserciones, mencionando dos tipos de aserciones: `assertionsEqual` y `assertionsTrue`. A</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</si>
  <si>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</si>
  <si>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intenta abordar el tema de las aserciones en los tests, pero presenta varios errores y falta información crucial.
- **Conceptos Correctos**: Menciona</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</si>
  <si>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</si>
  <si>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identifica correctamente que las aserciones (asserts) se usan para comprobar la validez de variables/datos y que son importantes para verificar que los tests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</si>
  <si>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</si>
  <si>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contiene elementos correctos sobre aserciones, incluyendo que son declaraciones que verifican si una condición es verdadera o no, y que se utilizan</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</si>
  <si>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</si>
  <si>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menciona correctamente la función de las aserciones y proporciona un ejemplo específico (Assert.Equals()) que demuestra que el estudiante entiende que estas se utilizan</t>
  </si>
  <si>
    <t>Respuesta: No lo se :(</t>
  </si>
  <si>
    <t>Evaluación: Nota: 0
Justificación: La respuesta es completamente incorrecta y vacía, ya que el estudiante no ha proporcionado ninguna información relevante sobre el uso de aserciones en pruebas de software ni ha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</si>
  <si>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</si>
  <si>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contiene elementos correctos sobre las aserciones, como que se utilizan para validar datos y que existen diferentes tipos de anotaciones relacionadas (por ejemplo, @</t>
  </si>
  <si>
    <t>Respuesta: Las aserciones de los test sirven para comprobar que el programa funciona de la manera esperada por el programador. Es una verificación del programa que funciona correctamente.</t>
  </si>
  <si>
    <t>Evaluación: Nota: 4
Justificación: La respuesta reconoce que las aserciones se utilizan para verificar que el programa funcione de la manera esperada, lo cual es correcto. Sin embargo, la explicación</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</si>
  <si>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</si>
  <si>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intenta referirse a cómo se utilizan las aserciones en los tests, pero contiene varios errores y carencias significativas:
1. **Uso incorrecto de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</si>
  <si>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</si>
  <si>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contiene información correcta sobre los asserts y su uso en pruebas, aunque presenta algunos errores tipográficos y gramaticales que reducen la claridad. Menciona</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</si>
  <si>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</si>
  <si>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identifica correctamente que las aserciones se usan para validar datos en diferentes tipos de pruebas y menciona dos tipos específicos de anotaciones (@Email y @</t>
  </si>
  <si>
    <t>Respuesta: Son importantes porque permiten un mayor control a la hora de hacer el testing, y permite el uso de una mayor cantidad de datos, permitiendo que el test sea más viable al cubrir mayor cantidad de datos .</t>
  </si>
  <si>
    <t>Evaluación:
Nota: 4
Justificación: La respuesta intenta capturar la importancia de las aserciones en los tests, destacando que facilitan el control y permiten cubrir más datos. Sin embargo, la explic</t>
  </si>
  <si>
    <t>Respuesta: No
se
la
respuesta</t>
  </si>
  <si>
    <t>Evaluación:
Nota: 0
Justificación: La respuesta proporcionada no contiene ninguna información relevante sobre cómo se utilizan las aserciones en los tests ni por qué son importantes. Esencialmente, es una colección de palabras</t>
  </si>
  <si>
    <t>Respuesta: NO SE</t>
  </si>
  <si>
    <t>Evaluación:
Nota: 0
Justificación: La respuesta es completamente incorrecta y vacía. No se proporciona ninguna información sobre cómo utilizar aserciones en los tests ni se explica su importancia. Esta falta de contenido hace</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</si>
  <si>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</si>
  <si>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reconoce que las aserciones pueden usarse en los tests y menciona la biblioteca Jakarta como un medio para hacerlo, además de nombrar un método específico</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</si>
  <si>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</si>
  <si>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la utilidad de las aserciones para verificar si la salida de un test tiene sentido en relación con sus entradas, lo cual es un concepto básico y</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</si>
  <si>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</si>
  <si>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básica de cómo se utilizan las aserciones en los tests y por qué son importantes, aunque no está completa. Menciona correctamente que las</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</si>
  <si>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</si>
  <si>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el contexto de los tests, pero la explicación es bastante incompleta y descriptiva. Menciona que</t>
  </si>
  <si>
    <t>Respuesta: digo lo mismo que en la anterior pregunta</t>
  </si>
  <si>
    <t>Evaluación: Nota: 2
Justificación: La respuesta es similar a la proporcionada en el ejemplo anterior, confundiendo las aserciones con mecanismos de validación de datos. No se ha mostrado ningún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</si>
</sst>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scheme val="minor"/>
    </font>
    <font>
      <color theme="1"/>
      <name val="Arial"/>
    </font>
    <font>
      <color rgb="FF000000"/>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ill="1" applyFont="1">
      <alignment horizontal="right" vertical="bottom"/>
    </xf>
    <xf borderId="0" fillId="0" fontId="1" numFmtId="0" xfId="0" applyFont="1"/>
    <xf borderId="0" fillId="0" fontId="3" numFmtId="0" xfId="0" applyFont="1"/>
    <xf borderId="0" fillId="0" fontId="2" numFmtId="0" xfId="0" applyAlignment="1" applyFont="1">
      <alignment horizontal="right" vertical="bottom"/>
    </xf>
    <xf borderId="0" fillId="2" fontId="2" numFmtId="2" xfId="0" applyAlignment="1" applyFill="1" applyFont="1" applyNumberFormat="1">
      <alignment horizontal="right" vertical="bottom"/>
    </xf>
    <xf borderId="0" fillId="2" fontId="2" numFmtId="9" xfId="0" applyAlignment="1" applyFill="1" applyFont="1" applyNumberFormat="1">
      <alignment horizontal="right" vertical="bottom"/>
    </xf>
    <xf borderId="0" fillId="2" fontId="2" numFmtId="164" xfId="0" applyAlignment="1" applyFill="1" applyFont="1" applyNumberFormat="1">
      <alignment horizontal="right" vertical="bottom"/>
    </xf>
    <xf borderId="0" fillId="2" fontId="2" numFmtId="10" xfId="0" applyAlignment="1" applyFill="1" applyFont="1" applyNumberFormat="1">
      <alignment horizontal="right" vertical="bottom"/>
    </xf>
    <xf borderId="0" fillId="2" fontId="2" numFmtId="0" xfId="0" applyAlignment="1" applyFill="1" applyFont="1">
      <alignment shrinkToFit="0" vertical="bottom" wrapText="1"/>
    </xf>
    <xf borderId="0" fillId="2" fontId="4" numFmtId="0" xfId="0" applyAlignment="1" applyFill="1" applyFont="1">
      <alignment shrinkToFit="0" vertical="bottom" wrapText="1"/>
    </xf>
    <xf borderId="0" fillId="0" fontId="2" numFmtId="164"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238125</xdr:colOff>
      <xdr:row>3</xdr:row>
      <xdr:rowOff>228600</xdr:rowOff>
    </xdr:from>
    <xdr:ext cx="4029075" cy="2486025"/>
    <xdr:pic>
      <xdr:nvPicPr>
        <xdr:cNvPr id="592896994"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50.25" customHeight="1">
      <c r="A2" s="1">
        <v>0.0</v>
      </c>
      <c r="B2" s="1" t="s">
        <v>13</v>
      </c>
      <c r="C2" s="1" t="s">
        <v>14</v>
      </c>
      <c r="D2" s="1" t="s">
        <v>15</v>
      </c>
      <c r="E2" s="1">
        <v>4.0</v>
      </c>
      <c r="F2" s="5">
        <v>51.0</v>
      </c>
      <c r="G2" s="6">
        <f t="shared" ref="G2:G72" si="2">--MID(D2, FIND("Nota:", D2) + 6, 1)</f>
        <v>4</v>
      </c>
      <c r="H2" s="7">
        <f t="shared" ref="H2:H72" si="3">ABS(I2)</f>
        <v>0</v>
      </c>
      <c r="I2" s="7">
        <f t="shared" ref="I2:I72" si="4">E2-G2</f>
        <v>0</v>
      </c>
      <c r="J2" s="2"/>
      <c r="K2" s="2"/>
      <c r="L2" s="2"/>
      <c r="M2" s="4">
        <f>MAX(H1:H90)</f>
        <v>4</v>
      </c>
      <c r="N2" s="8">
        <f t="shared" ref="N2:O2" si="1">AVERAGE(H1:H90)</f>
        <v>1.478873239</v>
      </c>
      <c r="O2" s="8">
        <f t="shared" si="1"/>
        <v>0.5492957746</v>
      </c>
      <c r="P2" s="9">
        <f>COUNTIF(I2:I101, 0) / COUNT(I2:I101)
</f>
        <v>0.1549295775</v>
      </c>
      <c r="Q2" s="10">
        <f>COUNTIF(I2:I72, 1) / COUNT(I2:I72)</f>
        <v>0.2394366197</v>
      </c>
      <c r="R2" s="11">
        <f>COUNTIF(I2:I72, 2) / COUNT(I2:I72)</f>
        <v>0.2253521127</v>
      </c>
      <c r="S2" s="11">
        <f>COUNTIF(I2:I72, 3) / COUNT(I2:I72)</f>
        <v>0.07042253521</v>
      </c>
      <c r="T2" s="11">
        <f>COUNTIF(I2:I72, 4) / COUNT(I2:I72)</f>
        <v>0.02816901408</v>
      </c>
      <c r="U2" s="11">
        <f>COUNTIF(I2:I72, 5) / COUNT(I2:I72)</f>
        <v>0</v>
      </c>
      <c r="V2" s="11">
        <f>COUNTIF(I2:I72, -1) / COUNT(I2:I72)</f>
        <v>0.1408450704</v>
      </c>
      <c r="W2" s="11">
        <f>COUNTIF(I2:I72, -2) / COUNT(I2:I72)</f>
        <v>0.1126760563</v>
      </c>
      <c r="X2" s="11">
        <f>COUNTIF(I2:I72, -3) / COUNT(I2:I72)</f>
        <v>0.01408450704</v>
      </c>
      <c r="Y2" s="11">
        <f>COUNTIF(H2:H72, -4) / COUNT(H2:H72)</f>
        <v>0</v>
      </c>
      <c r="Z2" s="11">
        <f>COUNTIF(I2:I72, -5) / COUNT(I2:I72)</f>
        <v>0</v>
      </c>
      <c r="AA2" s="11">
        <f>COUNTIF(H:H, "&lt;=1") / COUNT(H:H)</f>
        <v>0.5352112676</v>
      </c>
    </row>
    <row r="3" ht="60.75" customHeight="1">
      <c r="A3" s="1">
        <v>1.0</v>
      </c>
      <c r="B3" s="1" t="s">
        <v>16</v>
      </c>
      <c r="C3" s="1" t="s">
        <v>14</v>
      </c>
      <c r="D3" s="1" t="s">
        <v>17</v>
      </c>
      <c r="E3" s="1">
        <v>2.0</v>
      </c>
      <c r="F3" s="5">
        <v>40.0</v>
      </c>
      <c r="G3" s="6">
        <f t="shared" si="2"/>
        <v>4</v>
      </c>
      <c r="H3" s="7">
        <f t="shared" si="3"/>
        <v>2</v>
      </c>
      <c r="I3" s="7">
        <f t="shared" si="4"/>
        <v>-2</v>
      </c>
      <c r="J3" s="2"/>
      <c r="K3" s="2"/>
      <c r="L3" s="2"/>
      <c r="M3" s="12" t="s">
        <v>18</v>
      </c>
      <c r="N3" s="12" t="s">
        <v>19</v>
      </c>
      <c r="O3" s="13" t="s">
        <v>20</v>
      </c>
      <c r="P3" s="13" t="s">
        <v>21</v>
      </c>
      <c r="Q3" s="14">
        <f>SUM(Q2:T2)</f>
        <v>0.5633802817</v>
      </c>
      <c r="R3" s="15">
        <f>SUM(V2:X2)</f>
        <v>0.2676056338</v>
      </c>
      <c r="S3" s="2"/>
      <c r="T3" s="2"/>
      <c r="U3" s="2"/>
      <c r="V3" s="2"/>
      <c r="W3" s="2"/>
      <c r="X3" s="2"/>
      <c r="Y3" s="2"/>
      <c r="Z3" s="2"/>
      <c r="AA3" s="2"/>
    </row>
    <row r="4">
      <c r="A4" s="1">
        <v>2.0</v>
      </c>
      <c r="B4" s="1" t="s">
        <v>22</v>
      </c>
      <c r="C4" s="1" t="s">
        <v>14</v>
      </c>
      <c r="D4" s="1" t="s">
        <v>23</v>
      </c>
      <c r="E4" s="1">
        <v>5.0</v>
      </c>
      <c r="F4" s="5">
        <v>40.0</v>
      </c>
      <c r="G4" s="6">
        <f t="shared" si="2"/>
        <v>4</v>
      </c>
      <c r="H4" s="7">
        <f t="shared" si="3"/>
        <v>1</v>
      </c>
      <c r="I4" s="7">
        <f t="shared" si="4"/>
        <v>1</v>
      </c>
    </row>
    <row r="5">
      <c r="A5" s="1">
        <v>3.0</v>
      </c>
      <c r="B5" s="1" t="s">
        <v>24</v>
      </c>
      <c r="C5" s="1" t="s">
        <v>14</v>
      </c>
      <c r="D5" s="1" t="s">
        <v>25</v>
      </c>
      <c r="E5" s="1">
        <v>4.0</v>
      </c>
      <c r="F5" s="5">
        <v>40.0</v>
      </c>
      <c r="G5" s="6">
        <f t="shared" si="2"/>
        <v>5</v>
      </c>
      <c r="H5" s="7">
        <f t="shared" si="3"/>
        <v>1</v>
      </c>
      <c r="I5" s="7">
        <f t="shared" si="4"/>
        <v>-1</v>
      </c>
    </row>
    <row r="6">
      <c r="A6" s="1">
        <v>4.0</v>
      </c>
      <c r="B6" s="1" t="s">
        <v>26</v>
      </c>
      <c r="C6" s="1" t="s">
        <v>14</v>
      </c>
      <c r="D6" s="1" t="s">
        <v>27</v>
      </c>
      <c r="E6" s="1">
        <v>6.0</v>
      </c>
      <c r="F6" s="5">
        <v>40.0</v>
      </c>
      <c r="G6" s="6">
        <f t="shared" si="2"/>
        <v>4</v>
      </c>
      <c r="H6" s="7">
        <f t="shared" si="3"/>
        <v>2</v>
      </c>
      <c r="I6" s="7">
        <f t="shared" si="4"/>
        <v>2</v>
      </c>
    </row>
    <row r="7">
      <c r="A7" s="1">
        <v>5.0</v>
      </c>
      <c r="B7" s="1" t="s">
        <v>28</v>
      </c>
      <c r="C7" s="1" t="s">
        <v>14</v>
      </c>
      <c r="D7" s="1" t="s">
        <v>29</v>
      </c>
      <c r="E7" s="1">
        <v>6.0</v>
      </c>
      <c r="F7" s="5">
        <v>40.0</v>
      </c>
      <c r="G7" s="6">
        <f t="shared" si="2"/>
        <v>5</v>
      </c>
      <c r="H7" s="7">
        <f t="shared" si="3"/>
        <v>1</v>
      </c>
      <c r="I7" s="7">
        <f t="shared" si="4"/>
        <v>1</v>
      </c>
    </row>
    <row r="8">
      <c r="A8" s="1">
        <v>6.0</v>
      </c>
      <c r="B8" s="1" t="s">
        <v>30</v>
      </c>
      <c r="C8" s="1" t="s">
        <v>14</v>
      </c>
      <c r="D8" s="1" t="s">
        <v>31</v>
      </c>
      <c r="E8" s="1">
        <v>7.0</v>
      </c>
      <c r="F8" s="5">
        <v>40.0</v>
      </c>
      <c r="G8" s="6">
        <f t="shared" si="2"/>
        <v>7</v>
      </c>
      <c r="H8" s="7">
        <f t="shared" si="3"/>
        <v>0</v>
      </c>
      <c r="I8" s="7">
        <f t="shared" si="4"/>
        <v>0</v>
      </c>
    </row>
    <row r="9">
      <c r="A9" s="1">
        <v>7.0</v>
      </c>
      <c r="B9" s="1" t="s">
        <v>32</v>
      </c>
      <c r="C9" s="1" t="s">
        <v>14</v>
      </c>
      <c r="D9" s="1" t="s">
        <v>33</v>
      </c>
      <c r="E9" s="1">
        <v>5.0</v>
      </c>
      <c r="F9" s="5">
        <v>40.0</v>
      </c>
      <c r="G9" s="6">
        <f t="shared" si="2"/>
        <v>4</v>
      </c>
      <c r="H9" s="7">
        <f t="shared" si="3"/>
        <v>1</v>
      </c>
      <c r="I9" s="7">
        <f t="shared" si="4"/>
        <v>1</v>
      </c>
    </row>
    <row r="10">
      <c r="A10" s="1">
        <v>8.0</v>
      </c>
      <c r="B10" s="1" t="s">
        <v>34</v>
      </c>
      <c r="C10" s="1" t="s">
        <v>14</v>
      </c>
      <c r="D10" s="1" t="s">
        <v>35</v>
      </c>
      <c r="E10" s="1">
        <v>7.0</v>
      </c>
      <c r="F10" s="5">
        <v>40.0</v>
      </c>
      <c r="G10" s="6">
        <f t="shared" si="2"/>
        <v>5</v>
      </c>
      <c r="H10" s="7">
        <f t="shared" si="3"/>
        <v>2</v>
      </c>
      <c r="I10" s="7">
        <f t="shared" si="4"/>
        <v>2</v>
      </c>
    </row>
    <row r="11">
      <c r="A11" s="1">
        <v>9.0</v>
      </c>
      <c r="B11" s="1" t="s">
        <v>36</v>
      </c>
      <c r="C11" s="1" t="s">
        <v>14</v>
      </c>
      <c r="D11" s="1" t="s">
        <v>37</v>
      </c>
      <c r="E11" s="1">
        <v>6.0</v>
      </c>
      <c r="F11" s="5">
        <v>41.0</v>
      </c>
      <c r="G11" s="6">
        <f t="shared" si="2"/>
        <v>4</v>
      </c>
      <c r="H11" s="7">
        <f t="shared" si="3"/>
        <v>2</v>
      </c>
      <c r="I11" s="7">
        <f t="shared" si="4"/>
        <v>2</v>
      </c>
    </row>
    <row r="12">
      <c r="A12" s="1">
        <v>10.0</v>
      </c>
      <c r="B12" s="1" t="s">
        <v>38</v>
      </c>
      <c r="C12" s="1" t="s">
        <v>14</v>
      </c>
      <c r="D12" s="1" t="s">
        <v>39</v>
      </c>
      <c r="E12" s="1">
        <v>6.0</v>
      </c>
      <c r="F12" s="5">
        <v>41.0</v>
      </c>
      <c r="G12" s="6">
        <f t="shared" si="2"/>
        <v>5</v>
      </c>
      <c r="H12" s="7">
        <f t="shared" si="3"/>
        <v>1</v>
      </c>
      <c r="I12" s="7">
        <f t="shared" si="4"/>
        <v>1</v>
      </c>
    </row>
    <row r="13">
      <c r="A13" s="1">
        <v>11.0</v>
      </c>
      <c r="B13" s="1" t="s">
        <v>40</v>
      </c>
      <c r="C13" s="1" t="s">
        <v>14</v>
      </c>
      <c r="D13" s="1" t="s">
        <v>41</v>
      </c>
      <c r="E13" s="1">
        <v>6.0</v>
      </c>
      <c r="F13" s="5">
        <v>40.0</v>
      </c>
      <c r="G13" s="6">
        <f t="shared" si="2"/>
        <v>5</v>
      </c>
      <c r="H13" s="7">
        <f t="shared" si="3"/>
        <v>1</v>
      </c>
      <c r="I13" s="7">
        <f t="shared" si="4"/>
        <v>1</v>
      </c>
    </row>
    <row r="14">
      <c r="A14" s="1">
        <v>12.0</v>
      </c>
      <c r="B14" s="1" t="s">
        <v>42</v>
      </c>
      <c r="C14" s="1" t="s">
        <v>14</v>
      </c>
      <c r="D14" s="1" t="s">
        <v>43</v>
      </c>
      <c r="E14" s="1">
        <v>8.0</v>
      </c>
      <c r="F14" s="5">
        <v>41.0</v>
      </c>
      <c r="G14" s="6">
        <f t="shared" si="2"/>
        <v>7</v>
      </c>
      <c r="H14" s="7">
        <f t="shared" si="3"/>
        <v>1</v>
      </c>
      <c r="I14" s="7">
        <f t="shared" si="4"/>
        <v>1</v>
      </c>
    </row>
    <row r="15">
      <c r="A15" s="1">
        <v>13.0</v>
      </c>
      <c r="B15" s="1" t="s">
        <v>44</v>
      </c>
      <c r="C15" s="1" t="s">
        <v>14</v>
      </c>
      <c r="D15" s="1" t="s">
        <v>45</v>
      </c>
      <c r="E15" s="1">
        <v>5.0</v>
      </c>
      <c r="F15" s="5">
        <v>40.0</v>
      </c>
      <c r="G15" s="6">
        <f t="shared" si="2"/>
        <v>5</v>
      </c>
      <c r="H15" s="7">
        <f t="shared" si="3"/>
        <v>0</v>
      </c>
      <c r="I15" s="7">
        <f t="shared" si="4"/>
        <v>0</v>
      </c>
    </row>
    <row r="16">
      <c r="A16" s="1">
        <v>14.0</v>
      </c>
      <c r="B16" s="1" t="s">
        <v>46</v>
      </c>
      <c r="C16" s="1" t="s">
        <v>14</v>
      </c>
      <c r="D16" s="1" t="s">
        <v>47</v>
      </c>
      <c r="E16" s="1">
        <v>7.0</v>
      </c>
      <c r="F16" s="5">
        <v>40.0</v>
      </c>
      <c r="G16" s="6">
        <f t="shared" si="2"/>
        <v>5</v>
      </c>
      <c r="H16" s="7">
        <f t="shared" si="3"/>
        <v>2</v>
      </c>
      <c r="I16" s="7">
        <f t="shared" si="4"/>
        <v>2</v>
      </c>
    </row>
    <row r="17">
      <c r="A17" s="1">
        <v>15.0</v>
      </c>
      <c r="B17" s="1" t="s">
        <v>48</v>
      </c>
      <c r="C17" s="1" t="s">
        <v>14</v>
      </c>
      <c r="D17" s="1" t="s">
        <v>49</v>
      </c>
      <c r="E17" s="1">
        <v>2.0</v>
      </c>
      <c r="F17" s="5">
        <v>41.0</v>
      </c>
      <c r="G17" s="6">
        <f t="shared" si="2"/>
        <v>4</v>
      </c>
      <c r="H17" s="7">
        <f t="shared" si="3"/>
        <v>2</v>
      </c>
      <c r="I17" s="7">
        <f t="shared" si="4"/>
        <v>-2</v>
      </c>
    </row>
    <row r="18">
      <c r="A18" s="1">
        <v>16.0</v>
      </c>
      <c r="B18" s="1" t="s">
        <v>50</v>
      </c>
      <c r="C18" s="1" t="s">
        <v>14</v>
      </c>
      <c r="D18" s="1" t="s">
        <v>51</v>
      </c>
      <c r="E18" s="1">
        <v>7.0</v>
      </c>
      <c r="F18" s="5">
        <v>40.0</v>
      </c>
      <c r="G18" s="6">
        <f t="shared" si="2"/>
        <v>5</v>
      </c>
      <c r="H18" s="7">
        <f t="shared" si="3"/>
        <v>2</v>
      </c>
      <c r="I18" s="7">
        <f t="shared" si="4"/>
        <v>2</v>
      </c>
    </row>
    <row r="19">
      <c r="A19" s="1">
        <v>17.0</v>
      </c>
      <c r="B19" s="1" t="s">
        <v>52</v>
      </c>
      <c r="C19" s="1" t="s">
        <v>14</v>
      </c>
      <c r="D19" s="1" t="s">
        <v>53</v>
      </c>
      <c r="E19" s="1">
        <v>9.0</v>
      </c>
      <c r="F19" s="5">
        <v>41.0</v>
      </c>
      <c r="G19" s="6">
        <f t="shared" si="2"/>
        <v>5</v>
      </c>
      <c r="H19" s="7">
        <f t="shared" si="3"/>
        <v>4</v>
      </c>
      <c r="I19" s="7">
        <f t="shared" si="4"/>
        <v>4</v>
      </c>
    </row>
    <row r="20">
      <c r="A20" s="1">
        <v>18.0</v>
      </c>
      <c r="B20" s="1" t="s">
        <v>54</v>
      </c>
      <c r="C20" s="1" t="s">
        <v>14</v>
      </c>
      <c r="D20" s="1" t="s">
        <v>55</v>
      </c>
      <c r="E20" s="1">
        <v>7.0</v>
      </c>
      <c r="F20" s="5">
        <v>41.0</v>
      </c>
      <c r="G20" s="6">
        <f t="shared" si="2"/>
        <v>5</v>
      </c>
      <c r="H20" s="7">
        <f t="shared" si="3"/>
        <v>2</v>
      </c>
      <c r="I20" s="7">
        <f t="shared" si="4"/>
        <v>2</v>
      </c>
    </row>
    <row r="21">
      <c r="A21" s="1">
        <v>19.0</v>
      </c>
      <c r="B21" s="1" t="s">
        <v>56</v>
      </c>
      <c r="C21" s="1" t="s">
        <v>14</v>
      </c>
      <c r="D21" s="1" t="s">
        <v>57</v>
      </c>
      <c r="E21" s="1">
        <v>0.0</v>
      </c>
      <c r="F21" s="5">
        <v>40.0</v>
      </c>
      <c r="G21" s="6">
        <f t="shared" si="2"/>
        <v>3</v>
      </c>
      <c r="H21" s="7">
        <f t="shared" si="3"/>
        <v>3</v>
      </c>
      <c r="I21" s="7">
        <f t="shared" si="4"/>
        <v>-3</v>
      </c>
    </row>
    <row r="22">
      <c r="A22" s="1">
        <v>20.0</v>
      </c>
      <c r="B22" s="1" t="s">
        <v>58</v>
      </c>
      <c r="C22" s="1" t="s">
        <v>14</v>
      </c>
      <c r="D22" s="1" t="s">
        <v>59</v>
      </c>
      <c r="E22" s="1">
        <v>8.0</v>
      </c>
      <c r="F22" s="5">
        <v>41.0</v>
      </c>
      <c r="G22" s="6">
        <f t="shared" si="2"/>
        <v>7</v>
      </c>
      <c r="H22" s="7">
        <f t="shared" si="3"/>
        <v>1</v>
      </c>
      <c r="I22" s="7">
        <f t="shared" si="4"/>
        <v>1</v>
      </c>
    </row>
    <row r="23">
      <c r="A23" s="1">
        <v>21.0</v>
      </c>
      <c r="B23" s="1" t="s">
        <v>60</v>
      </c>
      <c r="C23" s="1" t="s">
        <v>14</v>
      </c>
      <c r="D23" s="1" t="s">
        <v>61</v>
      </c>
      <c r="E23" s="1">
        <v>4.0</v>
      </c>
      <c r="F23" s="5">
        <v>40.0</v>
      </c>
      <c r="G23" s="6">
        <f t="shared" si="2"/>
        <v>4</v>
      </c>
      <c r="H23" s="7">
        <f t="shared" si="3"/>
        <v>0</v>
      </c>
      <c r="I23" s="7">
        <f t="shared" si="4"/>
        <v>0</v>
      </c>
    </row>
    <row r="24">
      <c r="A24" s="1">
        <v>22.0</v>
      </c>
      <c r="B24" s="1" t="s">
        <v>62</v>
      </c>
      <c r="C24" s="1" t="s">
        <v>14</v>
      </c>
      <c r="D24" s="1" t="s">
        <v>63</v>
      </c>
      <c r="E24" s="1">
        <v>7.0</v>
      </c>
      <c r="F24" s="5">
        <v>40.0</v>
      </c>
      <c r="G24" s="6">
        <f t="shared" si="2"/>
        <v>4</v>
      </c>
      <c r="H24" s="7">
        <f t="shared" si="3"/>
        <v>3</v>
      </c>
      <c r="I24" s="7">
        <f t="shared" si="4"/>
        <v>3</v>
      </c>
    </row>
    <row r="25">
      <c r="A25" s="1">
        <v>23.0</v>
      </c>
      <c r="B25" s="1" t="s">
        <v>64</v>
      </c>
      <c r="C25" s="1" t="s">
        <v>14</v>
      </c>
      <c r="D25" s="1" t="s">
        <v>65</v>
      </c>
      <c r="E25" s="1">
        <v>1.0</v>
      </c>
      <c r="F25" s="5">
        <v>40.0</v>
      </c>
      <c r="G25" s="6">
        <f t="shared" si="2"/>
        <v>3</v>
      </c>
      <c r="H25" s="7">
        <f t="shared" si="3"/>
        <v>2</v>
      </c>
      <c r="I25" s="7">
        <f t="shared" si="4"/>
        <v>-2</v>
      </c>
    </row>
    <row r="26">
      <c r="A26" s="1">
        <v>24.0</v>
      </c>
      <c r="B26" s="1" t="s">
        <v>66</v>
      </c>
      <c r="C26" s="1" t="s">
        <v>14</v>
      </c>
      <c r="D26" s="1" t="s">
        <v>67</v>
      </c>
      <c r="E26" s="1">
        <v>0.0</v>
      </c>
      <c r="F26" s="5">
        <v>40.0</v>
      </c>
      <c r="G26" s="6">
        <f t="shared" si="2"/>
        <v>4</v>
      </c>
      <c r="H26" s="7">
        <f t="shared" si="3"/>
        <v>4</v>
      </c>
      <c r="I26" s="7">
        <f t="shared" si="4"/>
        <v>-4</v>
      </c>
    </row>
    <row r="27">
      <c r="A27" s="1">
        <v>25.0</v>
      </c>
      <c r="B27" s="1" t="s">
        <v>68</v>
      </c>
      <c r="C27" s="1" t="s">
        <v>14</v>
      </c>
      <c r="D27" s="1" t="s">
        <v>69</v>
      </c>
      <c r="E27" s="1">
        <v>7.0</v>
      </c>
      <c r="F27" s="5">
        <v>40.0</v>
      </c>
      <c r="G27" s="6">
        <f t="shared" si="2"/>
        <v>5</v>
      </c>
      <c r="H27" s="7">
        <f t="shared" si="3"/>
        <v>2</v>
      </c>
      <c r="I27" s="7">
        <f t="shared" si="4"/>
        <v>2</v>
      </c>
    </row>
    <row r="28">
      <c r="A28" s="1">
        <v>26.0</v>
      </c>
      <c r="B28" s="1" t="s">
        <v>70</v>
      </c>
      <c r="C28" s="1" t="s">
        <v>14</v>
      </c>
      <c r="D28" s="1" t="s">
        <v>71</v>
      </c>
      <c r="E28" s="1">
        <v>7.0</v>
      </c>
      <c r="F28" s="5">
        <v>40.0</v>
      </c>
      <c r="G28" s="6">
        <f t="shared" si="2"/>
        <v>5</v>
      </c>
      <c r="H28" s="7">
        <f t="shared" si="3"/>
        <v>2</v>
      </c>
      <c r="I28" s="7">
        <f t="shared" si="4"/>
        <v>2</v>
      </c>
    </row>
    <row r="29">
      <c r="A29" s="1">
        <v>27.0</v>
      </c>
      <c r="B29" s="1" t="s">
        <v>72</v>
      </c>
      <c r="C29" s="1" t="s">
        <v>14</v>
      </c>
      <c r="D29" s="1" t="s">
        <v>73</v>
      </c>
      <c r="E29" s="1">
        <v>4.0</v>
      </c>
      <c r="F29" s="5">
        <v>40.0</v>
      </c>
      <c r="G29" s="6">
        <f t="shared" si="2"/>
        <v>4</v>
      </c>
      <c r="H29" s="7">
        <f t="shared" si="3"/>
        <v>0</v>
      </c>
      <c r="I29" s="7">
        <f t="shared" si="4"/>
        <v>0</v>
      </c>
    </row>
    <row r="30">
      <c r="A30" s="1">
        <v>28.0</v>
      </c>
      <c r="B30" s="1" t="s">
        <v>74</v>
      </c>
      <c r="C30" s="1" t="s">
        <v>14</v>
      </c>
      <c r="D30" s="1" t="s">
        <v>75</v>
      </c>
      <c r="E30" s="1">
        <v>4.0</v>
      </c>
      <c r="F30" s="5">
        <v>40.0</v>
      </c>
      <c r="G30" s="6">
        <f t="shared" si="2"/>
        <v>5</v>
      </c>
      <c r="H30" s="7">
        <f t="shared" si="3"/>
        <v>1</v>
      </c>
      <c r="I30" s="7">
        <f t="shared" si="4"/>
        <v>-1</v>
      </c>
    </row>
    <row r="31">
      <c r="A31" s="1">
        <v>29.0</v>
      </c>
      <c r="B31" s="1" t="s">
        <v>76</v>
      </c>
      <c r="C31" s="1" t="s">
        <v>14</v>
      </c>
      <c r="D31" s="1" t="s">
        <v>77</v>
      </c>
      <c r="E31" s="1">
        <v>3.0</v>
      </c>
      <c r="F31" s="5">
        <v>40.0</v>
      </c>
      <c r="G31" s="6">
        <f t="shared" si="2"/>
        <v>4</v>
      </c>
      <c r="H31" s="7">
        <f t="shared" si="3"/>
        <v>1</v>
      </c>
      <c r="I31" s="7">
        <f t="shared" si="4"/>
        <v>-1</v>
      </c>
    </row>
    <row r="32">
      <c r="A32" s="1">
        <v>30.0</v>
      </c>
      <c r="B32" s="1" t="s">
        <v>78</v>
      </c>
      <c r="C32" s="1" t="s">
        <v>14</v>
      </c>
      <c r="D32" s="1" t="s">
        <v>79</v>
      </c>
      <c r="E32" s="1">
        <v>9.0</v>
      </c>
      <c r="F32" s="5">
        <v>41.0</v>
      </c>
      <c r="G32" s="6">
        <f t="shared" si="2"/>
        <v>7</v>
      </c>
      <c r="H32" s="7">
        <f t="shared" si="3"/>
        <v>2</v>
      </c>
      <c r="I32" s="7">
        <f t="shared" si="4"/>
        <v>2</v>
      </c>
    </row>
    <row r="33">
      <c r="A33" s="1">
        <v>31.0</v>
      </c>
      <c r="B33" s="1" t="s">
        <v>80</v>
      </c>
      <c r="C33" s="1" t="s">
        <v>14</v>
      </c>
      <c r="D33" s="1" t="s">
        <v>81</v>
      </c>
      <c r="E33" s="1">
        <v>8.0</v>
      </c>
      <c r="F33" s="5">
        <v>40.0</v>
      </c>
      <c r="G33" s="6">
        <f t="shared" si="2"/>
        <v>4</v>
      </c>
      <c r="H33" s="7">
        <f t="shared" si="3"/>
        <v>4</v>
      </c>
      <c r="I33" s="7">
        <f t="shared" si="4"/>
        <v>4</v>
      </c>
    </row>
    <row r="34">
      <c r="A34" s="1">
        <v>32.0</v>
      </c>
      <c r="B34" s="1" t="s">
        <v>82</v>
      </c>
      <c r="C34" s="1" t="s">
        <v>14</v>
      </c>
      <c r="D34" s="1" t="s">
        <v>83</v>
      </c>
      <c r="E34" s="1">
        <v>8.0</v>
      </c>
      <c r="F34" s="5">
        <v>40.0</v>
      </c>
      <c r="G34" s="6">
        <f t="shared" si="2"/>
        <v>7</v>
      </c>
      <c r="H34" s="7">
        <f t="shared" si="3"/>
        <v>1</v>
      </c>
      <c r="I34" s="7">
        <f t="shared" si="4"/>
        <v>1</v>
      </c>
    </row>
    <row r="35">
      <c r="A35" s="1">
        <v>33.0</v>
      </c>
      <c r="B35" s="1" t="s">
        <v>84</v>
      </c>
      <c r="C35" s="1" t="s">
        <v>14</v>
      </c>
      <c r="D35" s="1" t="s">
        <v>85</v>
      </c>
      <c r="E35" s="1">
        <v>9.0</v>
      </c>
      <c r="F35" s="5">
        <v>40.0</v>
      </c>
      <c r="G35" s="6">
        <f t="shared" si="2"/>
        <v>7</v>
      </c>
      <c r="H35" s="7">
        <f t="shared" si="3"/>
        <v>2</v>
      </c>
      <c r="I35" s="7">
        <f t="shared" si="4"/>
        <v>2</v>
      </c>
    </row>
    <row r="36">
      <c r="A36" s="1">
        <v>34.0</v>
      </c>
      <c r="B36" s="1" t="s">
        <v>86</v>
      </c>
      <c r="C36" s="1" t="s">
        <v>14</v>
      </c>
      <c r="D36" s="1" t="s">
        <v>87</v>
      </c>
      <c r="E36" s="1">
        <v>7.0</v>
      </c>
      <c r="F36" s="5">
        <v>40.0</v>
      </c>
      <c r="G36" s="6">
        <f t="shared" si="2"/>
        <v>4</v>
      </c>
      <c r="H36" s="7">
        <f t="shared" si="3"/>
        <v>3</v>
      </c>
      <c r="I36" s="7">
        <f t="shared" si="4"/>
        <v>3</v>
      </c>
    </row>
    <row r="37">
      <c r="A37" s="1">
        <v>35.0</v>
      </c>
      <c r="B37" s="1" t="s">
        <v>88</v>
      </c>
      <c r="C37" s="1" t="s">
        <v>14</v>
      </c>
      <c r="D37" s="1" t="s">
        <v>89</v>
      </c>
      <c r="E37" s="1">
        <v>6.0</v>
      </c>
      <c r="F37" s="5">
        <v>40.0</v>
      </c>
      <c r="G37" s="6">
        <f t="shared" si="2"/>
        <v>5</v>
      </c>
      <c r="H37" s="7">
        <f t="shared" si="3"/>
        <v>1</v>
      </c>
      <c r="I37" s="7">
        <f t="shared" si="4"/>
        <v>1</v>
      </c>
    </row>
    <row r="38">
      <c r="A38" s="1">
        <v>36.0</v>
      </c>
      <c r="B38" s="1" t="s">
        <v>90</v>
      </c>
      <c r="C38" s="1" t="s">
        <v>14</v>
      </c>
      <c r="D38" s="1" t="s">
        <v>91</v>
      </c>
      <c r="E38" s="1">
        <v>6.0</v>
      </c>
      <c r="F38" s="5">
        <v>40.0</v>
      </c>
      <c r="G38" s="6">
        <f t="shared" si="2"/>
        <v>4</v>
      </c>
      <c r="H38" s="7">
        <f t="shared" si="3"/>
        <v>2</v>
      </c>
      <c r="I38" s="7">
        <f t="shared" si="4"/>
        <v>2</v>
      </c>
    </row>
    <row r="39">
      <c r="A39" s="1">
        <v>37.0</v>
      </c>
      <c r="B39" s="1" t="s">
        <v>92</v>
      </c>
      <c r="C39" s="1" t="s">
        <v>14</v>
      </c>
      <c r="D39" s="1" t="s">
        <v>93</v>
      </c>
      <c r="E39" s="1">
        <v>8.0</v>
      </c>
      <c r="F39" s="5">
        <v>41.0</v>
      </c>
      <c r="G39" s="6">
        <f t="shared" si="2"/>
        <v>7</v>
      </c>
      <c r="H39" s="7">
        <f t="shared" si="3"/>
        <v>1</v>
      </c>
      <c r="I39" s="7">
        <f t="shared" si="4"/>
        <v>1</v>
      </c>
    </row>
    <row r="40">
      <c r="A40" s="1">
        <v>38.0</v>
      </c>
      <c r="B40" s="1" t="s">
        <v>94</v>
      </c>
      <c r="C40" s="1" t="s">
        <v>14</v>
      </c>
      <c r="D40" s="1" t="s">
        <v>95</v>
      </c>
      <c r="E40" s="1">
        <v>8.0</v>
      </c>
      <c r="F40" s="5">
        <v>41.0</v>
      </c>
      <c r="G40" s="6">
        <f t="shared" si="2"/>
        <v>5</v>
      </c>
      <c r="H40" s="7">
        <f t="shared" si="3"/>
        <v>3</v>
      </c>
      <c r="I40" s="7">
        <f t="shared" si="4"/>
        <v>3</v>
      </c>
    </row>
    <row r="41">
      <c r="A41" s="1">
        <v>39.0</v>
      </c>
      <c r="B41" s="1" t="s">
        <v>96</v>
      </c>
      <c r="C41" s="1" t="s">
        <v>14</v>
      </c>
      <c r="D41" s="1" t="s">
        <v>97</v>
      </c>
      <c r="E41" s="1">
        <v>1.0</v>
      </c>
      <c r="F41" s="5">
        <v>40.0</v>
      </c>
      <c r="G41" s="6">
        <f t="shared" si="2"/>
        <v>3</v>
      </c>
      <c r="H41" s="7">
        <f t="shared" si="3"/>
        <v>2</v>
      </c>
      <c r="I41" s="7">
        <f t="shared" si="4"/>
        <v>-2</v>
      </c>
    </row>
    <row r="42">
      <c r="A42" s="1">
        <v>40.0</v>
      </c>
      <c r="B42" s="1" t="s">
        <v>98</v>
      </c>
      <c r="C42" s="1" t="s">
        <v>14</v>
      </c>
      <c r="D42" s="1" t="s">
        <v>99</v>
      </c>
      <c r="E42" s="1">
        <v>8.0</v>
      </c>
      <c r="F42" s="5">
        <v>41.0</v>
      </c>
      <c r="G42" s="6">
        <f t="shared" si="2"/>
        <v>7</v>
      </c>
      <c r="H42" s="7">
        <f t="shared" si="3"/>
        <v>1</v>
      </c>
      <c r="I42" s="7">
        <f t="shared" si="4"/>
        <v>1</v>
      </c>
    </row>
    <row r="43">
      <c r="A43" s="1">
        <v>41.0</v>
      </c>
      <c r="B43" s="1" t="s">
        <v>100</v>
      </c>
      <c r="C43" s="1" t="s">
        <v>14</v>
      </c>
      <c r="D43" s="1" t="s">
        <v>101</v>
      </c>
      <c r="E43" s="1">
        <v>7.0</v>
      </c>
      <c r="F43" s="5">
        <v>41.0</v>
      </c>
      <c r="G43" s="6">
        <f t="shared" si="2"/>
        <v>5</v>
      </c>
      <c r="H43" s="7">
        <f t="shared" si="3"/>
        <v>2</v>
      </c>
      <c r="I43" s="7">
        <f t="shared" si="4"/>
        <v>2</v>
      </c>
    </row>
    <row r="44">
      <c r="A44" s="1">
        <v>42.0</v>
      </c>
      <c r="B44" s="1" t="s">
        <v>102</v>
      </c>
      <c r="C44" s="1" t="s">
        <v>14</v>
      </c>
      <c r="D44" s="1" t="s">
        <v>103</v>
      </c>
      <c r="E44" s="1">
        <v>6.0</v>
      </c>
      <c r="F44" s="5">
        <v>41.0</v>
      </c>
      <c r="G44" s="6">
        <f t="shared" si="2"/>
        <v>5</v>
      </c>
      <c r="H44" s="7">
        <f t="shared" si="3"/>
        <v>1</v>
      </c>
      <c r="I44" s="7">
        <f t="shared" si="4"/>
        <v>1</v>
      </c>
    </row>
    <row r="45">
      <c r="A45" s="1">
        <v>43.0</v>
      </c>
      <c r="B45" s="1" t="s">
        <v>104</v>
      </c>
      <c r="C45" s="1" t="s">
        <v>14</v>
      </c>
      <c r="D45" s="1" t="s">
        <v>105</v>
      </c>
      <c r="E45" s="1">
        <v>9.0</v>
      </c>
      <c r="F45" s="5">
        <v>40.0</v>
      </c>
      <c r="G45" s="6">
        <f t="shared" si="2"/>
        <v>7</v>
      </c>
      <c r="H45" s="7">
        <f t="shared" si="3"/>
        <v>2</v>
      </c>
      <c r="I45" s="7">
        <f t="shared" si="4"/>
        <v>2</v>
      </c>
    </row>
    <row r="46">
      <c r="A46" s="1">
        <v>44.0</v>
      </c>
      <c r="B46" s="1" t="s">
        <v>106</v>
      </c>
      <c r="C46" s="1" t="s">
        <v>14</v>
      </c>
      <c r="D46" s="1" t="s">
        <v>107</v>
      </c>
      <c r="E46" s="1">
        <v>3.0</v>
      </c>
      <c r="F46" s="5">
        <v>41.0</v>
      </c>
      <c r="G46" s="6">
        <f t="shared" si="2"/>
        <v>4</v>
      </c>
      <c r="H46" s="7">
        <f t="shared" si="3"/>
        <v>1</v>
      </c>
      <c r="I46" s="7">
        <f t="shared" si="4"/>
        <v>-1</v>
      </c>
    </row>
    <row r="47">
      <c r="A47" s="1">
        <v>45.0</v>
      </c>
      <c r="B47" s="1" t="s">
        <v>108</v>
      </c>
      <c r="C47" s="1" t="s">
        <v>14</v>
      </c>
      <c r="D47" s="1" t="s">
        <v>109</v>
      </c>
      <c r="E47" s="1">
        <v>8.0</v>
      </c>
      <c r="F47" s="5">
        <v>41.0</v>
      </c>
      <c r="G47" s="6">
        <f t="shared" si="2"/>
        <v>7</v>
      </c>
      <c r="H47" s="7">
        <f t="shared" si="3"/>
        <v>1</v>
      </c>
      <c r="I47" s="7">
        <f t="shared" si="4"/>
        <v>1</v>
      </c>
    </row>
    <row r="48">
      <c r="A48" s="1">
        <v>46.0</v>
      </c>
      <c r="B48" s="1" t="s">
        <v>110</v>
      </c>
      <c r="C48" s="1" t="s">
        <v>14</v>
      </c>
      <c r="D48" s="1" t="s">
        <v>111</v>
      </c>
      <c r="E48" s="1">
        <v>3.0</v>
      </c>
      <c r="F48" s="5">
        <v>41.0</v>
      </c>
      <c r="G48" s="6">
        <f t="shared" si="2"/>
        <v>4</v>
      </c>
      <c r="H48" s="7">
        <f t="shared" si="3"/>
        <v>1</v>
      </c>
      <c r="I48" s="7">
        <f t="shared" si="4"/>
        <v>-1</v>
      </c>
    </row>
    <row r="49">
      <c r="A49" s="1">
        <v>47.0</v>
      </c>
      <c r="B49" s="1" t="s">
        <v>112</v>
      </c>
      <c r="C49" s="1" t="s">
        <v>14</v>
      </c>
      <c r="D49" s="1" t="s">
        <v>113</v>
      </c>
      <c r="E49" s="1">
        <v>2.0</v>
      </c>
      <c r="F49" s="5">
        <v>40.0</v>
      </c>
      <c r="G49" s="6">
        <f t="shared" si="2"/>
        <v>3</v>
      </c>
      <c r="H49" s="7">
        <f t="shared" si="3"/>
        <v>1</v>
      </c>
      <c r="I49" s="7">
        <f t="shared" si="4"/>
        <v>-1</v>
      </c>
    </row>
    <row r="50">
      <c r="A50" s="1">
        <v>48.0</v>
      </c>
      <c r="B50" s="1" t="s">
        <v>114</v>
      </c>
      <c r="C50" s="1" t="s">
        <v>14</v>
      </c>
      <c r="D50" s="1" t="s">
        <v>115</v>
      </c>
      <c r="E50" s="1">
        <v>2.0</v>
      </c>
      <c r="F50" s="5">
        <v>40.0</v>
      </c>
      <c r="G50" s="6">
        <f t="shared" si="2"/>
        <v>2</v>
      </c>
      <c r="H50" s="7">
        <f t="shared" si="3"/>
        <v>0</v>
      </c>
      <c r="I50" s="7">
        <f t="shared" si="4"/>
        <v>0</v>
      </c>
    </row>
    <row r="51">
      <c r="A51" s="1">
        <v>49.0</v>
      </c>
      <c r="B51" s="1" t="s">
        <v>116</v>
      </c>
      <c r="C51" s="1" t="s">
        <v>14</v>
      </c>
      <c r="D51" s="1" t="s">
        <v>117</v>
      </c>
      <c r="E51" s="1">
        <v>8.0</v>
      </c>
      <c r="F51" s="5">
        <v>40.0</v>
      </c>
      <c r="G51" s="6">
        <f t="shared" si="2"/>
        <v>5</v>
      </c>
      <c r="H51" s="7">
        <f t="shared" si="3"/>
        <v>3</v>
      </c>
      <c r="I51" s="7">
        <f t="shared" si="4"/>
        <v>3</v>
      </c>
    </row>
    <row r="52">
      <c r="A52" s="1">
        <v>50.0</v>
      </c>
      <c r="B52" s="1" t="s">
        <v>118</v>
      </c>
      <c r="C52" s="1" t="s">
        <v>14</v>
      </c>
      <c r="D52" s="1" t="s">
        <v>119</v>
      </c>
      <c r="E52" s="1">
        <v>8.0</v>
      </c>
      <c r="F52" s="5">
        <v>40.0</v>
      </c>
      <c r="G52" s="6">
        <f t="shared" si="2"/>
        <v>5</v>
      </c>
      <c r="H52" s="7">
        <f t="shared" si="3"/>
        <v>3</v>
      </c>
      <c r="I52" s="7">
        <f t="shared" si="4"/>
        <v>3</v>
      </c>
    </row>
    <row r="53">
      <c r="A53" s="1">
        <v>51.0</v>
      </c>
      <c r="B53" s="1" t="s">
        <v>120</v>
      </c>
      <c r="C53" s="1" t="s">
        <v>14</v>
      </c>
      <c r="D53" s="1" t="s">
        <v>121</v>
      </c>
      <c r="E53" s="1">
        <v>4.0</v>
      </c>
      <c r="F53" s="5">
        <v>40.0</v>
      </c>
      <c r="G53" s="6">
        <f t="shared" si="2"/>
        <v>4</v>
      </c>
      <c r="H53" s="7">
        <f t="shared" si="3"/>
        <v>0</v>
      </c>
      <c r="I53" s="7">
        <f t="shared" si="4"/>
        <v>0</v>
      </c>
    </row>
    <row r="54">
      <c r="A54" s="1">
        <v>52.0</v>
      </c>
      <c r="B54" s="1" t="s">
        <v>122</v>
      </c>
      <c r="C54" s="1" t="s">
        <v>14</v>
      </c>
      <c r="D54" s="1" t="s">
        <v>123</v>
      </c>
      <c r="E54" s="1">
        <v>7.0</v>
      </c>
      <c r="F54" s="5">
        <v>41.0</v>
      </c>
      <c r="G54" s="6">
        <f t="shared" si="2"/>
        <v>5</v>
      </c>
      <c r="H54" s="7">
        <f t="shared" si="3"/>
        <v>2</v>
      </c>
      <c r="I54" s="7">
        <f t="shared" si="4"/>
        <v>2</v>
      </c>
    </row>
    <row r="55">
      <c r="A55" s="1">
        <v>53.0</v>
      </c>
      <c r="B55" s="1" t="s">
        <v>124</v>
      </c>
      <c r="C55" s="1" t="s">
        <v>14</v>
      </c>
      <c r="D55" s="1" t="s">
        <v>125</v>
      </c>
      <c r="E55" s="1">
        <v>5.0</v>
      </c>
      <c r="F55" s="5">
        <v>40.0</v>
      </c>
      <c r="G55" s="6">
        <f t="shared" si="2"/>
        <v>4</v>
      </c>
      <c r="H55" s="7">
        <f t="shared" si="3"/>
        <v>1</v>
      </c>
      <c r="I55" s="7">
        <f t="shared" si="4"/>
        <v>1</v>
      </c>
    </row>
    <row r="56">
      <c r="A56" s="1">
        <v>54.0</v>
      </c>
      <c r="B56" s="1" t="s">
        <v>126</v>
      </c>
      <c r="C56" s="1" t="s">
        <v>14</v>
      </c>
      <c r="D56" s="1" t="s">
        <v>127</v>
      </c>
      <c r="E56" s="1">
        <v>5.0</v>
      </c>
      <c r="F56" s="5">
        <v>41.0</v>
      </c>
      <c r="G56" s="6">
        <f t="shared" si="2"/>
        <v>5</v>
      </c>
      <c r="H56" s="7">
        <f t="shared" si="3"/>
        <v>0</v>
      </c>
      <c r="I56" s="7">
        <f t="shared" si="4"/>
        <v>0</v>
      </c>
    </row>
    <row r="57">
      <c r="A57" s="1">
        <v>55.0</v>
      </c>
      <c r="B57" s="1" t="s">
        <v>128</v>
      </c>
      <c r="C57" s="1" t="s">
        <v>14</v>
      </c>
      <c r="D57" s="1" t="s">
        <v>129</v>
      </c>
      <c r="E57" s="1">
        <v>9.0</v>
      </c>
      <c r="F57" s="5">
        <v>41.0</v>
      </c>
      <c r="G57" s="6">
        <f t="shared" si="2"/>
        <v>7</v>
      </c>
      <c r="H57" s="7">
        <f t="shared" si="3"/>
        <v>2</v>
      </c>
      <c r="I57" s="7">
        <f t="shared" si="4"/>
        <v>2</v>
      </c>
    </row>
    <row r="58">
      <c r="A58" s="1">
        <v>56.0</v>
      </c>
      <c r="B58" s="1" t="s">
        <v>130</v>
      </c>
      <c r="C58" s="1" t="s">
        <v>14</v>
      </c>
      <c r="D58" s="1" t="s">
        <v>131</v>
      </c>
      <c r="E58" s="1">
        <v>4.0</v>
      </c>
      <c r="F58" s="5">
        <v>41.0</v>
      </c>
      <c r="G58" s="6">
        <f t="shared" si="2"/>
        <v>5</v>
      </c>
      <c r="H58" s="7">
        <f t="shared" si="3"/>
        <v>1</v>
      </c>
      <c r="I58" s="7">
        <f t="shared" si="4"/>
        <v>-1</v>
      </c>
    </row>
    <row r="59">
      <c r="A59" s="1">
        <v>57.0</v>
      </c>
      <c r="B59" s="1" t="s">
        <v>132</v>
      </c>
      <c r="C59" s="1" t="s">
        <v>14</v>
      </c>
      <c r="D59" s="1" t="s">
        <v>133</v>
      </c>
      <c r="E59" s="1">
        <v>0.0</v>
      </c>
      <c r="F59" s="5">
        <v>40.0</v>
      </c>
      <c r="G59" s="6">
        <f t="shared" si="2"/>
        <v>0</v>
      </c>
      <c r="H59" s="7">
        <f t="shared" si="3"/>
        <v>0</v>
      </c>
      <c r="I59" s="7">
        <f t="shared" si="4"/>
        <v>0</v>
      </c>
    </row>
    <row r="60">
      <c r="A60" s="1">
        <v>58.0</v>
      </c>
      <c r="B60" s="1" t="s">
        <v>134</v>
      </c>
      <c r="C60" s="1" t="s">
        <v>14</v>
      </c>
      <c r="D60" s="1" t="s">
        <v>135</v>
      </c>
      <c r="E60" s="1">
        <v>2.0</v>
      </c>
      <c r="F60" s="5">
        <v>41.0</v>
      </c>
      <c r="G60" s="6">
        <f t="shared" si="2"/>
        <v>4</v>
      </c>
      <c r="H60" s="7">
        <f t="shared" si="3"/>
        <v>2</v>
      </c>
      <c r="I60" s="7">
        <f t="shared" si="4"/>
        <v>-2</v>
      </c>
    </row>
    <row r="61">
      <c r="A61" s="1">
        <v>59.0</v>
      </c>
      <c r="B61" s="1" t="s">
        <v>136</v>
      </c>
      <c r="C61" s="1" t="s">
        <v>14</v>
      </c>
      <c r="D61" s="1" t="s">
        <v>137</v>
      </c>
      <c r="E61" s="1">
        <v>3.0</v>
      </c>
      <c r="F61" s="5">
        <v>40.0</v>
      </c>
      <c r="G61" s="6">
        <f t="shared" si="2"/>
        <v>4</v>
      </c>
      <c r="H61" s="7">
        <f t="shared" si="3"/>
        <v>1</v>
      </c>
      <c r="I61" s="7">
        <f t="shared" si="4"/>
        <v>-1</v>
      </c>
    </row>
    <row r="62">
      <c r="A62" s="1">
        <v>60.0</v>
      </c>
      <c r="B62" s="1" t="s">
        <v>138</v>
      </c>
      <c r="C62" s="1" t="s">
        <v>14</v>
      </c>
      <c r="D62" s="1" t="s">
        <v>139</v>
      </c>
      <c r="E62" s="1">
        <v>1.0</v>
      </c>
      <c r="F62" s="5">
        <v>41.0</v>
      </c>
      <c r="G62" s="6">
        <f t="shared" si="2"/>
        <v>3</v>
      </c>
      <c r="H62" s="7">
        <f t="shared" si="3"/>
        <v>2</v>
      </c>
      <c r="I62" s="7">
        <f t="shared" si="4"/>
        <v>-2</v>
      </c>
    </row>
    <row r="63">
      <c r="A63" s="1">
        <v>61.0</v>
      </c>
      <c r="B63" s="1" t="s">
        <v>140</v>
      </c>
      <c r="C63" s="1" t="s">
        <v>14</v>
      </c>
      <c r="D63" s="1" t="s">
        <v>141</v>
      </c>
      <c r="E63" s="1">
        <v>9.0</v>
      </c>
      <c r="F63" s="5">
        <v>41.0</v>
      </c>
      <c r="G63" s="6">
        <f t="shared" si="2"/>
        <v>7</v>
      </c>
      <c r="H63" s="7">
        <f t="shared" si="3"/>
        <v>2</v>
      </c>
      <c r="I63" s="7">
        <f t="shared" si="4"/>
        <v>2</v>
      </c>
    </row>
    <row r="64">
      <c r="A64" s="1">
        <v>62.0</v>
      </c>
      <c r="B64" s="1" t="s">
        <v>142</v>
      </c>
      <c r="C64" s="1" t="s">
        <v>14</v>
      </c>
      <c r="D64" s="1" t="s">
        <v>143</v>
      </c>
      <c r="E64" s="1">
        <v>3.0</v>
      </c>
      <c r="F64" s="5">
        <v>41.0</v>
      </c>
      <c r="G64" s="6">
        <f t="shared" si="2"/>
        <v>4</v>
      </c>
      <c r="H64" s="7">
        <f t="shared" si="3"/>
        <v>1</v>
      </c>
      <c r="I64" s="7">
        <f t="shared" si="4"/>
        <v>-1</v>
      </c>
    </row>
    <row r="65">
      <c r="A65" s="1">
        <v>63.0</v>
      </c>
      <c r="B65" s="1" t="s">
        <v>144</v>
      </c>
      <c r="C65" s="1" t="s">
        <v>14</v>
      </c>
      <c r="D65" s="1" t="s">
        <v>145</v>
      </c>
      <c r="E65" s="1">
        <v>2.0</v>
      </c>
      <c r="F65" s="5">
        <v>40.0</v>
      </c>
      <c r="G65" s="6">
        <f t="shared" si="2"/>
        <v>4</v>
      </c>
      <c r="H65" s="7">
        <f t="shared" si="3"/>
        <v>2</v>
      </c>
      <c r="I65" s="7">
        <f t="shared" si="4"/>
        <v>-2</v>
      </c>
    </row>
    <row r="66">
      <c r="A66" s="1">
        <v>64.0</v>
      </c>
      <c r="B66" s="1" t="s">
        <v>146</v>
      </c>
      <c r="C66" s="1" t="s">
        <v>14</v>
      </c>
      <c r="D66" s="1" t="s">
        <v>147</v>
      </c>
      <c r="E66" s="1">
        <v>0.0</v>
      </c>
      <c r="F66" s="5">
        <v>40.0</v>
      </c>
      <c r="G66" s="6">
        <f t="shared" si="2"/>
        <v>0</v>
      </c>
      <c r="H66" s="7">
        <f t="shared" si="3"/>
        <v>0</v>
      </c>
      <c r="I66" s="7">
        <f t="shared" si="4"/>
        <v>0</v>
      </c>
    </row>
    <row r="67">
      <c r="A67" s="1">
        <v>65.0</v>
      </c>
      <c r="B67" s="1" t="s">
        <v>148</v>
      </c>
      <c r="C67" s="1" t="s">
        <v>14</v>
      </c>
      <c r="D67" s="1" t="s">
        <v>149</v>
      </c>
      <c r="E67" s="1">
        <v>0.0</v>
      </c>
      <c r="F67" s="5">
        <v>40.0</v>
      </c>
      <c r="G67" s="6">
        <f t="shared" si="2"/>
        <v>0</v>
      </c>
      <c r="H67" s="7">
        <f t="shared" si="3"/>
        <v>0</v>
      </c>
      <c r="I67" s="7">
        <f t="shared" si="4"/>
        <v>0</v>
      </c>
    </row>
    <row r="68">
      <c r="A68" s="1">
        <v>66.0</v>
      </c>
      <c r="B68" s="1" t="s">
        <v>150</v>
      </c>
      <c r="C68" s="1" t="s">
        <v>14</v>
      </c>
      <c r="D68" s="1" t="s">
        <v>151</v>
      </c>
      <c r="E68" s="1">
        <v>4.0</v>
      </c>
      <c r="F68" s="5">
        <v>40.0</v>
      </c>
      <c r="G68" s="6">
        <f t="shared" si="2"/>
        <v>5</v>
      </c>
      <c r="H68" s="7">
        <f t="shared" si="3"/>
        <v>1</v>
      </c>
      <c r="I68" s="7">
        <f t="shared" si="4"/>
        <v>-1</v>
      </c>
    </row>
    <row r="69">
      <c r="A69" s="1">
        <v>67.0</v>
      </c>
      <c r="B69" s="1" t="s">
        <v>152</v>
      </c>
      <c r="C69" s="1" t="s">
        <v>14</v>
      </c>
      <c r="D69" s="1" t="s">
        <v>153</v>
      </c>
      <c r="E69" s="1">
        <v>6.0</v>
      </c>
      <c r="F69" s="5">
        <v>39.0</v>
      </c>
      <c r="G69" s="6">
        <f t="shared" si="2"/>
        <v>5</v>
      </c>
      <c r="H69" s="7">
        <f t="shared" si="3"/>
        <v>1</v>
      </c>
      <c r="I69" s="7">
        <f t="shared" si="4"/>
        <v>1</v>
      </c>
    </row>
    <row r="70">
      <c r="A70" s="1">
        <v>68.0</v>
      </c>
      <c r="B70" s="1" t="s">
        <v>154</v>
      </c>
      <c r="C70" s="1" t="s">
        <v>14</v>
      </c>
      <c r="D70" s="1" t="s">
        <v>155</v>
      </c>
      <c r="E70" s="1">
        <v>8.0</v>
      </c>
      <c r="F70" s="5">
        <v>40.0</v>
      </c>
      <c r="G70" s="6">
        <f t="shared" si="2"/>
        <v>7</v>
      </c>
      <c r="H70" s="7">
        <f t="shared" si="3"/>
        <v>1</v>
      </c>
      <c r="I70" s="7">
        <f t="shared" si="4"/>
        <v>1</v>
      </c>
    </row>
    <row r="71">
      <c r="A71" s="1">
        <v>69.0</v>
      </c>
      <c r="B71" s="1" t="s">
        <v>156</v>
      </c>
      <c r="C71" s="1" t="s">
        <v>14</v>
      </c>
      <c r="D71" s="1" t="s">
        <v>157</v>
      </c>
      <c r="E71" s="1">
        <v>5.0</v>
      </c>
      <c r="F71" s="5">
        <v>40.0</v>
      </c>
      <c r="G71" s="6">
        <f t="shared" si="2"/>
        <v>4</v>
      </c>
      <c r="H71" s="7">
        <f t="shared" si="3"/>
        <v>1</v>
      </c>
      <c r="I71" s="7">
        <f t="shared" si="4"/>
        <v>1</v>
      </c>
    </row>
    <row r="72">
      <c r="A72" s="1">
        <v>70.0</v>
      </c>
      <c r="B72" s="1" t="s">
        <v>158</v>
      </c>
      <c r="C72" s="1" t="s">
        <v>14</v>
      </c>
      <c r="D72" s="1" t="s">
        <v>159</v>
      </c>
      <c r="E72" s="1">
        <v>0.0</v>
      </c>
      <c r="F72" s="5">
        <v>40.0</v>
      </c>
      <c r="G72" s="6">
        <f t="shared" si="2"/>
        <v>2</v>
      </c>
      <c r="H72" s="7">
        <f t="shared" si="3"/>
        <v>2</v>
      </c>
      <c r="I72" s="7">
        <f t="shared" si="4"/>
        <v>-2</v>
      </c>
    </row>
  </sheetData>
  <drawing r:id="rId1"/>
</worksheet>
</file>